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pera\Desktop\Ceremonia-app\"/>
    </mc:Choice>
  </mc:AlternateContent>
  <xr:revisionPtr revIDLastSave="0" documentId="13_ncr:1_{38D61FCF-F086-4211-BC9F-C7470747409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ESTRO" sheetId="1" r:id="rId1"/>
    <sheet name="Hoja1" sheetId="7" r:id="rId2"/>
    <sheet name="CONTROL ASISTENCIA" sheetId="2" r:id="rId3"/>
    <sheet name="DISTRIBUCION VIP" sheetId="3" r:id="rId4"/>
    <sheet name="LISTADO VIP" sheetId="4" r:id="rId5"/>
    <sheet name="SIN ASIGNAR" sheetId="5" r:id="rId6"/>
    <sheet name="LISTAS" sheetId="6" r:id="rId7"/>
  </sheets>
  <definedNames>
    <definedName name="_xlnm._FilterDatabase" localSheetId="4" hidden="1">'LISTADO VIP'!$A$4:$J$243</definedName>
    <definedName name="_xlnm._FilterDatabase" localSheetId="0" hidden="1">MAESTRO!$A$1:$CH$1272</definedName>
    <definedName name="_xlnm._FilterDatabase" localSheetId="5" hidden="1">'SIN ASIGNAR'!$A$4:$I$88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28" i="1" l="1"/>
  <c r="P232" i="1"/>
  <c r="P66" i="1"/>
  <c r="P255" i="1"/>
  <c r="P454" i="1"/>
  <c r="P25" i="1"/>
  <c r="P77" i="1"/>
  <c r="P549" i="1"/>
  <c r="P392" i="1"/>
  <c r="BL8" i="7"/>
  <c r="P413" i="1"/>
  <c r="P668" i="1"/>
  <c r="A462" i="1"/>
  <c r="A369" i="1"/>
  <c r="A438" i="1"/>
  <c r="A378" i="1"/>
  <c r="A472" i="1"/>
  <c r="A322" i="1"/>
  <c r="A475" i="1"/>
  <c r="A614" i="1"/>
  <c r="A356" i="1"/>
  <c r="B356" i="1" s="1"/>
  <c r="A510" i="1"/>
  <c r="A177" i="1"/>
  <c r="A536" i="1"/>
  <c r="A402" i="1"/>
  <c r="A371" i="1"/>
  <c r="A732" i="1"/>
  <c r="A410" i="1"/>
  <c r="A411" i="1"/>
  <c r="A477" i="1"/>
  <c r="A429" i="1"/>
  <c r="A416" i="1"/>
  <c r="A548" i="1"/>
  <c r="A516" i="1"/>
  <c r="A489" i="1"/>
  <c r="A497" i="1"/>
  <c r="A511" i="1"/>
  <c r="A303" i="1"/>
  <c r="A395" i="1"/>
  <c r="A271" i="1"/>
  <c r="A279" i="1"/>
  <c r="A606" i="1"/>
  <c r="A267" i="1"/>
  <c r="A697" i="1"/>
  <c r="A364" i="1"/>
  <c r="A393" i="1"/>
  <c r="A696" i="1"/>
  <c r="A694" i="1"/>
  <c r="A698" i="1"/>
  <c r="A699" i="1"/>
  <c r="A700" i="1"/>
  <c r="A701" i="1"/>
  <c r="A447" i="1"/>
  <c r="A683" i="1"/>
  <c r="A684" i="1"/>
  <c r="A178" i="1"/>
  <c r="A663" i="1"/>
  <c r="A639" i="1"/>
  <c r="A638" i="1"/>
  <c r="A630" i="1"/>
  <c r="A725" i="1"/>
  <c r="A323" i="1"/>
  <c r="A695" i="1"/>
  <c r="A733" i="1"/>
  <c r="A730" i="1"/>
  <c r="P303" i="1"/>
  <c r="O356" i="1"/>
  <c r="P356" i="1"/>
  <c r="P378" i="1"/>
  <c r="I80" i="2" l="1"/>
  <c r="H80" i="2"/>
  <c r="G80" i="2"/>
  <c r="F80" i="2"/>
  <c r="E80" i="2"/>
  <c r="D80" i="2"/>
  <c r="C80" i="2"/>
  <c r="B80" i="2"/>
  <c r="I79" i="2"/>
  <c r="H79" i="2"/>
  <c r="G79" i="2"/>
  <c r="F79" i="2"/>
  <c r="E79" i="2"/>
  <c r="D79" i="2"/>
  <c r="C79" i="2"/>
  <c r="B79" i="2"/>
  <c r="I78" i="2"/>
  <c r="H78" i="2"/>
  <c r="G78" i="2"/>
  <c r="F78" i="2"/>
  <c r="E78" i="2"/>
  <c r="D78" i="2"/>
  <c r="C78" i="2"/>
  <c r="B78" i="2"/>
  <c r="I77" i="2"/>
  <c r="H77" i="2"/>
  <c r="G77" i="2"/>
  <c r="F77" i="2"/>
  <c r="E77" i="2"/>
  <c r="D77" i="2"/>
  <c r="C77" i="2"/>
  <c r="B77" i="2"/>
  <c r="I76" i="2"/>
  <c r="H76" i="2"/>
  <c r="G76" i="2"/>
  <c r="F76" i="2"/>
  <c r="E76" i="2"/>
  <c r="D76" i="2"/>
  <c r="C76" i="2"/>
  <c r="B76" i="2"/>
  <c r="I75" i="2"/>
  <c r="H75" i="2"/>
  <c r="G75" i="2"/>
  <c r="F75" i="2"/>
  <c r="E75" i="2"/>
  <c r="D75" i="2"/>
  <c r="C75" i="2"/>
  <c r="B75" i="2"/>
  <c r="I74" i="2"/>
  <c r="H74" i="2"/>
  <c r="G74" i="2"/>
  <c r="F74" i="2"/>
  <c r="E74" i="2"/>
  <c r="D74" i="2"/>
  <c r="C74" i="2"/>
  <c r="B74" i="2"/>
  <c r="I73" i="2"/>
  <c r="H73" i="2"/>
  <c r="G73" i="2"/>
  <c r="F73" i="2"/>
  <c r="E73" i="2"/>
  <c r="D73" i="2"/>
  <c r="C73" i="2"/>
  <c r="B73" i="2"/>
  <c r="I72" i="2"/>
  <c r="H72" i="2"/>
  <c r="G72" i="2"/>
  <c r="F72" i="2"/>
  <c r="E72" i="2"/>
  <c r="D72" i="2"/>
  <c r="C72" i="2"/>
  <c r="B72" i="2"/>
  <c r="I71" i="2"/>
  <c r="H71" i="2"/>
  <c r="G71" i="2"/>
  <c r="F71" i="2"/>
  <c r="E71" i="2"/>
  <c r="D71" i="2"/>
  <c r="C71" i="2"/>
  <c r="B71" i="2"/>
  <c r="I70" i="2"/>
  <c r="H70" i="2"/>
  <c r="G70" i="2"/>
  <c r="F70" i="2"/>
  <c r="E70" i="2"/>
  <c r="D70" i="2"/>
  <c r="C70" i="2"/>
  <c r="B70" i="2"/>
  <c r="I69" i="2"/>
  <c r="H69" i="2"/>
  <c r="G69" i="2"/>
  <c r="F69" i="2"/>
  <c r="E69" i="2"/>
  <c r="D69" i="2"/>
  <c r="C69" i="2"/>
  <c r="B69" i="2"/>
  <c r="I68" i="2"/>
  <c r="H68" i="2"/>
  <c r="G68" i="2"/>
  <c r="F68" i="2"/>
  <c r="E68" i="2"/>
  <c r="D68" i="2"/>
  <c r="C68" i="2"/>
  <c r="B68" i="2"/>
  <c r="I67" i="2"/>
  <c r="H67" i="2"/>
  <c r="G67" i="2"/>
  <c r="F67" i="2"/>
  <c r="E67" i="2"/>
  <c r="D67" i="2"/>
  <c r="C67" i="2"/>
  <c r="B67" i="2"/>
  <c r="I66" i="2"/>
  <c r="H66" i="2"/>
  <c r="G66" i="2"/>
  <c r="F66" i="2"/>
  <c r="E66" i="2"/>
  <c r="D66" i="2"/>
  <c r="C66" i="2"/>
  <c r="B66" i="2"/>
  <c r="I65" i="2"/>
  <c r="H65" i="2"/>
  <c r="G65" i="2"/>
  <c r="F65" i="2"/>
  <c r="E65" i="2"/>
  <c r="D65" i="2"/>
  <c r="C65" i="2"/>
  <c r="B65" i="2"/>
  <c r="I64" i="2"/>
  <c r="H64" i="2"/>
  <c r="G64" i="2"/>
  <c r="F64" i="2"/>
  <c r="E64" i="2"/>
  <c r="D64" i="2"/>
  <c r="C64" i="2"/>
  <c r="B64" i="2"/>
  <c r="I63" i="2"/>
  <c r="H63" i="2"/>
  <c r="G63" i="2"/>
  <c r="F63" i="2"/>
  <c r="E63" i="2"/>
  <c r="D63" i="2"/>
  <c r="C63" i="2"/>
  <c r="B63" i="2"/>
  <c r="I62" i="2"/>
  <c r="H62" i="2"/>
  <c r="G62" i="2"/>
  <c r="F62" i="2"/>
  <c r="E62" i="2"/>
  <c r="D62" i="2"/>
  <c r="C62" i="2"/>
  <c r="B62" i="2"/>
  <c r="I61" i="2"/>
  <c r="H61" i="2"/>
  <c r="G61" i="2"/>
  <c r="F61" i="2"/>
  <c r="E61" i="2"/>
  <c r="D61" i="2"/>
  <c r="C61" i="2"/>
  <c r="B61" i="2"/>
  <c r="I60" i="2"/>
  <c r="H60" i="2"/>
  <c r="G60" i="2"/>
  <c r="F60" i="2"/>
  <c r="E60" i="2"/>
  <c r="D60" i="2"/>
  <c r="C60" i="2"/>
  <c r="B60" i="2"/>
  <c r="I59" i="2"/>
  <c r="H59" i="2"/>
  <c r="G59" i="2"/>
  <c r="F59" i="2"/>
  <c r="E59" i="2"/>
  <c r="D59" i="2"/>
  <c r="C59" i="2"/>
  <c r="B59" i="2"/>
  <c r="I58" i="2"/>
  <c r="H58" i="2"/>
  <c r="G58" i="2"/>
  <c r="F58" i="2"/>
  <c r="E58" i="2"/>
  <c r="D58" i="2"/>
  <c r="C58" i="2"/>
  <c r="B58" i="2"/>
  <c r="I57" i="2"/>
  <c r="H57" i="2"/>
  <c r="G57" i="2"/>
  <c r="F57" i="2"/>
  <c r="E57" i="2"/>
  <c r="D57" i="2"/>
  <c r="C57" i="2"/>
  <c r="B57" i="2"/>
  <c r="I56" i="2"/>
  <c r="H56" i="2"/>
  <c r="G56" i="2"/>
  <c r="F56" i="2"/>
  <c r="E56" i="2"/>
  <c r="D56" i="2"/>
  <c r="C56" i="2"/>
  <c r="B56" i="2"/>
  <c r="I55" i="2"/>
  <c r="H55" i="2"/>
  <c r="G55" i="2"/>
  <c r="F55" i="2"/>
  <c r="E55" i="2"/>
  <c r="D55" i="2"/>
  <c r="C55" i="2"/>
  <c r="B55" i="2"/>
  <c r="I54" i="2"/>
  <c r="H54" i="2"/>
  <c r="G54" i="2"/>
  <c r="F54" i="2"/>
  <c r="E54" i="2"/>
  <c r="D54" i="2"/>
  <c r="C54" i="2"/>
  <c r="B54" i="2"/>
  <c r="I53" i="2"/>
  <c r="H53" i="2"/>
  <c r="G53" i="2"/>
  <c r="F53" i="2"/>
  <c r="E53" i="2"/>
  <c r="D53" i="2"/>
  <c r="C53" i="2"/>
  <c r="B53" i="2"/>
  <c r="I52" i="2"/>
  <c r="H52" i="2"/>
  <c r="G52" i="2"/>
  <c r="F52" i="2"/>
  <c r="E52" i="2"/>
  <c r="D52" i="2"/>
  <c r="C52" i="2"/>
  <c r="B52" i="2"/>
  <c r="I51" i="2"/>
  <c r="H51" i="2"/>
  <c r="G51" i="2"/>
  <c r="F51" i="2"/>
  <c r="E51" i="2"/>
  <c r="D51" i="2"/>
  <c r="C51" i="2"/>
  <c r="B51" i="2"/>
  <c r="I50" i="2"/>
  <c r="H50" i="2"/>
  <c r="G50" i="2"/>
  <c r="F50" i="2"/>
  <c r="E50" i="2"/>
  <c r="D50" i="2"/>
  <c r="C50" i="2"/>
  <c r="B50" i="2"/>
  <c r="I49" i="2"/>
  <c r="H49" i="2"/>
  <c r="G49" i="2"/>
  <c r="F49" i="2"/>
  <c r="E49" i="2"/>
  <c r="D49" i="2"/>
  <c r="C49" i="2"/>
  <c r="B49" i="2"/>
  <c r="I48" i="2"/>
  <c r="H48" i="2"/>
  <c r="G48" i="2"/>
  <c r="F48" i="2"/>
  <c r="E48" i="2"/>
  <c r="D48" i="2"/>
  <c r="C48" i="2"/>
  <c r="B48" i="2"/>
  <c r="I47" i="2"/>
  <c r="H47" i="2"/>
  <c r="G47" i="2"/>
  <c r="F47" i="2"/>
  <c r="E47" i="2"/>
  <c r="D47" i="2"/>
  <c r="C47" i="2"/>
  <c r="B47" i="2"/>
  <c r="I46" i="2"/>
  <c r="H46" i="2"/>
  <c r="G46" i="2"/>
  <c r="F46" i="2"/>
  <c r="E46" i="2"/>
  <c r="D46" i="2"/>
  <c r="C46" i="2"/>
  <c r="B46" i="2"/>
  <c r="I45" i="2"/>
  <c r="H45" i="2"/>
  <c r="G45" i="2"/>
  <c r="F45" i="2"/>
  <c r="E45" i="2"/>
  <c r="D45" i="2"/>
  <c r="C45" i="2"/>
  <c r="B45" i="2"/>
  <c r="I44" i="2"/>
  <c r="H44" i="2"/>
  <c r="G44" i="2"/>
  <c r="F44" i="2"/>
  <c r="E44" i="2"/>
  <c r="D44" i="2"/>
  <c r="C44" i="2"/>
  <c r="B44" i="2"/>
  <c r="I43" i="2"/>
  <c r="H43" i="2"/>
  <c r="G43" i="2"/>
  <c r="F43" i="2"/>
  <c r="E43" i="2"/>
  <c r="D43" i="2"/>
  <c r="C43" i="2"/>
  <c r="B43" i="2"/>
  <c r="I42" i="2"/>
  <c r="H42" i="2"/>
  <c r="G42" i="2"/>
  <c r="F42" i="2"/>
  <c r="E42" i="2"/>
  <c r="D42" i="2"/>
  <c r="C42" i="2"/>
  <c r="B42" i="2"/>
  <c r="I41" i="2"/>
  <c r="H41" i="2"/>
  <c r="G41" i="2"/>
  <c r="F41" i="2"/>
  <c r="E41" i="2"/>
  <c r="D41" i="2"/>
  <c r="C41" i="2"/>
  <c r="B41" i="2"/>
  <c r="I40" i="2"/>
  <c r="H40" i="2"/>
  <c r="G40" i="2"/>
  <c r="F40" i="2"/>
  <c r="E40" i="2"/>
  <c r="D40" i="2"/>
  <c r="C40" i="2"/>
  <c r="B40" i="2"/>
  <c r="I39" i="2"/>
  <c r="H39" i="2"/>
  <c r="G39" i="2"/>
  <c r="F39" i="2"/>
  <c r="E39" i="2"/>
  <c r="D39" i="2"/>
  <c r="C39" i="2"/>
  <c r="B39" i="2"/>
  <c r="I38" i="2"/>
  <c r="H38" i="2"/>
  <c r="G38" i="2"/>
  <c r="F38" i="2"/>
  <c r="E38" i="2"/>
  <c r="D38" i="2"/>
  <c r="C38" i="2"/>
  <c r="B38" i="2"/>
  <c r="I37" i="2"/>
  <c r="H37" i="2"/>
  <c r="G37" i="2"/>
  <c r="F37" i="2"/>
  <c r="E37" i="2"/>
  <c r="D37" i="2"/>
  <c r="C37" i="2"/>
  <c r="B37" i="2"/>
  <c r="I36" i="2"/>
  <c r="H36" i="2"/>
  <c r="G36" i="2"/>
  <c r="F36" i="2"/>
  <c r="E36" i="2"/>
  <c r="D36" i="2"/>
  <c r="C36" i="2"/>
  <c r="B36" i="2"/>
  <c r="I35" i="2"/>
  <c r="H35" i="2"/>
  <c r="G35" i="2"/>
  <c r="F35" i="2"/>
  <c r="E35" i="2"/>
  <c r="D35" i="2"/>
  <c r="C35" i="2"/>
  <c r="B35" i="2"/>
  <c r="H34" i="2"/>
  <c r="G34" i="2"/>
  <c r="F34" i="2"/>
  <c r="D34" i="2"/>
  <c r="C34" i="2"/>
  <c r="B34" i="2"/>
  <c r="H33" i="2"/>
  <c r="G33" i="2"/>
  <c r="F33" i="2"/>
  <c r="D33" i="2"/>
  <c r="C33" i="2"/>
  <c r="B33" i="2"/>
  <c r="H32" i="2"/>
  <c r="G32" i="2"/>
  <c r="F32" i="2"/>
  <c r="D32" i="2"/>
  <c r="C32" i="2"/>
  <c r="B32" i="2"/>
  <c r="H31" i="2"/>
  <c r="G31" i="2"/>
  <c r="F31" i="2"/>
  <c r="D31" i="2"/>
  <c r="C31" i="2"/>
  <c r="B31" i="2"/>
  <c r="H30" i="2"/>
  <c r="G30" i="2"/>
  <c r="F30" i="2"/>
  <c r="D30" i="2"/>
  <c r="C30" i="2"/>
  <c r="B30" i="2"/>
  <c r="H29" i="2"/>
  <c r="G29" i="2"/>
  <c r="F29" i="2"/>
  <c r="D29" i="2"/>
  <c r="C29" i="2"/>
  <c r="B29" i="2"/>
  <c r="H28" i="2"/>
  <c r="G28" i="2"/>
  <c r="F28" i="2"/>
  <c r="D28" i="2"/>
  <c r="C28" i="2"/>
  <c r="B28" i="2"/>
  <c r="H27" i="2"/>
  <c r="G27" i="2"/>
  <c r="F27" i="2"/>
  <c r="D27" i="2"/>
  <c r="C27" i="2"/>
  <c r="B27" i="2"/>
  <c r="H26" i="2"/>
  <c r="G26" i="2"/>
  <c r="F26" i="2"/>
  <c r="D26" i="2"/>
  <c r="C26" i="2"/>
  <c r="B26" i="2"/>
  <c r="H25" i="2"/>
  <c r="G25" i="2"/>
  <c r="F25" i="2"/>
  <c r="D25" i="2"/>
  <c r="C25" i="2"/>
  <c r="B25" i="2"/>
  <c r="H24" i="2"/>
  <c r="G24" i="2"/>
  <c r="F24" i="2"/>
  <c r="D24" i="2"/>
  <c r="C24" i="2"/>
  <c r="B24" i="2"/>
  <c r="I23" i="2"/>
  <c r="H23" i="2"/>
  <c r="G23" i="2"/>
  <c r="F23" i="2"/>
  <c r="D23" i="2"/>
  <c r="C23" i="2"/>
  <c r="B23" i="2"/>
  <c r="H22" i="2"/>
  <c r="G22" i="2"/>
  <c r="F22" i="2"/>
  <c r="D22" i="2"/>
  <c r="C22" i="2"/>
  <c r="B22" i="2"/>
  <c r="H21" i="2"/>
  <c r="G21" i="2"/>
  <c r="F21" i="2"/>
  <c r="D21" i="2"/>
  <c r="C21" i="2"/>
  <c r="B21" i="2"/>
  <c r="H20" i="2"/>
  <c r="G20" i="2"/>
  <c r="F20" i="2"/>
  <c r="D20" i="2"/>
  <c r="C20" i="2"/>
  <c r="B20" i="2"/>
  <c r="H19" i="2"/>
  <c r="G19" i="2"/>
  <c r="F19" i="2"/>
  <c r="D19" i="2"/>
  <c r="C19" i="2"/>
  <c r="B19" i="2"/>
  <c r="H18" i="2"/>
  <c r="G18" i="2"/>
  <c r="F18" i="2"/>
  <c r="D18" i="2"/>
  <c r="C18" i="2"/>
  <c r="B18" i="2"/>
  <c r="I17" i="2"/>
  <c r="H17" i="2"/>
  <c r="G17" i="2"/>
  <c r="F17" i="2"/>
  <c r="D17" i="2"/>
  <c r="C17" i="2"/>
  <c r="B17" i="2"/>
  <c r="H16" i="2"/>
  <c r="G16" i="2"/>
  <c r="F16" i="2"/>
  <c r="D16" i="2"/>
  <c r="C16" i="2"/>
  <c r="B16" i="2"/>
  <c r="B10" i="2"/>
  <c r="H6" i="2"/>
  <c r="G6" i="2"/>
  <c r="F6" i="2"/>
  <c r="B6" i="2"/>
  <c r="H5" i="2"/>
  <c r="G5" i="2"/>
  <c r="F5" i="2"/>
  <c r="B5" i="2"/>
  <c r="H4" i="2"/>
  <c r="G4" i="2"/>
  <c r="F4" i="2"/>
  <c r="B4" i="2"/>
  <c r="P1270" i="1"/>
  <c r="O1270" i="1"/>
  <c r="E1270" i="1"/>
  <c r="A1270" i="1" s="1"/>
  <c r="B1270" i="1"/>
  <c r="P1269" i="1"/>
  <c r="O1269" i="1"/>
  <c r="E1269" i="1"/>
  <c r="A1269" i="1" s="1"/>
  <c r="B1269" i="1"/>
  <c r="P1268" i="1"/>
  <c r="O1268" i="1"/>
  <c r="E1268" i="1"/>
  <c r="A1268" i="1" s="1"/>
  <c r="B1268" i="1"/>
  <c r="P1267" i="1"/>
  <c r="O1267" i="1"/>
  <c r="E1267" i="1"/>
  <c r="A1267" i="1" s="1"/>
  <c r="B1267" i="1"/>
  <c r="P1266" i="1"/>
  <c r="O1266" i="1"/>
  <c r="E1266" i="1"/>
  <c r="A1266" i="1" s="1"/>
  <c r="B1266" i="1"/>
  <c r="P1265" i="1"/>
  <c r="O1265" i="1"/>
  <c r="E1265" i="1"/>
  <c r="A1265" i="1" s="1"/>
  <c r="B1265" i="1"/>
  <c r="P1264" i="1"/>
  <c r="O1264" i="1"/>
  <c r="E1264" i="1"/>
  <c r="A1264" i="1" s="1"/>
  <c r="B1264" i="1"/>
  <c r="P1263" i="1"/>
  <c r="O1263" i="1"/>
  <c r="E1263" i="1"/>
  <c r="A1263" i="1" s="1"/>
  <c r="B1263" i="1"/>
  <c r="P1262" i="1"/>
  <c r="O1262" i="1"/>
  <c r="E1262" i="1"/>
  <c r="A1262" i="1" s="1"/>
  <c r="B1262" i="1"/>
  <c r="P1261" i="1"/>
  <c r="O1261" i="1"/>
  <c r="E1261" i="1"/>
  <c r="A1261" i="1" s="1"/>
  <c r="B1261" i="1"/>
  <c r="P1260" i="1"/>
  <c r="O1260" i="1"/>
  <c r="E1260" i="1"/>
  <c r="A1260" i="1" s="1"/>
  <c r="B1260" i="1"/>
  <c r="P1259" i="1"/>
  <c r="O1259" i="1"/>
  <c r="E1259" i="1"/>
  <c r="A1259" i="1" s="1"/>
  <c r="B1259" i="1"/>
  <c r="P1258" i="1"/>
  <c r="O1258" i="1"/>
  <c r="E1258" i="1"/>
  <c r="A1258" i="1" s="1"/>
  <c r="B1258" i="1"/>
  <c r="P1257" i="1"/>
  <c r="O1257" i="1"/>
  <c r="E1257" i="1"/>
  <c r="A1257" i="1" s="1"/>
  <c r="B1257" i="1"/>
  <c r="P1256" i="1"/>
  <c r="O1256" i="1"/>
  <c r="E1256" i="1"/>
  <c r="A1256" i="1" s="1"/>
  <c r="B1256" i="1"/>
  <c r="P1255" i="1"/>
  <c r="O1255" i="1"/>
  <c r="E1255" i="1"/>
  <c r="A1255" i="1" s="1"/>
  <c r="B1255" i="1"/>
  <c r="P1254" i="1"/>
  <c r="O1254" i="1"/>
  <c r="E1254" i="1"/>
  <c r="A1254" i="1" s="1"/>
  <c r="B1254" i="1"/>
  <c r="P1253" i="1"/>
  <c r="O1253" i="1"/>
  <c r="E1253" i="1"/>
  <c r="A1253" i="1" s="1"/>
  <c r="B1253" i="1"/>
  <c r="P1252" i="1"/>
  <c r="O1252" i="1"/>
  <c r="E1252" i="1"/>
  <c r="A1252" i="1" s="1"/>
  <c r="B1252" i="1"/>
  <c r="P1251" i="1"/>
  <c r="O1251" i="1"/>
  <c r="E1251" i="1"/>
  <c r="A1251" i="1" s="1"/>
  <c r="B1251" i="1"/>
  <c r="P1250" i="1"/>
  <c r="O1250" i="1"/>
  <c r="E1250" i="1"/>
  <c r="A1250" i="1" s="1"/>
  <c r="B1250" i="1"/>
  <c r="P1249" i="1"/>
  <c r="O1249" i="1"/>
  <c r="E1249" i="1"/>
  <c r="A1249" i="1" s="1"/>
  <c r="B1249" i="1"/>
  <c r="P1248" i="1"/>
  <c r="O1248" i="1"/>
  <c r="E1248" i="1"/>
  <c r="A1248" i="1" s="1"/>
  <c r="B1248" i="1"/>
  <c r="P1247" i="1"/>
  <c r="O1247" i="1"/>
  <c r="E1247" i="1"/>
  <c r="A1247" i="1" s="1"/>
  <c r="B1247" i="1"/>
  <c r="P1246" i="1"/>
  <c r="O1246" i="1"/>
  <c r="E1246" i="1"/>
  <c r="A1246" i="1" s="1"/>
  <c r="B1246" i="1"/>
  <c r="P1245" i="1"/>
  <c r="O1245" i="1"/>
  <c r="E1245" i="1"/>
  <c r="A1245" i="1" s="1"/>
  <c r="B1245" i="1"/>
  <c r="P1244" i="1"/>
  <c r="O1244" i="1"/>
  <c r="E1244" i="1"/>
  <c r="A1244" i="1" s="1"/>
  <c r="B1244" i="1"/>
  <c r="P1243" i="1"/>
  <c r="O1243" i="1"/>
  <c r="E1243" i="1"/>
  <c r="A1243" i="1" s="1"/>
  <c r="B1243" i="1"/>
  <c r="P1242" i="1"/>
  <c r="O1242" i="1"/>
  <c r="E1242" i="1"/>
  <c r="A1242" i="1" s="1"/>
  <c r="B1242" i="1"/>
  <c r="P1241" i="1"/>
  <c r="O1241" i="1"/>
  <c r="E1241" i="1"/>
  <c r="A1241" i="1" s="1"/>
  <c r="B1241" i="1"/>
  <c r="P1240" i="1"/>
  <c r="O1240" i="1"/>
  <c r="E1240" i="1"/>
  <c r="A1240" i="1" s="1"/>
  <c r="B1240" i="1"/>
  <c r="P1239" i="1"/>
  <c r="O1239" i="1"/>
  <c r="E1239" i="1"/>
  <c r="A1239" i="1" s="1"/>
  <c r="B1239" i="1"/>
  <c r="P1238" i="1"/>
  <c r="O1238" i="1"/>
  <c r="E1238" i="1"/>
  <c r="A1238" i="1" s="1"/>
  <c r="B1238" i="1"/>
  <c r="P1237" i="1"/>
  <c r="O1237" i="1"/>
  <c r="E1237" i="1"/>
  <c r="A1237" i="1" s="1"/>
  <c r="B1237" i="1"/>
  <c r="P1236" i="1"/>
  <c r="O1236" i="1"/>
  <c r="E1236" i="1"/>
  <c r="A1236" i="1" s="1"/>
  <c r="B1236" i="1"/>
  <c r="P1235" i="1"/>
  <c r="O1235" i="1"/>
  <c r="E1235" i="1"/>
  <c r="A1235" i="1" s="1"/>
  <c r="B1235" i="1"/>
  <c r="P1234" i="1"/>
  <c r="O1234" i="1"/>
  <c r="E1234" i="1"/>
  <c r="A1234" i="1" s="1"/>
  <c r="B1234" i="1"/>
  <c r="P1233" i="1"/>
  <c r="O1233" i="1"/>
  <c r="E1233" i="1"/>
  <c r="A1233" i="1" s="1"/>
  <c r="B1233" i="1"/>
  <c r="P1232" i="1"/>
  <c r="O1232" i="1"/>
  <c r="E1232" i="1"/>
  <c r="A1232" i="1" s="1"/>
  <c r="B1232" i="1"/>
  <c r="P1231" i="1"/>
  <c r="O1231" i="1"/>
  <c r="E1231" i="1"/>
  <c r="A1231" i="1" s="1"/>
  <c r="B1231" i="1"/>
  <c r="P1230" i="1"/>
  <c r="O1230" i="1"/>
  <c r="E1230" i="1"/>
  <c r="A1230" i="1" s="1"/>
  <c r="B1230" i="1"/>
  <c r="P1229" i="1"/>
  <c r="O1229" i="1"/>
  <c r="E1229" i="1"/>
  <c r="A1229" i="1" s="1"/>
  <c r="B1229" i="1"/>
  <c r="P1228" i="1"/>
  <c r="O1228" i="1"/>
  <c r="E1228" i="1"/>
  <c r="A1228" i="1" s="1"/>
  <c r="B1228" i="1"/>
  <c r="P1227" i="1"/>
  <c r="O1227" i="1"/>
  <c r="E1227" i="1"/>
  <c r="A1227" i="1" s="1"/>
  <c r="B1227" i="1"/>
  <c r="P1226" i="1"/>
  <c r="O1226" i="1"/>
  <c r="E1226" i="1"/>
  <c r="A1226" i="1" s="1"/>
  <c r="B1226" i="1"/>
  <c r="P1225" i="1"/>
  <c r="O1225" i="1"/>
  <c r="E1225" i="1"/>
  <c r="A1225" i="1" s="1"/>
  <c r="B1225" i="1"/>
  <c r="P1224" i="1"/>
  <c r="O1224" i="1"/>
  <c r="E1224" i="1"/>
  <c r="A1224" i="1" s="1"/>
  <c r="B1224" i="1"/>
  <c r="P1223" i="1"/>
  <c r="O1223" i="1"/>
  <c r="E1223" i="1"/>
  <c r="A1223" i="1" s="1"/>
  <c r="B1223" i="1"/>
  <c r="P1222" i="1"/>
  <c r="O1222" i="1"/>
  <c r="E1222" i="1"/>
  <c r="A1222" i="1" s="1"/>
  <c r="B1222" i="1"/>
  <c r="P1221" i="1"/>
  <c r="O1221" i="1"/>
  <c r="E1221" i="1"/>
  <c r="A1221" i="1" s="1"/>
  <c r="B1221" i="1"/>
  <c r="P1220" i="1"/>
  <c r="O1220" i="1"/>
  <c r="E1220" i="1"/>
  <c r="A1220" i="1" s="1"/>
  <c r="B1220" i="1"/>
  <c r="P1219" i="1"/>
  <c r="O1219" i="1"/>
  <c r="E1219" i="1"/>
  <c r="A1219" i="1" s="1"/>
  <c r="B1219" i="1"/>
  <c r="P1218" i="1"/>
  <c r="O1218" i="1"/>
  <c r="E1218" i="1"/>
  <c r="A1218" i="1" s="1"/>
  <c r="B1218" i="1"/>
  <c r="P1217" i="1"/>
  <c r="O1217" i="1"/>
  <c r="E1217" i="1"/>
  <c r="A1217" i="1" s="1"/>
  <c r="B1217" i="1"/>
  <c r="P1216" i="1"/>
  <c r="O1216" i="1"/>
  <c r="E1216" i="1"/>
  <c r="A1216" i="1" s="1"/>
  <c r="B1216" i="1"/>
  <c r="P1215" i="1"/>
  <c r="O1215" i="1"/>
  <c r="E1215" i="1"/>
  <c r="A1215" i="1" s="1"/>
  <c r="B1215" i="1"/>
  <c r="P1214" i="1"/>
  <c r="O1214" i="1"/>
  <c r="E1214" i="1"/>
  <c r="A1214" i="1" s="1"/>
  <c r="B1214" i="1"/>
  <c r="P1213" i="1"/>
  <c r="O1213" i="1"/>
  <c r="E1213" i="1"/>
  <c r="A1213" i="1" s="1"/>
  <c r="B1213" i="1"/>
  <c r="P1212" i="1"/>
  <c r="O1212" i="1"/>
  <c r="E1212" i="1"/>
  <c r="A1212" i="1" s="1"/>
  <c r="B1212" i="1"/>
  <c r="P1211" i="1"/>
  <c r="O1211" i="1"/>
  <c r="E1211" i="1"/>
  <c r="A1211" i="1" s="1"/>
  <c r="B1211" i="1"/>
  <c r="P1210" i="1"/>
  <c r="O1210" i="1"/>
  <c r="E1210" i="1"/>
  <c r="A1210" i="1" s="1"/>
  <c r="B1210" i="1"/>
  <c r="P1209" i="1"/>
  <c r="O1209" i="1"/>
  <c r="E1209" i="1"/>
  <c r="A1209" i="1" s="1"/>
  <c r="B1209" i="1"/>
  <c r="P1208" i="1"/>
  <c r="O1208" i="1"/>
  <c r="E1208" i="1"/>
  <c r="A1208" i="1" s="1"/>
  <c r="B1208" i="1"/>
  <c r="P1207" i="1"/>
  <c r="O1207" i="1"/>
  <c r="E1207" i="1"/>
  <c r="A1207" i="1" s="1"/>
  <c r="B1207" i="1"/>
  <c r="P1206" i="1"/>
  <c r="O1206" i="1"/>
  <c r="E1206" i="1"/>
  <c r="A1206" i="1" s="1"/>
  <c r="B1206" i="1"/>
  <c r="P1205" i="1"/>
  <c r="O1205" i="1"/>
  <c r="E1205" i="1"/>
  <c r="A1205" i="1" s="1"/>
  <c r="B1205" i="1"/>
  <c r="P1204" i="1"/>
  <c r="O1204" i="1"/>
  <c r="E1204" i="1"/>
  <c r="A1204" i="1" s="1"/>
  <c r="B1204" i="1"/>
  <c r="P1203" i="1"/>
  <c r="O1203" i="1"/>
  <c r="E1203" i="1"/>
  <c r="A1203" i="1" s="1"/>
  <c r="B1203" i="1"/>
  <c r="P1202" i="1"/>
  <c r="O1202" i="1"/>
  <c r="E1202" i="1"/>
  <c r="A1202" i="1" s="1"/>
  <c r="B1202" i="1"/>
  <c r="P1201" i="1"/>
  <c r="O1201" i="1"/>
  <c r="E1201" i="1"/>
  <c r="A1201" i="1" s="1"/>
  <c r="B1201" i="1"/>
  <c r="P1200" i="1"/>
  <c r="O1200" i="1"/>
  <c r="E1200" i="1"/>
  <c r="A1200" i="1" s="1"/>
  <c r="B1200" i="1"/>
  <c r="P1199" i="1"/>
  <c r="O1199" i="1"/>
  <c r="E1199" i="1"/>
  <c r="A1199" i="1" s="1"/>
  <c r="B1199" i="1"/>
  <c r="P1198" i="1"/>
  <c r="O1198" i="1"/>
  <c r="E1198" i="1"/>
  <c r="A1198" i="1" s="1"/>
  <c r="B1198" i="1"/>
  <c r="P1197" i="1"/>
  <c r="O1197" i="1"/>
  <c r="E1197" i="1"/>
  <c r="A1197" i="1" s="1"/>
  <c r="B1197" i="1"/>
  <c r="P1196" i="1"/>
  <c r="O1196" i="1"/>
  <c r="E1196" i="1"/>
  <c r="A1196" i="1" s="1"/>
  <c r="B1196" i="1"/>
  <c r="P1195" i="1"/>
  <c r="O1195" i="1"/>
  <c r="E1195" i="1"/>
  <c r="A1195" i="1" s="1"/>
  <c r="B1195" i="1"/>
  <c r="P1194" i="1"/>
  <c r="O1194" i="1"/>
  <c r="E1194" i="1"/>
  <c r="A1194" i="1" s="1"/>
  <c r="B1194" i="1"/>
  <c r="P1193" i="1"/>
  <c r="O1193" i="1"/>
  <c r="E1193" i="1"/>
  <c r="A1193" i="1" s="1"/>
  <c r="B1193" i="1"/>
  <c r="P1192" i="1"/>
  <c r="O1192" i="1"/>
  <c r="E1192" i="1"/>
  <c r="A1192" i="1" s="1"/>
  <c r="B1192" i="1"/>
  <c r="P1191" i="1"/>
  <c r="O1191" i="1"/>
  <c r="E1191" i="1"/>
  <c r="A1191" i="1" s="1"/>
  <c r="B1191" i="1"/>
  <c r="P1190" i="1"/>
  <c r="O1190" i="1"/>
  <c r="E1190" i="1"/>
  <c r="A1190" i="1" s="1"/>
  <c r="B1190" i="1"/>
  <c r="P1189" i="1"/>
  <c r="O1189" i="1"/>
  <c r="E1189" i="1"/>
  <c r="A1189" i="1" s="1"/>
  <c r="B1189" i="1"/>
  <c r="P1188" i="1"/>
  <c r="O1188" i="1"/>
  <c r="E1188" i="1"/>
  <c r="A1188" i="1" s="1"/>
  <c r="B1188" i="1"/>
  <c r="P1187" i="1"/>
  <c r="O1187" i="1"/>
  <c r="E1187" i="1"/>
  <c r="A1187" i="1" s="1"/>
  <c r="B1187" i="1"/>
  <c r="P1186" i="1"/>
  <c r="O1186" i="1"/>
  <c r="E1186" i="1"/>
  <c r="A1186" i="1" s="1"/>
  <c r="B1186" i="1"/>
  <c r="P1185" i="1"/>
  <c r="O1185" i="1"/>
  <c r="E1185" i="1"/>
  <c r="A1185" i="1" s="1"/>
  <c r="B1185" i="1"/>
  <c r="P1184" i="1"/>
  <c r="O1184" i="1"/>
  <c r="E1184" i="1"/>
  <c r="A1184" i="1" s="1"/>
  <c r="B1184" i="1"/>
  <c r="P1183" i="1"/>
  <c r="O1183" i="1"/>
  <c r="E1183" i="1"/>
  <c r="A1183" i="1" s="1"/>
  <c r="B1183" i="1"/>
  <c r="P1182" i="1"/>
  <c r="O1182" i="1"/>
  <c r="E1182" i="1"/>
  <c r="A1182" i="1" s="1"/>
  <c r="B1182" i="1"/>
  <c r="P1181" i="1"/>
  <c r="O1181" i="1"/>
  <c r="E1181" i="1"/>
  <c r="A1181" i="1" s="1"/>
  <c r="B1181" i="1"/>
  <c r="P1180" i="1"/>
  <c r="O1180" i="1"/>
  <c r="E1180" i="1"/>
  <c r="A1180" i="1" s="1"/>
  <c r="B1180" i="1"/>
  <c r="P1179" i="1"/>
  <c r="O1179" i="1"/>
  <c r="E1179" i="1"/>
  <c r="A1179" i="1" s="1"/>
  <c r="B1179" i="1"/>
  <c r="P1178" i="1"/>
  <c r="O1178" i="1"/>
  <c r="E1178" i="1"/>
  <c r="A1178" i="1" s="1"/>
  <c r="B1178" i="1"/>
  <c r="P1177" i="1"/>
  <c r="O1177" i="1"/>
  <c r="E1177" i="1"/>
  <c r="A1177" i="1" s="1"/>
  <c r="B1177" i="1"/>
  <c r="P1176" i="1"/>
  <c r="O1176" i="1"/>
  <c r="E1176" i="1"/>
  <c r="A1176" i="1" s="1"/>
  <c r="B1176" i="1"/>
  <c r="P1175" i="1"/>
  <c r="O1175" i="1"/>
  <c r="E1175" i="1"/>
  <c r="A1175" i="1" s="1"/>
  <c r="B1175" i="1"/>
  <c r="P1174" i="1"/>
  <c r="O1174" i="1"/>
  <c r="E1174" i="1"/>
  <c r="A1174" i="1" s="1"/>
  <c r="B1174" i="1"/>
  <c r="P1173" i="1"/>
  <c r="O1173" i="1"/>
  <c r="E1173" i="1"/>
  <c r="A1173" i="1" s="1"/>
  <c r="B1173" i="1"/>
  <c r="P1172" i="1"/>
  <c r="O1172" i="1"/>
  <c r="E1172" i="1"/>
  <c r="A1172" i="1" s="1"/>
  <c r="B1172" i="1"/>
  <c r="P1171" i="1"/>
  <c r="O1171" i="1"/>
  <c r="E1171" i="1"/>
  <c r="A1171" i="1" s="1"/>
  <c r="B1171" i="1"/>
  <c r="P1170" i="1"/>
  <c r="O1170" i="1"/>
  <c r="E1170" i="1"/>
  <c r="A1170" i="1" s="1"/>
  <c r="B1170" i="1"/>
  <c r="P1169" i="1"/>
  <c r="O1169" i="1"/>
  <c r="E1169" i="1"/>
  <c r="A1169" i="1" s="1"/>
  <c r="B1169" i="1"/>
  <c r="P1168" i="1"/>
  <c r="O1168" i="1"/>
  <c r="E1168" i="1"/>
  <c r="A1168" i="1" s="1"/>
  <c r="B1168" i="1"/>
  <c r="P1167" i="1"/>
  <c r="O1167" i="1"/>
  <c r="E1167" i="1"/>
  <c r="A1167" i="1" s="1"/>
  <c r="B1167" i="1"/>
  <c r="P1166" i="1"/>
  <c r="O1166" i="1"/>
  <c r="E1166" i="1"/>
  <c r="A1166" i="1" s="1"/>
  <c r="B1166" i="1"/>
  <c r="P1165" i="1"/>
  <c r="O1165" i="1"/>
  <c r="E1165" i="1"/>
  <c r="A1165" i="1" s="1"/>
  <c r="B1165" i="1"/>
  <c r="P1164" i="1"/>
  <c r="O1164" i="1"/>
  <c r="E1164" i="1"/>
  <c r="A1164" i="1" s="1"/>
  <c r="B1164" i="1"/>
  <c r="P1163" i="1"/>
  <c r="O1163" i="1"/>
  <c r="E1163" i="1"/>
  <c r="A1163" i="1" s="1"/>
  <c r="B1163" i="1"/>
  <c r="P1162" i="1"/>
  <c r="O1162" i="1"/>
  <c r="E1162" i="1"/>
  <c r="A1162" i="1" s="1"/>
  <c r="B1162" i="1"/>
  <c r="P1161" i="1"/>
  <c r="O1161" i="1"/>
  <c r="E1161" i="1"/>
  <c r="A1161" i="1" s="1"/>
  <c r="B1161" i="1"/>
  <c r="P1160" i="1"/>
  <c r="O1160" i="1"/>
  <c r="E1160" i="1"/>
  <c r="A1160" i="1" s="1"/>
  <c r="B1160" i="1"/>
  <c r="P1159" i="1"/>
  <c r="O1159" i="1"/>
  <c r="E1159" i="1"/>
  <c r="A1159" i="1" s="1"/>
  <c r="B1159" i="1"/>
  <c r="P1158" i="1"/>
  <c r="O1158" i="1"/>
  <c r="E1158" i="1"/>
  <c r="A1158" i="1" s="1"/>
  <c r="B1158" i="1"/>
  <c r="P1157" i="1"/>
  <c r="O1157" i="1"/>
  <c r="E1157" i="1"/>
  <c r="A1157" i="1" s="1"/>
  <c r="B1157" i="1"/>
  <c r="P1156" i="1"/>
  <c r="O1156" i="1"/>
  <c r="E1156" i="1"/>
  <c r="A1156" i="1" s="1"/>
  <c r="B1156" i="1"/>
  <c r="P1155" i="1"/>
  <c r="O1155" i="1"/>
  <c r="E1155" i="1"/>
  <c r="A1155" i="1" s="1"/>
  <c r="B1155" i="1"/>
  <c r="P1154" i="1"/>
  <c r="O1154" i="1"/>
  <c r="E1154" i="1"/>
  <c r="A1154" i="1" s="1"/>
  <c r="B1154" i="1"/>
  <c r="P1153" i="1"/>
  <c r="O1153" i="1"/>
  <c r="E1153" i="1"/>
  <c r="A1153" i="1" s="1"/>
  <c r="B1153" i="1"/>
  <c r="P1152" i="1"/>
  <c r="O1152" i="1"/>
  <c r="E1152" i="1"/>
  <c r="A1152" i="1" s="1"/>
  <c r="B1152" i="1"/>
  <c r="P1151" i="1"/>
  <c r="O1151" i="1"/>
  <c r="E1151" i="1"/>
  <c r="A1151" i="1" s="1"/>
  <c r="B1151" i="1"/>
  <c r="P1150" i="1"/>
  <c r="O1150" i="1"/>
  <c r="E1150" i="1"/>
  <c r="A1150" i="1" s="1"/>
  <c r="B1150" i="1"/>
  <c r="P1149" i="1"/>
  <c r="O1149" i="1"/>
  <c r="E1149" i="1"/>
  <c r="A1149" i="1" s="1"/>
  <c r="B1149" i="1"/>
  <c r="P1148" i="1"/>
  <c r="O1148" i="1"/>
  <c r="E1148" i="1"/>
  <c r="A1148" i="1" s="1"/>
  <c r="B1148" i="1"/>
  <c r="P1147" i="1"/>
  <c r="O1147" i="1"/>
  <c r="E1147" i="1"/>
  <c r="A1147" i="1" s="1"/>
  <c r="B1147" i="1"/>
  <c r="P1146" i="1"/>
  <c r="O1146" i="1"/>
  <c r="E1146" i="1"/>
  <c r="A1146" i="1" s="1"/>
  <c r="B1146" i="1"/>
  <c r="P1145" i="1"/>
  <c r="O1145" i="1"/>
  <c r="E1145" i="1"/>
  <c r="A1145" i="1" s="1"/>
  <c r="B1145" i="1"/>
  <c r="P1144" i="1"/>
  <c r="O1144" i="1"/>
  <c r="E1144" i="1"/>
  <c r="A1144" i="1" s="1"/>
  <c r="B1144" i="1"/>
  <c r="P1143" i="1"/>
  <c r="O1143" i="1"/>
  <c r="E1143" i="1"/>
  <c r="A1143" i="1" s="1"/>
  <c r="B1143" i="1"/>
  <c r="P1142" i="1"/>
  <c r="O1142" i="1"/>
  <c r="E1142" i="1"/>
  <c r="A1142" i="1" s="1"/>
  <c r="B1142" i="1"/>
  <c r="P1141" i="1"/>
  <c r="O1141" i="1"/>
  <c r="E1141" i="1"/>
  <c r="A1141" i="1" s="1"/>
  <c r="B1141" i="1"/>
  <c r="P1140" i="1"/>
  <c r="O1140" i="1"/>
  <c r="E1140" i="1"/>
  <c r="A1140" i="1" s="1"/>
  <c r="B1140" i="1"/>
  <c r="P1139" i="1"/>
  <c r="O1139" i="1"/>
  <c r="E1139" i="1"/>
  <c r="A1139" i="1" s="1"/>
  <c r="B1139" i="1"/>
  <c r="P1138" i="1"/>
  <c r="O1138" i="1"/>
  <c r="E1138" i="1"/>
  <c r="A1138" i="1" s="1"/>
  <c r="B1138" i="1"/>
  <c r="P1137" i="1"/>
  <c r="O1137" i="1"/>
  <c r="E1137" i="1"/>
  <c r="A1137" i="1" s="1"/>
  <c r="B1137" i="1"/>
  <c r="P1136" i="1"/>
  <c r="O1136" i="1"/>
  <c r="E1136" i="1"/>
  <c r="A1136" i="1" s="1"/>
  <c r="B1136" i="1"/>
  <c r="P1135" i="1"/>
  <c r="O1135" i="1"/>
  <c r="E1135" i="1"/>
  <c r="A1135" i="1" s="1"/>
  <c r="B1135" i="1"/>
  <c r="P1134" i="1"/>
  <c r="O1134" i="1"/>
  <c r="E1134" i="1"/>
  <c r="A1134" i="1" s="1"/>
  <c r="B1134" i="1"/>
  <c r="P1133" i="1"/>
  <c r="O1133" i="1"/>
  <c r="E1133" i="1"/>
  <c r="A1133" i="1" s="1"/>
  <c r="B1133" i="1"/>
  <c r="P1132" i="1"/>
  <c r="O1132" i="1"/>
  <c r="E1132" i="1"/>
  <c r="A1132" i="1" s="1"/>
  <c r="B1132" i="1"/>
  <c r="P1131" i="1"/>
  <c r="O1131" i="1"/>
  <c r="E1131" i="1"/>
  <c r="A1131" i="1" s="1"/>
  <c r="B1131" i="1"/>
  <c r="P1130" i="1"/>
  <c r="O1130" i="1"/>
  <c r="E1130" i="1"/>
  <c r="A1130" i="1" s="1"/>
  <c r="B1130" i="1"/>
  <c r="P1129" i="1"/>
  <c r="O1129" i="1"/>
  <c r="E1129" i="1"/>
  <c r="A1129" i="1" s="1"/>
  <c r="B1129" i="1"/>
  <c r="P1128" i="1"/>
  <c r="O1128" i="1"/>
  <c r="E1128" i="1"/>
  <c r="A1128" i="1" s="1"/>
  <c r="B1128" i="1"/>
  <c r="P1127" i="1"/>
  <c r="O1127" i="1"/>
  <c r="E1127" i="1"/>
  <c r="A1127" i="1" s="1"/>
  <c r="B1127" i="1"/>
  <c r="P1126" i="1"/>
  <c r="O1126" i="1"/>
  <c r="E1126" i="1"/>
  <c r="A1126" i="1" s="1"/>
  <c r="B1126" i="1"/>
  <c r="P1125" i="1"/>
  <c r="O1125" i="1"/>
  <c r="E1125" i="1"/>
  <c r="A1125" i="1" s="1"/>
  <c r="B1125" i="1"/>
  <c r="P1124" i="1"/>
  <c r="O1124" i="1"/>
  <c r="E1124" i="1"/>
  <c r="A1124" i="1" s="1"/>
  <c r="B1124" i="1"/>
  <c r="P1123" i="1"/>
  <c r="O1123" i="1"/>
  <c r="E1123" i="1"/>
  <c r="A1123" i="1" s="1"/>
  <c r="B1123" i="1"/>
  <c r="P1122" i="1"/>
  <c r="O1122" i="1"/>
  <c r="E1122" i="1"/>
  <c r="A1122" i="1" s="1"/>
  <c r="B1122" i="1"/>
  <c r="P1121" i="1"/>
  <c r="O1121" i="1"/>
  <c r="E1121" i="1"/>
  <c r="A1121" i="1" s="1"/>
  <c r="B1121" i="1"/>
  <c r="P1120" i="1"/>
  <c r="O1120" i="1"/>
  <c r="E1120" i="1"/>
  <c r="A1120" i="1" s="1"/>
  <c r="B1120" i="1"/>
  <c r="P1119" i="1"/>
  <c r="O1119" i="1"/>
  <c r="E1119" i="1"/>
  <c r="A1119" i="1" s="1"/>
  <c r="B1119" i="1"/>
  <c r="P1118" i="1"/>
  <c r="O1118" i="1"/>
  <c r="E1118" i="1"/>
  <c r="A1118" i="1" s="1"/>
  <c r="B1118" i="1"/>
  <c r="P1117" i="1"/>
  <c r="O1117" i="1"/>
  <c r="E1117" i="1"/>
  <c r="A1117" i="1" s="1"/>
  <c r="B1117" i="1"/>
  <c r="P1116" i="1"/>
  <c r="O1116" i="1"/>
  <c r="E1116" i="1"/>
  <c r="A1116" i="1" s="1"/>
  <c r="B1116" i="1"/>
  <c r="P1115" i="1"/>
  <c r="O1115" i="1"/>
  <c r="E1115" i="1"/>
  <c r="A1115" i="1" s="1"/>
  <c r="B1115" i="1"/>
  <c r="P1114" i="1"/>
  <c r="O1114" i="1"/>
  <c r="E1114" i="1"/>
  <c r="A1114" i="1" s="1"/>
  <c r="B1114" i="1"/>
  <c r="P1113" i="1"/>
  <c r="O1113" i="1"/>
  <c r="E1113" i="1"/>
  <c r="A1113" i="1" s="1"/>
  <c r="B1113" i="1"/>
  <c r="P1112" i="1"/>
  <c r="O1112" i="1"/>
  <c r="E1112" i="1"/>
  <c r="A1112" i="1" s="1"/>
  <c r="B1112" i="1"/>
  <c r="P1111" i="1"/>
  <c r="O1111" i="1"/>
  <c r="E1111" i="1"/>
  <c r="A1111" i="1" s="1"/>
  <c r="B1111" i="1"/>
  <c r="P1110" i="1"/>
  <c r="O1110" i="1"/>
  <c r="E1110" i="1"/>
  <c r="A1110" i="1" s="1"/>
  <c r="B1110" i="1"/>
  <c r="P1109" i="1"/>
  <c r="O1109" i="1"/>
  <c r="E1109" i="1"/>
  <c r="A1109" i="1" s="1"/>
  <c r="B1109" i="1"/>
  <c r="P1108" i="1"/>
  <c r="O1108" i="1"/>
  <c r="E1108" i="1"/>
  <c r="A1108" i="1" s="1"/>
  <c r="B1108" i="1"/>
  <c r="P1107" i="1"/>
  <c r="O1107" i="1"/>
  <c r="E1107" i="1"/>
  <c r="A1107" i="1" s="1"/>
  <c r="B1107" i="1"/>
  <c r="P1106" i="1"/>
  <c r="O1106" i="1"/>
  <c r="E1106" i="1"/>
  <c r="A1106" i="1" s="1"/>
  <c r="B1106" i="1"/>
  <c r="P1105" i="1"/>
  <c r="O1105" i="1"/>
  <c r="E1105" i="1"/>
  <c r="A1105" i="1" s="1"/>
  <c r="B1105" i="1"/>
  <c r="P1104" i="1"/>
  <c r="O1104" i="1"/>
  <c r="E1104" i="1"/>
  <c r="A1104" i="1" s="1"/>
  <c r="B1104" i="1"/>
  <c r="P1103" i="1"/>
  <c r="O1103" i="1"/>
  <c r="E1103" i="1"/>
  <c r="A1103" i="1" s="1"/>
  <c r="B1103" i="1"/>
  <c r="P1102" i="1"/>
  <c r="O1102" i="1"/>
  <c r="E1102" i="1"/>
  <c r="A1102" i="1" s="1"/>
  <c r="B1102" i="1"/>
  <c r="P1101" i="1"/>
  <c r="O1101" i="1"/>
  <c r="E1101" i="1"/>
  <c r="A1101" i="1" s="1"/>
  <c r="B1101" i="1"/>
  <c r="P1100" i="1"/>
  <c r="O1100" i="1"/>
  <c r="E1100" i="1"/>
  <c r="A1100" i="1" s="1"/>
  <c r="B1100" i="1"/>
  <c r="P1099" i="1"/>
  <c r="O1099" i="1"/>
  <c r="E1099" i="1"/>
  <c r="A1099" i="1" s="1"/>
  <c r="B1099" i="1"/>
  <c r="P1098" i="1"/>
  <c r="O1098" i="1"/>
  <c r="E1098" i="1"/>
  <c r="A1098" i="1" s="1"/>
  <c r="B1098" i="1"/>
  <c r="P1097" i="1"/>
  <c r="O1097" i="1"/>
  <c r="E1097" i="1"/>
  <c r="A1097" i="1" s="1"/>
  <c r="B1097" i="1"/>
  <c r="P1096" i="1"/>
  <c r="O1096" i="1"/>
  <c r="E1096" i="1"/>
  <c r="A1096" i="1" s="1"/>
  <c r="B1096" i="1"/>
  <c r="P1095" i="1"/>
  <c r="O1095" i="1"/>
  <c r="E1095" i="1"/>
  <c r="A1095" i="1" s="1"/>
  <c r="B1095" i="1"/>
  <c r="P1094" i="1"/>
  <c r="O1094" i="1"/>
  <c r="E1094" i="1"/>
  <c r="A1094" i="1" s="1"/>
  <c r="B1094" i="1"/>
  <c r="P1093" i="1"/>
  <c r="O1093" i="1"/>
  <c r="E1093" i="1"/>
  <c r="A1093" i="1" s="1"/>
  <c r="B1093" i="1"/>
  <c r="P1092" i="1"/>
  <c r="O1092" i="1"/>
  <c r="E1092" i="1"/>
  <c r="A1092" i="1" s="1"/>
  <c r="B1092" i="1"/>
  <c r="P1091" i="1"/>
  <c r="O1091" i="1"/>
  <c r="E1091" i="1"/>
  <c r="A1091" i="1" s="1"/>
  <c r="B1091" i="1"/>
  <c r="P1090" i="1"/>
  <c r="O1090" i="1"/>
  <c r="E1090" i="1"/>
  <c r="A1090" i="1" s="1"/>
  <c r="B1090" i="1"/>
  <c r="P1089" i="1"/>
  <c r="O1089" i="1"/>
  <c r="E1089" i="1"/>
  <c r="A1089" i="1" s="1"/>
  <c r="B1089" i="1"/>
  <c r="P1088" i="1"/>
  <c r="O1088" i="1"/>
  <c r="E1088" i="1"/>
  <c r="A1088" i="1" s="1"/>
  <c r="B1088" i="1"/>
  <c r="P1087" i="1"/>
  <c r="O1087" i="1"/>
  <c r="E1087" i="1"/>
  <c r="A1087" i="1" s="1"/>
  <c r="B1087" i="1"/>
  <c r="P1086" i="1"/>
  <c r="O1086" i="1"/>
  <c r="E1086" i="1"/>
  <c r="A1086" i="1" s="1"/>
  <c r="B1086" i="1"/>
  <c r="P1085" i="1"/>
  <c r="O1085" i="1"/>
  <c r="E1085" i="1"/>
  <c r="A1085" i="1" s="1"/>
  <c r="B1085" i="1"/>
  <c r="P1084" i="1"/>
  <c r="O1084" i="1"/>
  <c r="E1084" i="1"/>
  <c r="A1084" i="1" s="1"/>
  <c r="B1084" i="1"/>
  <c r="P1083" i="1"/>
  <c r="O1083" i="1"/>
  <c r="E1083" i="1"/>
  <c r="A1083" i="1" s="1"/>
  <c r="B1083" i="1"/>
  <c r="P1082" i="1"/>
  <c r="O1082" i="1"/>
  <c r="E1082" i="1"/>
  <c r="A1082" i="1" s="1"/>
  <c r="B1082" i="1"/>
  <c r="P1081" i="1"/>
  <c r="O1081" i="1"/>
  <c r="E1081" i="1"/>
  <c r="A1081" i="1" s="1"/>
  <c r="B1081" i="1"/>
  <c r="P1080" i="1"/>
  <c r="O1080" i="1"/>
  <c r="E1080" i="1"/>
  <c r="A1080" i="1" s="1"/>
  <c r="B1080" i="1"/>
  <c r="P1079" i="1"/>
  <c r="O1079" i="1"/>
  <c r="E1079" i="1"/>
  <c r="A1079" i="1" s="1"/>
  <c r="B1079" i="1"/>
  <c r="P1078" i="1"/>
  <c r="O1078" i="1"/>
  <c r="E1078" i="1"/>
  <c r="A1078" i="1" s="1"/>
  <c r="B1078" i="1"/>
  <c r="P1077" i="1"/>
  <c r="O1077" i="1"/>
  <c r="E1077" i="1"/>
  <c r="A1077" i="1" s="1"/>
  <c r="B1077" i="1"/>
  <c r="P1076" i="1"/>
  <c r="O1076" i="1"/>
  <c r="E1076" i="1"/>
  <c r="A1076" i="1" s="1"/>
  <c r="B1076" i="1"/>
  <c r="P1075" i="1"/>
  <c r="O1075" i="1"/>
  <c r="E1075" i="1"/>
  <c r="A1075" i="1" s="1"/>
  <c r="B1075" i="1"/>
  <c r="P1074" i="1"/>
  <c r="O1074" i="1"/>
  <c r="E1074" i="1"/>
  <c r="A1074" i="1" s="1"/>
  <c r="B1074" i="1"/>
  <c r="P1073" i="1"/>
  <c r="O1073" i="1"/>
  <c r="E1073" i="1"/>
  <c r="A1073" i="1" s="1"/>
  <c r="B1073" i="1"/>
  <c r="P1072" i="1"/>
  <c r="O1072" i="1"/>
  <c r="E1072" i="1"/>
  <c r="A1072" i="1" s="1"/>
  <c r="B1072" i="1"/>
  <c r="P1071" i="1"/>
  <c r="O1071" i="1"/>
  <c r="E1071" i="1"/>
  <c r="A1071" i="1" s="1"/>
  <c r="B1071" i="1"/>
  <c r="P1070" i="1"/>
  <c r="O1070" i="1"/>
  <c r="E1070" i="1"/>
  <c r="A1070" i="1" s="1"/>
  <c r="B1070" i="1"/>
  <c r="P1069" i="1"/>
  <c r="O1069" i="1"/>
  <c r="E1069" i="1"/>
  <c r="A1069" i="1" s="1"/>
  <c r="B1069" i="1"/>
  <c r="P1068" i="1"/>
  <c r="O1068" i="1"/>
  <c r="E1068" i="1"/>
  <c r="A1068" i="1" s="1"/>
  <c r="B1068" i="1"/>
  <c r="P1067" i="1"/>
  <c r="O1067" i="1"/>
  <c r="E1067" i="1"/>
  <c r="A1067" i="1" s="1"/>
  <c r="B1067" i="1"/>
  <c r="P1066" i="1"/>
  <c r="O1066" i="1"/>
  <c r="E1066" i="1"/>
  <c r="A1066" i="1" s="1"/>
  <c r="B1066" i="1"/>
  <c r="P1065" i="1"/>
  <c r="O1065" i="1"/>
  <c r="E1065" i="1"/>
  <c r="A1065" i="1" s="1"/>
  <c r="B1065" i="1"/>
  <c r="P1064" i="1"/>
  <c r="O1064" i="1"/>
  <c r="E1064" i="1"/>
  <c r="A1064" i="1" s="1"/>
  <c r="B1064" i="1"/>
  <c r="P1063" i="1"/>
  <c r="O1063" i="1"/>
  <c r="E1063" i="1"/>
  <c r="A1063" i="1" s="1"/>
  <c r="B1063" i="1"/>
  <c r="P1062" i="1"/>
  <c r="O1062" i="1"/>
  <c r="E1062" i="1"/>
  <c r="A1062" i="1" s="1"/>
  <c r="B1062" i="1"/>
  <c r="P1061" i="1"/>
  <c r="O1061" i="1"/>
  <c r="E1061" i="1"/>
  <c r="A1061" i="1" s="1"/>
  <c r="B1061" i="1"/>
  <c r="P1060" i="1"/>
  <c r="O1060" i="1"/>
  <c r="E1060" i="1"/>
  <c r="A1060" i="1" s="1"/>
  <c r="B1060" i="1"/>
  <c r="P1059" i="1"/>
  <c r="O1059" i="1"/>
  <c r="E1059" i="1"/>
  <c r="A1059" i="1" s="1"/>
  <c r="B1059" i="1"/>
  <c r="P1058" i="1"/>
  <c r="O1058" i="1"/>
  <c r="E1058" i="1"/>
  <c r="A1058" i="1" s="1"/>
  <c r="B1058" i="1"/>
  <c r="P1057" i="1"/>
  <c r="O1057" i="1"/>
  <c r="E1057" i="1"/>
  <c r="A1057" i="1" s="1"/>
  <c r="B1057" i="1"/>
  <c r="P1056" i="1"/>
  <c r="O1056" i="1"/>
  <c r="E1056" i="1"/>
  <c r="A1056" i="1" s="1"/>
  <c r="B1056" i="1"/>
  <c r="P1055" i="1"/>
  <c r="O1055" i="1"/>
  <c r="E1055" i="1"/>
  <c r="A1055" i="1" s="1"/>
  <c r="B1055" i="1"/>
  <c r="P1054" i="1"/>
  <c r="O1054" i="1"/>
  <c r="E1054" i="1"/>
  <c r="A1054" i="1" s="1"/>
  <c r="B1054" i="1"/>
  <c r="P1053" i="1"/>
  <c r="O1053" i="1"/>
  <c r="E1053" i="1"/>
  <c r="A1053" i="1" s="1"/>
  <c r="B1053" i="1"/>
  <c r="P1052" i="1"/>
  <c r="O1052" i="1"/>
  <c r="E1052" i="1"/>
  <c r="A1052" i="1" s="1"/>
  <c r="B1052" i="1"/>
  <c r="P1051" i="1"/>
  <c r="O1051" i="1"/>
  <c r="E1051" i="1"/>
  <c r="A1051" i="1" s="1"/>
  <c r="B1051" i="1"/>
  <c r="P1050" i="1"/>
  <c r="O1050" i="1"/>
  <c r="E1050" i="1"/>
  <c r="A1050" i="1" s="1"/>
  <c r="B1050" i="1"/>
  <c r="P1049" i="1"/>
  <c r="O1049" i="1"/>
  <c r="E1049" i="1"/>
  <c r="A1049" i="1" s="1"/>
  <c r="B1049" i="1"/>
  <c r="P1048" i="1"/>
  <c r="O1048" i="1"/>
  <c r="E1048" i="1"/>
  <c r="A1048" i="1" s="1"/>
  <c r="B1048" i="1"/>
  <c r="P1047" i="1"/>
  <c r="O1047" i="1"/>
  <c r="E1047" i="1"/>
  <c r="A1047" i="1" s="1"/>
  <c r="B1047" i="1"/>
  <c r="P1046" i="1"/>
  <c r="O1046" i="1"/>
  <c r="E1046" i="1"/>
  <c r="A1046" i="1" s="1"/>
  <c r="B1046" i="1"/>
  <c r="P1045" i="1"/>
  <c r="O1045" i="1"/>
  <c r="E1045" i="1"/>
  <c r="A1045" i="1" s="1"/>
  <c r="B1045" i="1"/>
  <c r="P1044" i="1"/>
  <c r="O1044" i="1"/>
  <c r="E1044" i="1"/>
  <c r="A1044" i="1" s="1"/>
  <c r="B1044" i="1"/>
  <c r="P1043" i="1"/>
  <c r="O1043" i="1"/>
  <c r="E1043" i="1"/>
  <c r="A1043" i="1" s="1"/>
  <c r="B1043" i="1"/>
  <c r="P1042" i="1"/>
  <c r="O1042" i="1"/>
  <c r="E1042" i="1"/>
  <c r="A1042" i="1" s="1"/>
  <c r="B1042" i="1"/>
  <c r="P1041" i="1"/>
  <c r="O1041" i="1"/>
  <c r="E1041" i="1"/>
  <c r="A1041" i="1" s="1"/>
  <c r="B1041" i="1"/>
  <c r="P1040" i="1"/>
  <c r="O1040" i="1"/>
  <c r="E1040" i="1"/>
  <c r="A1040" i="1" s="1"/>
  <c r="B1040" i="1"/>
  <c r="P1039" i="1"/>
  <c r="O1039" i="1"/>
  <c r="E1039" i="1"/>
  <c r="A1039" i="1" s="1"/>
  <c r="B1039" i="1"/>
  <c r="P1038" i="1"/>
  <c r="O1038" i="1"/>
  <c r="E1038" i="1"/>
  <c r="A1038" i="1" s="1"/>
  <c r="B1038" i="1"/>
  <c r="P1037" i="1"/>
  <c r="O1037" i="1"/>
  <c r="E1037" i="1"/>
  <c r="A1037" i="1" s="1"/>
  <c r="B1037" i="1"/>
  <c r="P1036" i="1"/>
  <c r="O1036" i="1"/>
  <c r="E1036" i="1"/>
  <c r="A1036" i="1" s="1"/>
  <c r="B1036" i="1"/>
  <c r="P1035" i="1"/>
  <c r="O1035" i="1"/>
  <c r="E1035" i="1"/>
  <c r="A1035" i="1" s="1"/>
  <c r="B1035" i="1"/>
  <c r="P1034" i="1"/>
  <c r="O1034" i="1"/>
  <c r="E1034" i="1"/>
  <c r="A1034" i="1" s="1"/>
  <c r="B1034" i="1"/>
  <c r="P1033" i="1"/>
  <c r="O1033" i="1"/>
  <c r="E1033" i="1"/>
  <c r="A1033" i="1" s="1"/>
  <c r="B1033" i="1"/>
  <c r="P1032" i="1"/>
  <c r="O1032" i="1"/>
  <c r="E1032" i="1"/>
  <c r="A1032" i="1" s="1"/>
  <c r="B1032" i="1"/>
  <c r="P1031" i="1"/>
  <c r="O1031" i="1"/>
  <c r="E1031" i="1"/>
  <c r="A1031" i="1" s="1"/>
  <c r="B1031" i="1"/>
  <c r="P1030" i="1"/>
  <c r="O1030" i="1"/>
  <c r="E1030" i="1"/>
  <c r="A1030" i="1" s="1"/>
  <c r="B1030" i="1"/>
  <c r="P1029" i="1"/>
  <c r="O1029" i="1"/>
  <c r="E1029" i="1"/>
  <c r="A1029" i="1" s="1"/>
  <c r="B1029" i="1"/>
  <c r="P1028" i="1"/>
  <c r="O1028" i="1"/>
  <c r="E1028" i="1"/>
  <c r="A1028" i="1" s="1"/>
  <c r="B1028" i="1"/>
  <c r="P1027" i="1"/>
  <c r="O1027" i="1"/>
  <c r="E1027" i="1"/>
  <c r="A1027" i="1" s="1"/>
  <c r="B1027" i="1"/>
  <c r="P1026" i="1"/>
  <c r="O1026" i="1"/>
  <c r="E1026" i="1"/>
  <c r="A1026" i="1" s="1"/>
  <c r="B1026" i="1"/>
  <c r="P1025" i="1"/>
  <c r="O1025" i="1"/>
  <c r="E1025" i="1"/>
  <c r="A1025" i="1" s="1"/>
  <c r="B1025" i="1"/>
  <c r="P1024" i="1"/>
  <c r="O1024" i="1"/>
  <c r="E1024" i="1"/>
  <c r="A1024" i="1" s="1"/>
  <c r="B1024" i="1"/>
  <c r="P1023" i="1"/>
  <c r="O1023" i="1"/>
  <c r="E1023" i="1"/>
  <c r="A1023" i="1" s="1"/>
  <c r="B1023" i="1"/>
  <c r="P1022" i="1"/>
  <c r="O1022" i="1"/>
  <c r="E1022" i="1"/>
  <c r="A1022" i="1" s="1"/>
  <c r="B1022" i="1"/>
  <c r="P1021" i="1"/>
  <c r="O1021" i="1"/>
  <c r="E1021" i="1"/>
  <c r="A1021" i="1" s="1"/>
  <c r="B1021" i="1"/>
  <c r="P1020" i="1"/>
  <c r="O1020" i="1"/>
  <c r="E1020" i="1"/>
  <c r="A1020" i="1" s="1"/>
  <c r="B1020" i="1"/>
  <c r="P1019" i="1"/>
  <c r="O1019" i="1"/>
  <c r="E1019" i="1"/>
  <c r="A1019" i="1" s="1"/>
  <c r="B1019" i="1"/>
  <c r="P1018" i="1"/>
  <c r="O1018" i="1"/>
  <c r="E1018" i="1"/>
  <c r="A1018" i="1" s="1"/>
  <c r="B1018" i="1"/>
  <c r="P1017" i="1"/>
  <c r="O1017" i="1"/>
  <c r="E1017" i="1"/>
  <c r="A1017" i="1" s="1"/>
  <c r="B1017" i="1"/>
  <c r="P1016" i="1"/>
  <c r="O1016" i="1"/>
  <c r="E1016" i="1"/>
  <c r="A1016" i="1" s="1"/>
  <c r="B1016" i="1"/>
  <c r="P1015" i="1"/>
  <c r="O1015" i="1"/>
  <c r="E1015" i="1"/>
  <c r="A1015" i="1" s="1"/>
  <c r="B1015" i="1"/>
  <c r="P1014" i="1"/>
  <c r="O1014" i="1"/>
  <c r="E1014" i="1"/>
  <c r="A1014" i="1" s="1"/>
  <c r="B1014" i="1"/>
  <c r="P1013" i="1"/>
  <c r="O1013" i="1"/>
  <c r="E1013" i="1"/>
  <c r="A1013" i="1" s="1"/>
  <c r="B1013" i="1"/>
  <c r="P1012" i="1"/>
  <c r="O1012" i="1"/>
  <c r="E1012" i="1"/>
  <c r="A1012" i="1" s="1"/>
  <c r="B1012" i="1"/>
  <c r="P1011" i="1"/>
  <c r="O1011" i="1"/>
  <c r="E1011" i="1"/>
  <c r="A1011" i="1" s="1"/>
  <c r="B1011" i="1"/>
  <c r="P1010" i="1"/>
  <c r="O1010" i="1"/>
  <c r="E1010" i="1"/>
  <c r="A1010" i="1" s="1"/>
  <c r="B1010" i="1"/>
  <c r="P1009" i="1"/>
  <c r="O1009" i="1"/>
  <c r="E1009" i="1"/>
  <c r="A1009" i="1" s="1"/>
  <c r="B1009" i="1"/>
  <c r="P1008" i="1"/>
  <c r="O1008" i="1"/>
  <c r="E1008" i="1"/>
  <c r="A1008" i="1" s="1"/>
  <c r="B1008" i="1"/>
  <c r="P1007" i="1"/>
  <c r="O1007" i="1"/>
  <c r="E1007" i="1"/>
  <c r="A1007" i="1" s="1"/>
  <c r="B1007" i="1"/>
  <c r="P1006" i="1"/>
  <c r="O1006" i="1"/>
  <c r="E1006" i="1"/>
  <c r="A1006" i="1" s="1"/>
  <c r="B1006" i="1"/>
  <c r="P1005" i="1"/>
  <c r="O1005" i="1"/>
  <c r="E1005" i="1"/>
  <c r="A1005" i="1" s="1"/>
  <c r="B1005" i="1"/>
  <c r="P1004" i="1"/>
  <c r="O1004" i="1"/>
  <c r="E1004" i="1"/>
  <c r="A1004" i="1" s="1"/>
  <c r="B1004" i="1"/>
  <c r="P1003" i="1"/>
  <c r="O1003" i="1"/>
  <c r="E1003" i="1"/>
  <c r="A1003" i="1" s="1"/>
  <c r="B1003" i="1"/>
  <c r="P1002" i="1"/>
  <c r="O1002" i="1"/>
  <c r="E1002" i="1"/>
  <c r="A1002" i="1" s="1"/>
  <c r="B1002" i="1"/>
  <c r="P1001" i="1"/>
  <c r="O1001" i="1"/>
  <c r="E1001" i="1"/>
  <c r="A1001" i="1" s="1"/>
  <c r="B1001" i="1"/>
  <c r="P1000" i="1"/>
  <c r="O1000" i="1"/>
  <c r="E1000" i="1"/>
  <c r="A1000" i="1" s="1"/>
  <c r="B1000" i="1"/>
  <c r="P999" i="1"/>
  <c r="O999" i="1"/>
  <c r="E999" i="1"/>
  <c r="A999" i="1" s="1"/>
  <c r="B999" i="1"/>
  <c r="P998" i="1"/>
  <c r="O998" i="1"/>
  <c r="E998" i="1"/>
  <c r="A998" i="1" s="1"/>
  <c r="B998" i="1"/>
  <c r="P997" i="1"/>
  <c r="O997" i="1"/>
  <c r="E997" i="1"/>
  <c r="A997" i="1" s="1"/>
  <c r="B997" i="1"/>
  <c r="P996" i="1"/>
  <c r="O996" i="1"/>
  <c r="E996" i="1"/>
  <c r="A996" i="1" s="1"/>
  <c r="B996" i="1"/>
  <c r="P995" i="1"/>
  <c r="O995" i="1"/>
  <c r="E995" i="1"/>
  <c r="A995" i="1" s="1"/>
  <c r="B995" i="1"/>
  <c r="P994" i="1"/>
  <c r="O994" i="1"/>
  <c r="E994" i="1"/>
  <c r="A994" i="1" s="1"/>
  <c r="B994" i="1"/>
  <c r="P993" i="1"/>
  <c r="O993" i="1"/>
  <c r="E993" i="1"/>
  <c r="A993" i="1" s="1"/>
  <c r="B993" i="1"/>
  <c r="P992" i="1"/>
  <c r="O992" i="1"/>
  <c r="E992" i="1"/>
  <c r="A992" i="1" s="1"/>
  <c r="B992" i="1"/>
  <c r="P991" i="1"/>
  <c r="O991" i="1"/>
  <c r="E991" i="1"/>
  <c r="A991" i="1" s="1"/>
  <c r="B991" i="1"/>
  <c r="P990" i="1"/>
  <c r="O990" i="1"/>
  <c r="E990" i="1"/>
  <c r="A990" i="1" s="1"/>
  <c r="B990" i="1"/>
  <c r="P989" i="1"/>
  <c r="O989" i="1"/>
  <c r="E989" i="1"/>
  <c r="A989" i="1" s="1"/>
  <c r="B989" i="1"/>
  <c r="P988" i="1"/>
  <c r="O988" i="1"/>
  <c r="E988" i="1"/>
  <c r="A988" i="1" s="1"/>
  <c r="B988" i="1"/>
  <c r="P987" i="1"/>
  <c r="O987" i="1"/>
  <c r="E987" i="1"/>
  <c r="A987" i="1" s="1"/>
  <c r="B987" i="1"/>
  <c r="P986" i="1"/>
  <c r="O986" i="1"/>
  <c r="E986" i="1"/>
  <c r="A986" i="1" s="1"/>
  <c r="B986" i="1"/>
  <c r="P985" i="1"/>
  <c r="O985" i="1"/>
  <c r="E985" i="1"/>
  <c r="A985" i="1" s="1"/>
  <c r="B985" i="1"/>
  <c r="P984" i="1"/>
  <c r="O984" i="1"/>
  <c r="E984" i="1"/>
  <c r="A984" i="1" s="1"/>
  <c r="B984" i="1"/>
  <c r="P983" i="1"/>
  <c r="O983" i="1"/>
  <c r="E983" i="1"/>
  <c r="A983" i="1" s="1"/>
  <c r="B983" i="1"/>
  <c r="P982" i="1"/>
  <c r="O982" i="1"/>
  <c r="E982" i="1"/>
  <c r="A982" i="1" s="1"/>
  <c r="B982" i="1"/>
  <c r="P981" i="1"/>
  <c r="O981" i="1"/>
  <c r="E981" i="1"/>
  <c r="A981" i="1" s="1"/>
  <c r="B981" i="1"/>
  <c r="P980" i="1"/>
  <c r="O980" i="1"/>
  <c r="E980" i="1"/>
  <c r="A980" i="1" s="1"/>
  <c r="B980" i="1"/>
  <c r="P979" i="1"/>
  <c r="O979" i="1"/>
  <c r="E979" i="1"/>
  <c r="A979" i="1" s="1"/>
  <c r="B979" i="1"/>
  <c r="P978" i="1"/>
  <c r="O978" i="1"/>
  <c r="E978" i="1"/>
  <c r="A978" i="1" s="1"/>
  <c r="B978" i="1"/>
  <c r="P977" i="1"/>
  <c r="O977" i="1"/>
  <c r="E977" i="1"/>
  <c r="A977" i="1" s="1"/>
  <c r="B977" i="1"/>
  <c r="P976" i="1"/>
  <c r="O976" i="1"/>
  <c r="E976" i="1"/>
  <c r="A976" i="1" s="1"/>
  <c r="B976" i="1"/>
  <c r="P975" i="1"/>
  <c r="O975" i="1"/>
  <c r="E975" i="1"/>
  <c r="A975" i="1" s="1"/>
  <c r="B975" i="1"/>
  <c r="P974" i="1"/>
  <c r="O974" i="1"/>
  <c r="E974" i="1"/>
  <c r="A974" i="1" s="1"/>
  <c r="B974" i="1"/>
  <c r="P973" i="1"/>
  <c r="O973" i="1"/>
  <c r="E973" i="1"/>
  <c r="A973" i="1" s="1"/>
  <c r="B973" i="1"/>
  <c r="P972" i="1"/>
  <c r="O972" i="1"/>
  <c r="E972" i="1"/>
  <c r="A972" i="1" s="1"/>
  <c r="B972" i="1"/>
  <c r="P971" i="1"/>
  <c r="O971" i="1"/>
  <c r="E971" i="1"/>
  <c r="A971" i="1" s="1"/>
  <c r="B971" i="1"/>
  <c r="P970" i="1"/>
  <c r="O970" i="1"/>
  <c r="E970" i="1"/>
  <c r="A970" i="1" s="1"/>
  <c r="B970" i="1"/>
  <c r="P969" i="1"/>
  <c r="O969" i="1"/>
  <c r="E969" i="1"/>
  <c r="A969" i="1" s="1"/>
  <c r="B969" i="1"/>
  <c r="P968" i="1"/>
  <c r="O968" i="1"/>
  <c r="E968" i="1"/>
  <c r="A968" i="1" s="1"/>
  <c r="B968" i="1"/>
  <c r="P967" i="1"/>
  <c r="O967" i="1"/>
  <c r="E967" i="1"/>
  <c r="A967" i="1" s="1"/>
  <c r="B967" i="1"/>
  <c r="P966" i="1"/>
  <c r="O966" i="1"/>
  <c r="E966" i="1"/>
  <c r="A966" i="1" s="1"/>
  <c r="B966" i="1"/>
  <c r="P965" i="1"/>
  <c r="O965" i="1"/>
  <c r="E965" i="1"/>
  <c r="A965" i="1" s="1"/>
  <c r="B965" i="1"/>
  <c r="P964" i="1"/>
  <c r="O964" i="1"/>
  <c r="E964" i="1"/>
  <c r="A964" i="1" s="1"/>
  <c r="B964" i="1"/>
  <c r="P963" i="1"/>
  <c r="O963" i="1"/>
  <c r="E963" i="1"/>
  <c r="A963" i="1" s="1"/>
  <c r="B963" i="1"/>
  <c r="P962" i="1"/>
  <c r="O962" i="1"/>
  <c r="E962" i="1"/>
  <c r="A962" i="1" s="1"/>
  <c r="B962" i="1"/>
  <c r="P961" i="1"/>
  <c r="O961" i="1"/>
  <c r="E961" i="1"/>
  <c r="A961" i="1" s="1"/>
  <c r="B961" i="1"/>
  <c r="P960" i="1"/>
  <c r="O960" i="1"/>
  <c r="E960" i="1"/>
  <c r="A960" i="1" s="1"/>
  <c r="B960" i="1"/>
  <c r="P959" i="1"/>
  <c r="O959" i="1"/>
  <c r="E959" i="1"/>
  <c r="A959" i="1" s="1"/>
  <c r="B959" i="1"/>
  <c r="P958" i="1"/>
  <c r="O958" i="1"/>
  <c r="E958" i="1"/>
  <c r="A958" i="1" s="1"/>
  <c r="B958" i="1"/>
  <c r="P957" i="1"/>
  <c r="O957" i="1"/>
  <c r="E957" i="1"/>
  <c r="A957" i="1" s="1"/>
  <c r="B957" i="1"/>
  <c r="P956" i="1"/>
  <c r="O956" i="1"/>
  <c r="E956" i="1"/>
  <c r="A956" i="1" s="1"/>
  <c r="B956" i="1"/>
  <c r="P955" i="1"/>
  <c r="O955" i="1"/>
  <c r="E955" i="1"/>
  <c r="A955" i="1" s="1"/>
  <c r="B955" i="1"/>
  <c r="P954" i="1"/>
  <c r="O954" i="1"/>
  <c r="E954" i="1"/>
  <c r="A954" i="1" s="1"/>
  <c r="B954" i="1"/>
  <c r="P953" i="1"/>
  <c r="O953" i="1"/>
  <c r="E953" i="1"/>
  <c r="A953" i="1" s="1"/>
  <c r="B953" i="1"/>
  <c r="P952" i="1"/>
  <c r="O952" i="1"/>
  <c r="E952" i="1"/>
  <c r="A952" i="1" s="1"/>
  <c r="B952" i="1"/>
  <c r="P951" i="1"/>
  <c r="O951" i="1"/>
  <c r="E951" i="1"/>
  <c r="A951" i="1" s="1"/>
  <c r="B951" i="1"/>
  <c r="P950" i="1"/>
  <c r="O950" i="1"/>
  <c r="E950" i="1"/>
  <c r="A950" i="1" s="1"/>
  <c r="B950" i="1"/>
  <c r="P949" i="1"/>
  <c r="O949" i="1"/>
  <c r="E949" i="1"/>
  <c r="A949" i="1" s="1"/>
  <c r="B949" i="1"/>
  <c r="P948" i="1"/>
  <c r="O948" i="1"/>
  <c r="E948" i="1"/>
  <c r="A948" i="1" s="1"/>
  <c r="B948" i="1"/>
  <c r="P947" i="1"/>
  <c r="O947" i="1"/>
  <c r="E947" i="1"/>
  <c r="A947" i="1" s="1"/>
  <c r="B947" i="1"/>
  <c r="P946" i="1"/>
  <c r="O946" i="1"/>
  <c r="E946" i="1"/>
  <c r="A946" i="1" s="1"/>
  <c r="B946" i="1"/>
  <c r="P945" i="1"/>
  <c r="O945" i="1"/>
  <c r="E945" i="1"/>
  <c r="A945" i="1" s="1"/>
  <c r="B945" i="1"/>
  <c r="P944" i="1"/>
  <c r="O944" i="1"/>
  <c r="E944" i="1"/>
  <c r="A944" i="1" s="1"/>
  <c r="B944" i="1"/>
  <c r="P943" i="1"/>
  <c r="O943" i="1"/>
  <c r="E943" i="1"/>
  <c r="A943" i="1" s="1"/>
  <c r="B943" i="1"/>
  <c r="P942" i="1"/>
  <c r="O942" i="1"/>
  <c r="E942" i="1"/>
  <c r="A942" i="1" s="1"/>
  <c r="B942" i="1"/>
  <c r="P941" i="1"/>
  <c r="O941" i="1"/>
  <c r="E941" i="1"/>
  <c r="A941" i="1" s="1"/>
  <c r="B941" i="1"/>
  <c r="P940" i="1"/>
  <c r="O940" i="1"/>
  <c r="E940" i="1"/>
  <c r="A940" i="1" s="1"/>
  <c r="B940" i="1"/>
  <c r="P939" i="1"/>
  <c r="O939" i="1"/>
  <c r="E939" i="1"/>
  <c r="A939" i="1" s="1"/>
  <c r="B939" i="1"/>
  <c r="P938" i="1"/>
  <c r="O938" i="1"/>
  <c r="E938" i="1"/>
  <c r="A938" i="1" s="1"/>
  <c r="B938" i="1"/>
  <c r="P937" i="1"/>
  <c r="O937" i="1"/>
  <c r="E937" i="1"/>
  <c r="A937" i="1" s="1"/>
  <c r="B937" i="1"/>
  <c r="P936" i="1"/>
  <c r="O936" i="1"/>
  <c r="E936" i="1"/>
  <c r="A936" i="1" s="1"/>
  <c r="B936" i="1"/>
  <c r="P935" i="1"/>
  <c r="O935" i="1"/>
  <c r="E935" i="1"/>
  <c r="A935" i="1" s="1"/>
  <c r="B935" i="1"/>
  <c r="P934" i="1"/>
  <c r="O934" i="1"/>
  <c r="E934" i="1"/>
  <c r="A934" i="1" s="1"/>
  <c r="B934" i="1"/>
  <c r="P933" i="1"/>
  <c r="O933" i="1"/>
  <c r="E933" i="1"/>
  <c r="A933" i="1" s="1"/>
  <c r="B933" i="1"/>
  <c r="P932" i="1"/>
  <c r="O932" i="1"/>
  <c r="E932" i="1"/>
  <c r="A932" i="1" s="1"/>
  <c r="B932" i="1"/>
  <c r="P931" i="1"/>
  <c r="O931" i="1"/>
  <c r="E931" i="1"/>
  <c r="A931" i="1" s="1"/>
  <c r="B931" i="1"/>
  <c r="P930" i="1"/>
  <c r="O930" i="1"/>
  <c r="E930" i="1"/>
  <c r="A930" i="1" s="1"/>
  <c r="B930" i="1"/>
  <c r="P929" i="1"/>
  <c r="O929" i="1"/>
  <c r="E929" i="1"/>
  <c r="A929" i="1" s="1"/>
  <c r="B929" i="1"/>
  <c r="P928" i="1"/>
  <c r="O928" i="1"/>
  <c r="E928" i="1"/>
  <c r="A928" i="1" s="1"/>
  <c r="B928" i="1"/>
  <c r="P927" i="1"/>
  <c r="O927" i="1"/>
  <c r="E927" i="1"/>
  <c r="A927" i="1" s="1"/>
  <c r="B927" i="1"/>
  <c r="P926" i="1"/>
  <c r="O926" i="1"/>
  <c r="E926" i="1"/>
  <c r="A926" i="1" s="1"/>
  <c r="B926" i="1"/>
  <c r="P925" i="1"/>
  <c r="O925" i="1"/>
  <c r="E925" i="1"/>
  <c r="A925" i="1" s="1"/>
  <c r="B925" i="1"/>
  <c r="P924" i="1"/>
  <c r="O924" i="1"/>
  <c r="E924" i="1"/>
  <c r="A924" i="1" s="1"/>
  <c r="B924" i="1"/>
  <c r="P923" i="1"/>
  <c r="O923" i="1"/>
  <c r="E923" i="1"/>
  <c r="A923" i="1" s="1"/>
  <c r="B923" i="1"/>
  <c r="P922" i="1"/>
  <c r="O922" i="1"/>
  <c r="E922" i="1"/>
  <c r="A922" i="1" s="1"/>
  <c r="B922" i="1"/>
  <c r="P921" i="1"/>
  <c r="O921" i="1"/>
  <c r="E921" i="1"/>
  <c r="A921" i="1" s="1"/>
  <c r="B921" i="1"/>
  <c r="P920" i="1"/>
  <c r="O920" i="1"/>
  <c r="E920" i="1"/>
  <c r="A920" i="1" s="1"/>
  <c r="B920" i="1"/>
  <c r="P919" i="1"/>
  <c r="O919" i="1"/>
  <c r="E919" i="1"/>
  <c r="A919" i="1" s="1"/>
  <c r="B919" i="1"/>
  <c r="P918" i="1"/>
  <c r="O918" i="1"/>
  <c r="E918" i="1"/>
  <c r="A918" i="1" s="1"/>
  <c r="B918" i="1"/>
  <c r="P917" i="1"/>
  <c r="O917" i="1"/>
  <c r="E917" i="1"/>
  <c r="A917" i="1" s="1"/>
  <c r="B917" i="1"/>
  <c r="P916" i="1"/>
  <c r="O916" i="1"/>
  <c r="E916" i="1"/>
  <c r="A916" i="1" s="1"/>
  <c r="B916" i="1"/>
  <c r="P915" i="1"/>
  <c r="O915" i="1"/>
  <c r="E915" i="1"/>
  <c r="A915" i="1" s="1"/>
  <c r="B915" i="1"/>
  <c r="P914" i="1"/>
  <c r="O914" i="1"/>
  <c r="E914" i="1"/>
  <c r="A914" i="1" s="1"/>
  <c r="B914" i="1"/>
  <c r="P913" i="1"/>
  <c r="O913" i="1"/>
  <c r="E913" i="1"/>
  <c r="A913" i="1" s="1"/>
  <c r="B913" i="1"/>
  <c r="P912" i="1"/>
  <c r="O912" i="1"/>
  <c r="E912" i="1"/>
  <c r="A912" i="1" s="1"/>
  <c r="B912" i="1"/>
  <c r="P911" i="1"/>
  <c r="O911" i="1"/>
  <c r="E911" i="1"/>
  <c r="A911" i="1" s="1"/>
  <c r="B911" i="1"/>
  <c r="P910" i="1"/>
  <c r="O910" i="1"/>
  <c r="E910" i="1"/>
  <c r="A910" i="1" s="1"/>
  <c r="B910" i="1"/>
  <c r="P909" i="1"/>
  <c r="O909" i="1"/>
  <c r="E909" i="1"/>
  <c r="A909" i="1" s="1"/>
  <c r="B909" i="1"/>
  <c r="P908" i="1"/>
  <c r="O908" i="1"/>
  <c r="E908" i="1"/>
  <c r="A908" i="1" s="1"/>
  <c r="B908" i="1"/>
  <c r="P907" i="1"/>
  <c r="O907" i="1"/>
  <c r="E907" i="1"/>
  <c r="A907" i="1" s="1"/>
  <c r="B907" i="1"/>
  <c r="P906" i="1"/>
  <c r="O906" i="1"/>
  <c r="E906" i="1"/>
  <c r="A906" i="1" s="1"/>
  <c r="B906" i="1"/>
  <c r="P905" i="1"/>
  <c r="O905" i="1"/>
  <c r="E905" i="1"/>
  <c r="A905" i="1" s="1"/>
  <c r="B905" i="1"/>
  <c r="P904" i="1"/>
  <c r="O904" i="1"/>
  <c r="E904" i="1"/>
  <c r="A904" i="1" s="1"/>
  <c r="B904" i="1"/>
  <c r="P903" i="1"/>
  <c r="O903" i="1"/>
  <c r="E903" i="1"/>
  <c r="A903" i="1" s="1"/>
  <c r="B903" i="1"/>
  <c r="P902" i="1"/>
  <c r="O902" i="1"/>
  <c r="E902" i="1"/>
  <c r="A902" i="1" s="1"/>
  <c r="B902" i="1"/>
  <c r="P901" i="1"/>
  <c r="O901" i="1"/>
  <c r="E901" i="1"/>
  <c r="A901" i="1" s="1"/>
  <c r="B901" i="1"/>
  <c r="P900" i="1"/>
  <c r="O900" i="1"/>
  <c r="E900" i="1"/>
  <c r="A900" i="1" s="1"/>
  <c r="B900" i="1"/>
  <c r="P899" i="1"/>
  <c r="O899" i="1"/>
  <c r="E899" i="1"/>
  <c r="A899" i="1" s="1"/>
  <c r="B899" i="1"/>
  <c r="P898" i="1"/>
  <c r="O898" i="1"/>
  <c r="E898" i="1"/>
  <c r="A898" i="1" s="1"/>
  <c r="B898" i="1"/>
  <c r="P897" i="1"/>
  <c r="O897" i="1"/>
  <c r="E897" i="1"/>
  <c r="A897" i="1" s="1"/>
  <c r="B897" i="1"/>
  <c r="P896" i="1"/>
  <c r="O896" i="1"/>
  <c r="E896" i="1"/>
  <c r="A896" i="1" s="1"/>
  <c r="B896" i="1"/>
  <c r="P895" i="1"/>
  <c r="O895" i="1"/>
  <c r="E895" i="1"/>
  <c r="A895" i="1" s="1"/>
  <c r="B895" i="1"/>
  <c r="P894" i="1"/>
  <c r="O894" i="1"/>
  <c r="E894" i="1"/>
  <c r="A894" i="1" s="1"/>
  <c r="B894" i="1"/>
  <c r="P893" i="1"/>
  <c r="O893" i="1"/>
  <c r="E893" i="1"/>
  <c r="A893" i="1" s="1"/>
  <c r="B893" i="1"/>
  <c r="P892" i="1"/>
  <c r="O892" i="1"/>
  <c r="E892" i="1"/>
  <c r="A892" i="1" s="1"/>
  <c r="B892" i="1"/>
  <c r="P891" i="1"/>
  <c r="O891" i="1"/>
  <c r="E891" i="1"/>
  <c r="A891" i="1" s="1"/>
  <c r="B891" i="1"/>
  <c r="P890" i="1"/>
  <c r="O890" i="1"/>
  <c r="E890" i="1"/>
  <c r="A890" i="1" s="1"/>
  <c r="B890" i="1"/>
  <c r="P889" i="1"/>
  <c r="O889" i="1"/>
  <c r="E889" i="1"/>
  <c r="A889" i="1" s="1"/>
  <c r="B889" i="1"/>
  <c r="P888" i="1"/>
  <c r="O888" i="1"/>
  <c r="E888" i="1"/>
  <c r="A888" i="1" s="1"/>
  <c r="B888" i="1"/>
  <c r="P887" i="1"/>
  <c r="O887" i="1"/>
  <c r="E887" i="1"/>
  <c r="A887" i="1" s="1"/>
  <c r="B887" i="1"/>
  <c r="P886" i="1"/>
  <c r="O886" i="1"/>
  <c r="E886" i="1"/>
  <c r="A886" i="1" s="1"/>
  <c r="B886" i="1"/>
  <c r="P885" i="1"/>
  <c r="O885" i="1"/>
  <c r="E885" i="1"/>
  <c r="A885" i="1" s="1"/>
  <c r="B885" i="1"/>
  <c r="P884" i="1"/>
  <c r="O884" i="1"/>
  <c r="E884" i="1"/>
  <c r="A884" i="1" s="1"/>
  <c r="B884" i="1"/>
  <c r="P883" i="1"/>
  <c r="O883" i="1"/>
  <c r="E883" i="1"/>
  <c r="A883" i="1" s="1"/>
  <c r="B883" i="1"/>
  <c r="P882" i="1"/>
  <c r="O882" i="1"/>
  <c r="E882" i="1"/>
  <c r="A882" i="1" s="1"/>
  <c r="B882" i="1"/>
  <c r="P881" i="1"/>
  <c r="O881" i="1"/>
  <c r="E881" i="1"/>
  <c r="A881" i="1" s="1"/>
  <c r="B881" i="1"/>
  <c r="P880" i="1"/>
  <c r="O880" i="1"/>
  <c r="E880" i="1"/>
  <c r="A880" i="1" s="1"/>
  <c r="B880" i="1"/>
  <c r="P879" i="1"/>
  <c r="O879" i="1"/>
  <c r="E879" i="1"/>
  <c r="A879" i="1" s="1"/>
  <c r="B879" i="1"/>
  <c r="P878" i="1"/>
  <c r="O878" i="1"/>
  <c r="E878" i="1"/>
  <c r="A878" i="1" s="1"/>
  <c r="B878" i="1"/>
  <c r="P877" i="1"/>
  <c r="O877" i="1"/>
  <c r="E877" i="1"/>
  <c r="A877" i="1" s="1"/>
  <c r="B877" i="1"/>
  <c r="P876" i="1"/>
  <c r="O876" i="1"/>
  <c r="E876" i="1"/>
  <c r="A876" i="1" s="1"/>
  <c r="B876" i="1"/>
  <c r="P875" i="1"/>
  <c r="O875" i="1"/>
  <c r="E875" i="1"/>
  <c r="A875" i="1" s="1"/>
  <c r="B875" i="1"/>
  <c r="P874" i="1"/>
  <c r="O874" i="1"/>
  <c r="E874" i="1"/>
  <c r="A874" i="1" s="1"/>
  <c r="B874" i="1"/>
  <c r="P873" i="1"/>
  <c r="O873" i="1"/>
  <c r="E873" i="1"/>
  <c r="A873" i="1" s="1"/>
  <c r="B873" i="1"/>
  <c r="P872" i="1"/>
  <c r="O872" i="1"/>
  <c r="E872" i="1"/>
  <c r="A872" i="1" s="1"/>
  <c r="B872" i="1"/>
  <c r="P871" i="1"/>
  <c r="O871" i="1"/>
  <c r="E871" i="1"/>
  <c r="A871" i="1" s="1"/>
  <c r="B871" i="1"/>
  <c r="P870" i="1"/>
  <c r="O870" i="1"/>
  <c r="E870" i="1"/>
  <c r="A870" i="1" s="1"/>
  <c r="B870" i="1"/>
  <c r="P869" i="1"/>
  <c r="O869" i="1"/>
  <c r="E869" i="1"/>
  <c r="A869" i="1" s="1"/>
  <c r="B869" i="1"/>
  <c r="P868" i="1"/>
  <c r="O868" i="1"/>
  <c r="E868" i="1"/>
  <c r="A868" i="1" s="1"/>
  <c r="B868" i="1"/>
  <c r="P867" i="1"/>
  <c r="O867" i="1"/>
  <c r="E867" i="1"/>
  <c r="A867" i="1" s="1"/>
  <c r="B867" i="1"/>
  <c r="P866" i="1"/>
  <c r="O866" i="1"/>
  <c r="E866" i="1"/>
  <c r="A866" i="1" s="1"/>
  <c r="B866" i="1"/>
  <c r="P865" i="1"/>
  <c r="O865" i="1"/>
  <c r="E865" i="1"/>
  <c r="A865" i="1" s="1"/>
  <c r="B865" i="1"/>
  <c r="P864" i="1"/>
  <c r="O864" i="1"/>
  <c r="E864" i="1"/>
  <c r="A864" i="1" s="1"/>
  <c r="B864" i="1"/>
  <c r="P863" i="1"/>
  <c r="O863" i="1"/>
  <c r="E863" i="1"/>
  <c r="A863" i="1" s="1"/>
  <c r="B863" i="1"/>
  <c r="P862" i="1"/>
  <c r="O862" i="1"/>
  <c r="E862" i="1"/>
  <c r="A862" i="1" s="1"/>
  <c r="B862" i="1"/>
  <c r="P861" i="1"/>
  <c r="O861" i="1"/>
  <c r="E861" i="1"/>
  <c r="A861" i="1" s="1"/>
  <c r="B861" i="1"/>
  <c r="P860" i="1"/>
  <c r="O860" i="1"/>
  <c r="E860" i="1"/>
  <c r="A860" i="1" s="1"/>
  <c r="B860" i="1"/>
  <c r="P859" i="1"/>
  <c r="O859" i="1"/>
  <c r="E859" i="1"/>
  <c r="A859" i="1" s="1"/>
  <c r="B859" i="1"/>
  <c r="P858" i="1"/>
  <c r="O858" i="1"/>
  <c r="E858" i="1"/>
  <c r="A858" i="1" s="1"/>
  <c r="B858" i="1"/>
  <c r="P857" i="1"/>
  <c r="O857" i="1"/>
  <c r="E857" i="1"/>
  <c r="A857" i="1" s="1"/>
  <c r="B857" i="1"/>
  <c r="P856" i="1"/>
  <c r="O856" i="1"/>
  <c r="E856" i="1"/>
  <c r="A856" i="1" s="1"/>
  <c r="B856" i="1"/>
  <c r="P855" i="1"/>
  <c r="O855" i="1"/>
  <c r="E855" i="1"/>
  <c r="A855" i="1" s="1"/>
  <c r="B855" i="1"/>
  <c r="P854" i="1"/>
  <c r="O854" i="1"/>
  <c r="E854" i="1"/>
  <c r="A854" i="1" s="1"/>
  <c r="B854" i="1"/>
  <c r="P853" i="1"/>
  <c r="O853" i="1"/>
  <c r="E853" i="1"/>
  <c r="A853" i="1" s="1"/>
  <c r="B853" i="1"/>
  <c r="P852" i="1"/>
  <c r="O852" i="1"/>
  <c r="E852" i="1"/>
  <c r="A852" i="1" s="1"/>
  <c r="B852" i="1"/>
  <c r="P851" i="1"/>
  <c r="O851" i="1"/>
  <c r="E851" i="1"/>
  <c r="A851" i="1" s="1"/>
  <c r="B851" i="1"/>
  <c r="P850" i="1"/>
  <c r="O850" i="1"/>
  <c r="E850" i="1"/>
  <c r="A850" i="1" s="1"/>
  <c r="B850" i="1"/>
  <c r="P849" i="1"/>
  <c r="O849" i="1"/>
  <c r="E849" i="1"/>
  <c r="A849" i="1" s="1"/>
  <c r="B849" i="1"/>
  <c r="P848" i="1"/>
  <c r="O848" i="1"/>
  <c r="E848" i="1"/>
  <c r="A848" i="1" s="1"/>
  <c r="B848" i="1"/>
  <c r="P847" i="1"/>
  <c r="O847" i="1"/>
  <c r="E847" i="1"/>
  <c r="A847" i="1" s="1"/>
  <c r="B847" i="1"/>
  <c r="P846" i="1"/>
  <c r="O846" i="1"/>
  <c r="E846" i="1"/>
  <c r="A846" i="1" s="1"/>
  <c r="B846" i="1"/>
  <c r="P845" i="1"/>
  <c r="O845" i="1"/>
  <c r="E845" i="1"/>
  <c r="A845" i="1" s="1"/>
  <c r="B845" i="1"/>
  <c r="P844" i="1"/>
  <c r="O844" i="1"/>
  <c r="E844" i="1"/>
  <c r="A844" i="1" s="1"/>
  <c r="B844" i="1"/>
  <c r="P843" i="1"/>
  <c r="O843" i="1"/>
  <c r="E843" i="1"/>
  <c r="A843" i="1" s="1"/>
  <c r="B843" i="1"/>
  <c r="P842" i="1"/>
  <c r="O842" i="1"/>
  <c r="E842" i="1"/>
  <c r="A842" i="1" s="1"/>
  <c r="B842" i="1"/>
  <c r="P841" i="1"/>
  <c r="O841" i="1"/>
  <c r="E841" i="1"/>
  <c r="A841" i="1" s="1"/>
  <c r="B841" i="1"/>
  <c r="P840" i="1"/>
  <c r="O840" i="1"/>
  <c r="E840" i="1"/>
  <c r="A840" i="1" s="1"/>
  <c r="B840" i="1"/>
  <c r="P839" i="1"/>
  <c r="O839" i="1"/>
  <c r="E839" i="1"/>
  <c r="A839" i="1" s="1"/>
  <c r="B839" i="1"/>
  <c r="P838" i="1"/>
  <c r="O838" i="1"/>
  <c r="E838" i="1"/>
  <c r="A838" i="1" s="1"/>
  <c r="B838" i="1"/>
  <c r="P837" i="1"/>
  <c r="O837" i="1"/>
  <c r="E837" i="1"/>
  <c r="A837" i="1" s="1"/>
  <c r="B837" i="1"/>
  <c r="P836" i="1"/>
  <c r="O836" i="1"/>
  <c r="E836" i="1"/>
  <c r="A836" i="1" s="1"/>
  <c r="B836" i="1"/>
  <c r="P835" i="1"/>
  <c r="O835" i="1"/>
  <c r="E835" i="1"/>
  <c r="A835" i="1" s="1"/>
  <c r="B835" i="1"/>
  <c r="P834" i="1"/>
  <c r="O834" i="1"/>
  <c r="E834" i="1"/>
  <c r="A834" i="1" s="1"/>
  <c r="B834" i="1"/>
  <c r="P833" i="1"/>
  <c r="O833" i="1"/>
  <c r="E833" i="1"/>
  <c r="A833" i="1" s="1"/>
  <c r="B833" i="1"/>
  <c r="P832" i="1"/>
  <c r="O832" i="1"/>
  <c r="E832" i="1"/>
  <c r="A832" i="1" s="1"/>
  <c r="B832" i="1"/>
  <c r="P831" i="1"/>
  <c r="O831" i="1"/>
  <c r="E831" i="1"/>
  <c r="A831" i="1" s="1"/>
  <c r="B831" i="1"/>
  <c r="P830" i="1"/>
  <c r="O830" i="1"/>
  <c r="E830" i="1"/>
  <c r="A830" i="1" s="1"/>
  <c r="B830" i="1"/>
  <c r="P829" i="1"/>
  <c r="O829" i="1"/>
  <c r="E829" i="1"/>
  <c r="A829" i="1" s="1"/>
  <c r="B829" i="1"/>
  <c r="P828" i="1"/>
  <c r="O828" i="1"/>
  <c r="E828" i="1"/>
  <c r="A828" i="1" s="1"/>
  <c r="B828" i="1"/>
  <c r="P827" i="1"/>
  <c r="O827" i="1"/>
  <c r="E827" i="1"/>
  <c r="A827" i="1" s="1"/>
  <c r="B827" i="1"/>
  <c r="P826" i="1"/>
  <c r="O826" i="1"/>
  <c r="E826" i="1"/>
  <c r="A826" i="1" s="1"/>
  <c r="B826" i="1"/>
  <c r="P825" i="1"/>
  <c r="O825" i="1"/>
  <c r="E825" i="1"/>
  <c r="A825" i="1" s="1"/>
  <c r="B825" i="1"/>
  <c r="P824" i="1"/>
  <c r="O824" i="1"/>
  <c r="E824" i="1"/>
  <c r="A824" i="1" s="1"/>
  <c r="B824" i="1"/>
  <c r="P823" i="1"/>
  <c r="O823" i="1"/>
  <c r="E823" i="1"/>
  <c r="A823" i="1" s="1"/>
  <c r="B823" i="1"/>
  <c r="P822" i="1"/>
  <c r="O822" i="1"/>
  <c r="E822" i="1"/>
  <c r="A822" i="1" s="1"/>
  <c r="B822" i="1"/>
  <c r="P821" i="1"/>
  <c r="O821" i="1"/>
  <c r="E821" i="1"/>
  <c r="A821" i="1" s="1"/>
  <c r="B821" i="1"/>
  <c r="P820" i="1"/>
  <c r="O820" i="1"/>
  <c r="E820" i="1"/>
  <c r="A820" i="1" s="1"/>
  <c r="B820" i="1"/>
  <c r="P819" i="1"/>
  <c r="O819" i="1"/>
  <c r="E819" i="1"/>
  <c r="A819" i="1" s="1"/>
  <c r="B819" i="1"/>
  <c r="P818" i="1"/>
  <c r="O818" i="1"/>
  <c r="E818" i="1"/>
  <c r="A818" i="1" s="1"/>
  <c r="B818" i="1"/>
  <c r="P817" i="1"/>
  <c r="O817" i="1"/>
  <c r="E817" i="1"/>
  <c r="A817" i="1" s="1"/>
  <c r="B817" i="1"/>
  <c r="P816" i="1"/>
  <c r="O816" i="1"/>
  <c r="E816" i="1"/>
  <c r="A816" i="1" s="1"/>
  <c r="B816" i="1"/>
  <c r="P815" i="1"/>
  <c r="O815" i="1"/>
  <c r="E815" i="1"/>
  <c r="A815" i="1" s="1"/>
  <c r="B815" i="1"/>
  <c r="P814" i="1"/>
  <c r="O814" i="1"/>
  <c r="E814" i="1"/>
  <c r="A814" i="1" s="1"/>
  <c r="B814" i="1"/>
  <c r="P813" i="1"/>
  <c r="O813" i="1"/>
  <c r="E813" i="1"/>
  <c r="A813" i="1" s="1"/>
  <c r="B813" i="1"/>
  <c r="P812" i="1"/>
  <c r="O812" i="1"/>
  <c r="E812" i="1"/>
  <c r="A812" i="1" s="1"/>
  <c r="B812" i="1"/>
  <c r="P811" i="1"/>
  <c r="O811" i="1"/>
  <c r="E811" i="1"/>
  <c r="A811" i="1" s="1"/>
  <c r="B811" i="1"/>
  <c r="P810" i="1"/>
  <c r="O810" i="1"/>
  <c r="E810" i="1"/>
  <c r="A810" i="1" s="1"/>
  <c r="B810" i="1"/>
  <c r="P809" i="1"/>
  <c r="O809" i="1"/>
  <c r="E809" i="1"/>
  <c r="A809" i="1" s="1"/>
  <c r="B809" i="1"/>
  <c r="P808" i="1"/>
  <c r="O808" i="1"/>
  <c r="E808" i="1"/>
  <c r="A808" i="1" s="1"/>
  <c r="B808" i="1"/>
  <c r="P807" i="1"/>
  <c r="O807" i="1"/>
  <c r="E807" i="1"/>
  <c r="A807" i="1" s="1"/>
  <c r="B807" i="1"/>
  <c r="P806" i="1"/>
  <c r="O806" i="1"/>
  <c r="E806" i="1"/>
  <c r="A806" i="1" s="1"/>
  <c r="B806" i="1"/>
  <c r="P805" i="1"/>
  <c r="O805" i="1"/>
  <c r="E805" i="1"/>
  <c r="A805" i="1" s="1"/>
  <c r="B805" i="1"/>
  <c r="P804" i="1"/>
  <c r="O804" i="1"/>
  <c r="E804" i="1"/>
  <c r="A804" i="1" s="1"/>
  <c r="B804" i="1"/>
  <c r="P803" i="1"/>
  <c r="O803" i="1"/>
  <c r="E803" i="1"/>
  <c r="A803" i="1" s="1"/>
  <c r="B803" i="1"/>
  <c r="P802" i="1"/>
  <c r="O802" i="1"/>
  <c r="E802" i="1"/>
  <c r="A802" i="1" s="1"/>
  <c r="B802" i="1"/>
  <c r="P801" i="1"/>
  <c r="O801" i="1"/>
  <c r="E801" i="1"/>
  <c r="A801" i="1" s="1"/>
  <c r="B801" i="1"/>
  <c r="P800" i="1"/>
  <c r="O800" i="1"/>
  <c r="E800" i="1"/>
  <c r="A800" i="1" s="1"/>
  <c r="B800" i="1"/>
  <c r="P799" i="1"/>
  <c r="O799" i="1"/>
  <c r="E799" i="1"/>
  <c r="A799" i="1" s="1"/>
  <c r="B799" i="1"/>
  <c r="P798" i="1"/>
  <c r="O798" i="1"/>
  <c r="E798" i="1"/>
  <c r="A798" i="1" s="1"/>
  <c r="B798" i="1"/>
  <c r="P797" i="1"/>
  <c r="O797" i="1"/>
  <c r="E797" i="1"/>
  <c r="A797" i="1" s="1"/>
  <c r="B797" i="1"/>
  <c r="P796" i="1"/>
  <c r="O796" i="1"/>
  <c r="E796" i="1"/>
  <c r="A796" i="1" s="1"/>
  <c r="B796" i="1"/>
  <c r="P795" i="1"/>
  <c r="O795" i="1"/>
  <c r="E795" i="1"/>
  <c r="A795" i="1" s="1"/>
  <c r="B795" i="1"/>
  <c r="P794" i="1"/>
  <c r="O794" i="1"/>
  <c r="E794" i="1"/>
  <c r="A794" i="1" s="1"/>
  <c r="B794" i="1"/>
  <c r="P793" i="1"/>
  <c r="O793" i="1"/>
  <c r="E793" i="1"/>
  <c r="A793" i="1" s="1"/>
  <c r="B793" i="1"/>
  <c r="P792" i="1"/>
  <c r="O792" i="1"/>
  <c r="E792" i="1"/>
  <c r="A792" i="1" s="1"/>
  <c r="B792" i="1"/>
  <c r="P791" i="1"/>
  <c r="O791" i="1"/>
  <c r="E791" i="1"/>
  <c r="A791" i="1" s="1"/>
  <c r="B791" i="1"/>
  <c r="P790" i="1"/>
  <c r="O790" i="1"/>
  <c r="E790" i="1"/>
  <c r="A790" i="1" s="1"/>
  <c r="B790" i="1"/>
  <c r="P789" i="1"/>
  <c r="O789" i="1"/>
  <c r="E789" i="1"/>
  <c r="A789" i="1" s="1"/>
  <c r="B789" i="1"/>
  <c r="P788" i="1"/>
  <c r="O788" i="1"/>
  <c r="E788" i="1"/>
  <c r="A788" i="1" s="1"/>
  <c r="B788" i="1"/>
  <c r="P787" i="1"/>
  <c r="O787" i="1"/>
  <c r="E787" i="1"/>
  <c r="A787" i="1" s="1"/>
  <c r="B787" i="1"/>
  <c r="P786" i="1"/>
  <c r="O786" i="1"/>
  <c r="E786" i="1"/>
  <c r="A786" i="1" s="1"/>
  <c r="B786" i="1"/>
  <c r="P785" i="1"/>
  <c r="O785" i="1"/>
  <c r="E785" i="1"/>
  <c r="A785" i="1" s="1"/>
  <c r="B785" i="1"/>
  <c r="P784" i="1"/>
  <c r="O784" i="1"/>
  <c r="E784" i="1"/>
  <c r="A784" i="1" s="1"/>
  <c r="B784" i="1"/>
  <c r="P783" i="1"/>
  <c r="O783" i="1"/>
  <c r="E783" i="1"/>
  <c r="A783" i="1" s="1"/>
  <c r="B783" i="1"/>
  <c r="P782" i="1"/>
  <c r="O782" i="1"/>
  <c r="E782" i="1"/>
  <c r="A782" i="1" s="1"/>
  <c r="B782" i="1"/>
  <c r="P781" i="1"/>
  <c r="O781" i="1"/>
  <c r="E781" i="1"/>
  <c r="A781" i="1" s="1"/>
  <c r="B781" i="1"/>
  <c r="P780" i="1"/>
  <c r="O780" i="1"/>
  <c r="E780" i="1"/>
  <c r="A780" i="1" s="1"/>
  <c r="B780" i="1"/>
  <c r="P779" i="1"/>
  <c r="O779" i="1"/>
  <c r="E779" i="1"/>
  <c r="A779" i="1" s="1"/>
  <c r="B779" i="1"/>
  <c r="P778" i="1"/>
  <c r="O778" i="1"/>
  <c r="E778" i="1"/>
  <c r="A778" i="1" s="1"/>
  <c r="B778" i="1"/>
  <c r="P777" i="1"/>
  <c r="O777" i="1"/>
  <c r="E777" i="1"/>
  <c r="A777" i="1" s="1"/>
  <c r="B777" i="1"/>
  <c r="P776" i="1"/>
  <c r="O776" i="1"/>
  <c r="E776" i="1"/>
  <c r="A776" i="1" s="1"/>
  <c r="B776" i="1"/>
  <c r="P775" i="1"/>
  <c r="O775" i="1"/>
  <c r="E775" i="1"/>
  <c r="A775" i="1" s="1"/>
  <c r="B775" i="1"/>
  <c r="P774" i="1"/>
  <c r="O774" i="1"/>
  <c r="E774" i="1"/>
  <c r="A774" i="1" s="1"/>
  <c r="B774" i="1"/>
  <c r="P773" i="1"/>
  <c r="O773" i="1"/>
  <c r="E773" i="1"/>
  <c r="A773" i="1" s="1"/>
  <c r="B773" i="1"/>
  <c r="P772" i="1"/>
  <c r="O772" i="1"/>
  <c r="E772" i="1"/>
  <c r="A772" i="1" s="1"/>
  <c r="B772" i="1"/>
  <c r="P771" i="1"/>
  <c r="O771" i="1"/>
  <c r="E771" i="1"/>
  <c r="A771" i="1" s="1"/>
  <c r="B771" i="1"/>
  <c r="P770" i="1"/>
  <c r="O770" i="1"/>
  <c r="E770" i="1"/>
  <c r="A770" i="1" s="1"/>
  <c r="B770" i="1"/>
  <c r="P769" i="1"/>
  <c r="O769" i="1"/>
  <c r="E769" i="1"/>
  <c r="A769" i="1" s="1"/>
  <c r="B769" i="1"/>
  <c r="P768" i="1"/>
  <c r="O768" i="1"/>
  <c r="E768" i="1"/>
  <c r="A768" i="1" s="1"/>
  <c r="B768" i="1"/>
  <c r="P767" i="1"/>
  <c r="O767" i="1"/>
  <c r="E767" i="1"/>
  <c r="A767" i="1" s="1"/>
  <c r="B767" i="1"/>
  <c r="P766" i="1"/>
  <c r="O766" i="1"/>
  <c r="E766" i="1"/>
  <c r="A766" i="1" s="1"/>
  <c r="B766" i="1"/>
  <c r="P765" i="1"/>
  <c r="O765" i="1"/>
  <c r="E765" i="1"/>
  <c r="A765" i="1" s="1"/>
  <c r="B765" i="1"/>
  <c r="P764" i="1"/>
  <c r="O764" i="1"/>
  <c r="E764" i="1"/>
  <c r="A764" i="1" s="1"/>
  <c r="B764" i="1"/>
  <c r="P763" i="1"/>
  <c r="O763" i="1"/>
  <c r="E763" i="1"/>
  <c r="A763" i="1" s="1"/>
  <c r="B763" i="1"/>
  <c r="P762" i="1"/>
  <c r="O762" i="1"/>
  <c r="E762" i="1"/>
  <c r="A762" i="1" s="1"/>
  <c r="B762" i="1"/>
  <c r="P761" i="1"/>
  <c r="O761" i="1"/>
  <c r="E761" i="1"/>
  <c r="A761" i="1" s="1"/>
  <c r="B761" i="1"/>
  <c r="P760" i="1"/>
  <c r="O760" i="1"/>
  <c r="E760" i="1"/>
  <c r="A760" i="1" s="1"/>
  <c r="B760" i="1"/>
  <c r="P759" i="1"/>
  <c r="O759" i="1"/>
  <c r="E759" i="1"/>
  <c r="A759" i="1" s="1"/>
  <c r="B759" i="1"/>
  <c r="P758" i="1"/>
  <c r="O758" i="1"/>
  <c r="E758" i="1"/>
  <c r="A758" i="1" s="1"/>
  <c r="B758" i="1"/>
  <c r="P757" i="1"/>
  <c r="O757" i="1"/>
  <c r="E757" i="1"/>
  <c r="A757" i="1" s="1"/>
  <c r="B757" i="1"/>
  <c r="P756" i="1"/>
  <c r="O756" i="1"/>
  <c r="E756" i="1"/>
  <c r="A756" i="1" s="1"/>
  <c r="B756" i="1"/>
  <c r="P755" i="1"/>
  <c r="O755" i="1"/>
  <c r="E755" i="1"/>
  <c r="A755" i="1" s="1"/>
  <c r="B755" i="1"/>
  <c r="P754" i="1"/>
  <c r="O754" i="1"/>
  <c r="E754" i="1"/>
  <c r="A754" i="1" s="1"/>
  <c r="B754" i="1"/>
  <c r="P753" i="1"/>
  <c r="O753" i="1"/>
  <c r="E753" i="1"/>
  <c r="A753" i="1" s="1"/>
  <c r="B753" i="1"/>
  <c r="P752" i="1"/>
  <c r="O752" i="1"/>
  <c r="E752" i="1"/>
  <c r="A752" i="1" s="1"/>
  <c r="B752" i="1"/>
  <c r="P751" i="1"/>
  <c r="O751" i="1"/>
  <c r="E751" i="1"/>
  <c r="A751" i="1" s="1"/>
  <c r="B751" i="1"/>
  <c r="P750" i="1"/>
  <c r="O750" i="1"/>
  <c r="E750" i="1"/>
  <c r="A750" i="1" s="1"/>
  <c r="B750" i="1"/>
  <c r="P749" i="1"/>
  <c r="O749" i="1"/>
  <c r="E749" i="1"/>
  <c r="A749" i="1" s="1"/>
  <c r="B749" i="1"/>
  <c r="P748" i="1"/>
  <c r="O748" i="1"/>
  <c r="E748" i="1"/>
  <c r="A748" i="1" s="1"/>
  <c r="B748" i="1"/>
  <c r="P747" i="1"/>
  <c r="O747" i="1"/>
  <c r="E747" i="1"/>
  <c r="A747" i="1" s="1"/>
  <c r="B747" i="1"/>
  <c r="P746" i="1"/>
  <c r="O746" i="1"/>
  <c r="E746" i="1"/>
  <c r="A746" i="1" s="1"/>
  <c r="B746" i="1"/>
  <c r="P745" i="1"/>
  <c r="O745" i="1"/>
  <c r="E745" i="1"/>
  <c r="A745" i="1" s="1"/>
  <c r="B745" i="1"/>
  <c r="P744" i="1"/>
  <c r="O744" i="1"/>
  <c r="E744" i="1"/>
  <c r="A744" i="1" s="1"/>
  <c r="B744" i="1"/>
  <c r="P743" i="1"/>
  <c r="O743" i="1"/>
  <c r="E743" i="1"/>
  <c r="A743" i="1" s="1"/>
  <c r="B743" i="1"/>
  <c r="P742" i="1"/>
  <c r="O742" i="1"/>
  <c r="E742" i="1"/>
  <c r="A742" i="1" s="1"/>
  <c r="B742" i="1"/>
  <c r="P741" i="1"/>
  <c r="O741" i="1"/>
  <c r="E741" i="1"/>
  <c r="A741" i="1" s="1"/>
  <c r="B741" i="1"/>
  <c r="P665" i="1"/>
  <c r="O665" i="1"/>
  <c r="A665" i="1"/>
  <c r="B665" i="1"/>
  <c r="P648" i="1"/>
  <c r="O648" i="1"/>
  <c r="E648" i="1"/>
  <c r="A648" i="1" s="1"/>
  <c r="P689" i="1"/>
  <c r="O689" i="1"/>
  <c r="E689" i="1"/>
  <c r="A689" i="1" s="1"/>
  <c r="P688" i="1"/>
  <c r="O688" i="1"/>
  <c r="E688" i="1"/>
  <c r="A688" i="1" s="1"/>
  <c r="P687" i="1"/>
  <c r="O687" i="1"/>
  <c r="E687" i="1"/>
  <c r="A687" i="1" s="1"/>
  <c r="P685" i="1"/>
  <c r="O685" i="1"/>
  <c r="E685" i="1"/>
  <c r="A685" i="1" s="1"/>
  <c r="P730" i="1"/>
  <c r="O730" i="1"/>
  <c r="P733" i="1"/>
  <c r="O733" i="1"/>
  <c r="P350" i="1"/>
  <c r="O350" i="1"/>
  <c r="E350" i="1"/>
  <c r="A350" i="1" s="1"/>
  <c r="P717" i="1"/>
  <c r="O717" i="1"/>
  <c r="E717" i="1"/>
  <c r="A717" i="1" s="1"/>
  <c r="P735" i="1"/>
  <c r="O735" i="1"/>
  <c r="E735" i="1"/>
  <c r="A735" i="1" s="1"/>
  <c r="P716" i="1"/>
  <c r="O716" i="1"/>
  <c r="E716" i="1"/>
  <c r="A716" i="1" s="1"/>
  <c r="P715" i="1"/>
  <c r="O715" i="1"/>
  <c r="E715" i="1"/>
  <c r="A715" i="1" s="1"/>
  <c r="P720" i="1"/>
  <c r="O720" i="1"/>
  <c r="E720" i="1"/>
  <c r="A720" i="1" s="1"/>
  <c r="P721" i="1"/>
  <c r="O721" i="1"/>
  <c r="E721" i="1"/>
  <c r="A721" i="1" s="1"/>
  <c r="P681" i="1"/>
  <c r="O681" i="1"/>
  <c r="E681" i="1"/>
  <c r="A681" i="1" s="1"/>
  <c r="P649" i="1"/>
  <c r="O649" i="1"/>
  <c r="E649" i="1"/>
  <c r="A649" i="1" s="1"/>
  <c r="P723" i="1"/>
  <c r="O723" i="1"/>
  <c r="E723" i="1"/>
  <c r="A723" i="1" s="1"/>
  <c r="P722" i="1"/>
  <c r="O722" i="1"/>
  <c r="E722" i="1"/>
  <c r="A722" i="1" s="1"/>
  <c r="P724" i="1"/>
  <c r="O724" i="1"/>
  <c r="E724" i="1"/>
  <c r="A724" i="1" s="1"/>
  <c r="P727" i="1"/>
  <c r="O727" i="1"/>
  <c r="E727" i="1"/>
  <c r="A727" i="1" s="1"/>
  <c r="P728" i="1"/>
  <c r="O728" i="1"/>
  <c r="E728" i="1"/>
  <c r="A728" i="1" s="1"/>
  <c r="P729" i="1"/>
  <c r="O729" i="1"/>
  <c r="E729" i="1"/>
  <c r="A729" i="1" s="1"/>
  <c r="P736" i="1"/>
  <c r="O736" i="1"/>
  <c r="E736" i="1"/>
  <c r="A736" i="1" s="1"/>
  <c r="P719" i="1"/>
  <c r="O719" i="1"/>
  <c r="E719" i="1"/>
  <c r="A719" i="1" s="1"/>
  <c r="P653" i="1"/>
  <c r="O653" i="1"/>
  <c r="E653" i="1"/>
  <c r="A653" i="1" s="1"/>
  <c r="P680" i="1"/>
  <c r="O680" i="1"/>
  <c r="E680" i="1"/>
  <c r="A680" i="1" s="1"/>
  <c r="P679" i="1"/>
  <c r="O679" i="1"/>
  <c r="E679" i="1"/>
  <c r="A679" i="1" s="1"/>
  <c r="P678" i="1"/>
  <c r="O678" i="1"/>
  <c r="E678" i="1"/>
  <c r="A678" i="1" s="1"/>
  <c r="P677" i="1"/>
  <c r="O677" i="1"/>
  <c r="E677" i="1"/>
  <c r="A677" i="1" s="1"/>
  <c r="P654" i="1"/>
  <c r="O654" i="1"/>
  <c r="E654" i="1"/>
  <c r="A654" i="1" s="1"/>
  <c r="P656" i="1"/>
  <c r="O656" i="1"/>
  <c r="E656" i="1"/>
  <c r="A656" i="1" s="1"/>
  <c r="P674" i="1"/>
  <c r="O674" i="1"/>
  <c r="E674" i="1"/>
  <c r="A674" i="1" s="1"/>
  <c r="P669" i="1"/>
  <c r="O669" i="1"/>
  <c r="E669" i="1"/>
  <c r="A669" i="1" s="1"/>
  <c r="P661" i="1"/>
  <c r="O661" i="1"/>
  <c r="E661" i="1"/>
  <c r="A661" i="1" s="1"/>
  <c r="P660" i="1"/>
  <c r="O660" i="1"/>
  <c r="E660" i="1"/>
  <c r="A660" i="1" s="1"/>
  <c r="P659" i="1"/>
  <c r="O659" i="1"/>
  <c r="E659" i="1"/>
  <c r="A659" i="1" s="1"/>
  <c r="P655" i="1"/>
  <c r="O655" i="1"/>
  <c r="E655" i="1"/>
  <c r="A655" i="1" s="1"/>
  <c r="P652" i="1"/>
  <c r="O652" i="1"/>
  <c r="E652" i="1"/>
  <c r="A652" i="1" s="1"/>
  <c r="P709" i="1"/>
  <c r="O709" i="1"/>
  <c r="E709" i="1"/>
  <c r="A709" i="1" s="1"/>
  <c r="P710" i="1"/>
  <c r="O710" i="1"/>
  <c r="E710" i="1"/>
  <c r="A710" i="1" s="1"/>
  <c r="P713" i="1"/>
  <c r="O713" i="1"/>
  <c r="E713" i="1"/>
  <c r="A713" i="1" s="1"/>
  <c r="P718" i="1"/>
  <c r="O718" i="1"/>
  <c r="E718" i="1"/>
  <c r="A718" i="1" s="1"/>
  <c r="P702" i="1"/>
  <c r="O702" i="1"/>
  <c r="E702" i="1"/>
  <c r="A702" i="1" s="1"/>
  <c r="P731" i="1"/>
  <c r="O731" i="1"/>
  <c r="E731" i="1"/>
  <c r="A731" i="1" s="1"/>
  <c r="P695" i="1"/>
  <c r="O695" i="1"/>
  <c r="P657" i="1"/>
  <c r="O657" i="1"/>
  <c r="E657" i="1"/>
  <c r="A657" i="1" s="1"/>
  <c r="P651" i="1"/>
  <c r="O651" i="1"/>
  <c r="E651" i="1"/>
  <c r="A651" i="1" s="1"/>
  <c r="P692" i="1"/>
  <c r="O692" i="1"/>
  <c r="E692" i="1"/>
  <c r="A692" i="1" s="1"/>
  <c r="P647" i="1"/>
  <c r="O647" i="1"/>
  <c r="E647" i="1"/>
  <c r="A647" i="1" s="1"/>
  <c r="P646" i="1"/>
  <c r="O646" i="1"/>
  <c r="E646" i="1"/>
  <c r="A646" i="1" s="1"/>
  <c r="P644" i="1"/>
  <c r="O644" i="1"/>
  <c r="E644" i="1"/>
  <c r="A644" i="1" s="1"/>
  <c r="P643" i="1"/>
  <c r="O643" i="1"/>
  <c r="E643" i="1"/>
  <c r="A643" i="1" s="1"/>
  <c r="P642" i="1"/>
  <c r="O642" i="1"/>
  <c r="E642" i="1"/>
  <c r="A642" i="1" s="1"/>
  <c r="P686" i="1"/>
  <c r="O686" i="1"/>
  <c r="E686" i="1"/>
  <c r="A686" i="1" s="1"/>
  <c r="P636" i="1"/>
  <c r="O636" i="1"/>
  <c r="E636" i="1"/>
  <c r="A636" i="1" s="1"/>
  <c r="P566" i="1"/>
  <c r="O566" i="1"/>
  <c r="E566" i="1"/>
  <c r="A566" i="1" s="1"/>
  <c r="P561" i="1"/>
  <c r="O561" i="1"/>
  <c r="E561" i="1"/>
  <c r="A561" i="1" s="1"/>
  <c r="P682" i="1"/>
  <c r="O682" i="1"/>
  <c r="E682" i="1"/>
  <c r="A682" i="1" s="1"/>
  <c r="P559" i="1"/>
  <c r="O559" i="1"/>
  <c r="E559" i="1"/>
  <c r="A559" i="1" s="1"/>
  <c r="P538" i="1"/>
  <c r="O538" i="1"/>
  <c r="E538" i="1"/>
  <c r="A538" i="1" s="1"/>
  <c r="P470" i="1"/>
  <c r="O470" i="1"/>
  <c r="E470" i="1"/>
  <c r="A470" i="1" s="1"/>
  <c r="P468" i="1"/>
  <c r="O468" i="1"/>
  <c r="E468" i="1"/>
  <c r="A468" i="1" s="1"/>
  <c r="P450" i="1"/>
  <c r="O450" i="1"/>
  <c r="E450" i="1"/>
  <c r="A450" i="1" s="1"/>
  <c r="P658" i="1"/>
  <c r="O658" i="1"/>
  <c r="E658" i="1"/>
  <c r="A658" i="1" s="1"/>
  <c r="P323" i="1"/>
  <c r="O323" i="1"/>
  <c r="P725" i="1"/>
  <c r="O725" i="1"/>
  <c r="P630" i="1"/>
  <c r="O630" i="1"/>
  <c r="P595" i="1"/>
  <c r="O595" i="1"/>
  <c r="E595" i="1"/>
  <c r="A595" i="1" s="1"/>
  <c r="P638" i="1"/>
  <c r="O638" i="1"/>
  <c r="P639" i="1"/>
  <c r="O639" i="1"/>
  <c r="P662" i="1"/>
  <c r="O662" i="1"/>
  <c r="E662" i="1"/>
  <c r="A662" i="1" s="1"/>
  <c r="P726" i="1"/>
  <c r="O726" i="1"/>
  <c r="E726" i="1"/>
  <c r="A726" i="1" s="1"/>
  <c r="P631" i="1"/>
  <c r="O631" i="1"/>
  <c r="A631" i="1"/>
  <c r="P641" i="1"/>
  <c r="O641" i="1"/>
  <c r="E641" i="1"/>
  <c r="A641" i="1" s="1"/>
  <c r="P640" i="1"/>
  <c r="O640" i="1"/>
  <c r="E640" i="1"/>
  <c r="A640" i="1" s="1"/>
  <c r="P664" i="1"/>
  <c r="O664" i="1"/>
  <c r="E664" i="1"/>
  <c r="A664" i="1" s="1"/>
  <c r="P663" i="1"/>
  <c r="O663" i="1"/>
  <c r="P554" i="1"/>
  <c r="O554" i="1"/>
  <c r="E554" i="1"/>
  <c r="A554" i="1" s="1"/>
  <c r="P1272" i="1"/>
  <c r="O1272" i="1"/>
  <c r="E1272" i="1"/>
  <c r="A1272" i="1" s="1"/>
  <c r="P445" i="1"/>
  <c r="O445" i="1"/>
  <c r="E445" i="1"/>
  <c r="A445" i="1" s="1"/>
  <c r="P178" i="1"/>
  <c r="O178" i="1"/>
  <c r="P440" i="1"/>
  <c r="O440" i="1"/>
  <c r="E440" i="1"/>
  <c r="A440" i="1" s="1"/>
  <c r="P670" i="1"/>
  <c r="O670" i="1"/>
  <c r="E670" i="1"/>
  <c r="A670" i="1" s="1"/>
  <c r="P671" i="1"/>
  <c r="O671" i="1"/>
  <c r="E671" i="1"/>
  <c r="A671" i="1" s="1"/>
  <c r="P672" i="1"/>
  <c r="O672" i="1"/>
  <c r="E672" i="1"/>
  <c r="A672" i="1" s="1"/>
  <c r="P428" i="1"/>
  <c r="O428" i="1"/>
  <c r="E428" i="1"/>
  <c r="A428" i="1" s="1"/>
  <c r="P673" i="1"/>
  <c r="O673" i="1"/>
  <c r="E673" i="1"/>
  <c r="A673" i="1" s="1"/>
  <c r="P676" i="1"/>
  <c r="O676" i="1"/>
  <c r="E676" i="1"/>
  <c r="A676" i="1" s="1"/>
  <c r="P398" i="1"/>
  <c r="O398" i="1"/>
  <c r="E398" i="1"/>
  <c r="A398" i="1" s="1"/>
  <c r="P397" i="1"/>
  <c r="O397" i="1"/>
  <c r="E397" i="1"/>
  <c r="A397" i="1" s="1"/>
  <c r="P517" i="1"/>
  <c r="O517" i="1"/>
  <c r="A517" i="1"/>
  <c r="P684" i="1"/>
  <c r="O684" i="1"/>
  <c r="P683" i="1"/>
  <c r="O683" i="1"/>
  <c r="P447" i="1"/>
  <c r="O447" i="1"/>
  <c r="P701" i="1"/>
  <c r="O701" i="1"/>
  <c r="P700" i="1"/>
  <c r="O700" i="1"/>
  <c r="P699" i="1"/>
  <c r="O699" i="1"/>
  <c r="P698" i="1"/>
  <c r="O698" i="1"/>
  <c r="P694" i="1"/>
  <c r="O694" i="1"/>
  <c r="P696" i="1"/>
  <c r="O696" i="1"/>
  <c r="P393" i="1"/>
  <c r="O393" i="1"/>
  <c r="P364" i="1"/>
  <c r="O364" i="1"/>
  <c r="P697" i="1"/>
  <c r="O697" i="1"/>
  <c r="P528" i="1"/>
  <c r="O528" i="1"/>
  <c r="A528" i="1"/>
  <c r="P635" i="1"/>
  <c r="O635" i="1"/>
  <c r="E635" i="1"/>
  <c r="A635" i="1" s="1"/>
  <c r="P267" i="1"/>
  <c r="O267" i="1"/>
  <c r="P675" i="1"/>
  <c r="O675" i="1"/>
  <c r="A675" i="1"/>
  <c r="P414" i="1"/>
  <c r="O414" i="1"/>
  <c r="A414" i="1"/>
  <c r="P667" i="1"/>
  <c r="O667" i="1"/>
  <c r="A667" i="1"/>
  <c r="P650" i="1"/>
  <c r="O650" i="1"/>
  <c r="A650" i="1"/>
  <c r="P637" i="1"/>
  <c r="O637" i="1"/>
  <c r="A637" i="1"/>
  <c r="P634" i="1"/>
  <c r="O634" i="1"/>
  <c r="A634" i="1"/>
  <c r="P633" i="1"/>
  <c r="O633" i="1"/>
  <c r="A633" i="1"/>
  <c r="P632" i="1"/>
  <c r="O632" i="1"/>
  <c r="A632" i="1"/>
  <c r="P597" i="1"/>
  <c r="O597" i="1"/>
  <c r="A597" i="1"/>
  <c r="P515" i="1"/>
  <c r="O515" i="1"/>
  <c r="A515" i="1"/>
  <c r="P623" i="1"/>
  <c r="O623" i="1"/>
  <c r="E623" i="1"/>
  <c r="A623" i="1" s="1"/>
  <c r="P506" i="1"/>
  <c r="O506" i="1"/>
  <c r="A506" i="1"/>
  <c r="P503" i="1"/>
  <c r="O503" i="1"/>
  <c r="A503" i="1"/>
  <c r="P620" i="1"/>
  <c r="O620" i="1"/>
  <c r="E620" i="1"/>
  <c r="A620" i="1" s="1"/>
  <c r="P619" i="1"/>
  <c r="O619" i="1"/>
  <c r="E619" i="1"/>
  <c r="A619" i="1" s="1"/>
  <c r="P618" i="1"/>
  <c r="O618" i="1"/>
  <c r="E618" i="1"/>
  <c r="A618" i="1" s="1"/>
  <c r="P617" i="1"/>
  <c r="O617" i="1"/>
  <c r="E617" i="1"/>
  <c r="A617" i="1" s="1"/>
  <c r="P602" i="1"/>
  <c r="O602" i="1"/>
  <c r="A602" i="1"/>
  <c r="P615" i="1"/>
  <c r="O615" i="1"/>
  <c r="E615" i="1"/>
  <c r="A615" i="1" s="1"/>
  <c r="P600" i="1"/>
  <c r="O600" i="1"/>
  <c r="A600" i="1"/>
  <c r="P613" i="1"/>
  <c r="O613" i="1"/>
  <c r="E613" i="1"/>
  <c r="A613" i="1" s="1"/>
  <c r="P612" i="1"/>
  <c r="O612" i="1"/>
  <c r="E612" i="1"/>
  <c r="A612" i="1" s="1"/>
  <c r="P611" i="1"/>
  <c r="O611" i="1"/>
  <c r="E611" i="1"/>
  <c r="A611" i="1" s="1"/>
  <c r="P610" i="1"/>
  <c r="O610" i="1"/>
  <c r="E610" i="1"/>
  <c r="A610" i="1" s="1"/>
  <c r="P609" i="1"/>
  <c r="O609" i="1"/>
  <c r="E609" i="1"/>
  <c r="A609" i="1" s="1"/>
  <c r="P608" i="1"/>
  <c r="O608" i="1"/>
  <c r="E608" i="1"/>
  <c r="A608" i="1" s="1"/>
  <c r="P607" i="1"/>
  <c r="O607" i="1"/>
  <c r="E607" i="1"/>
  <c r="A607" i="1" s="1"/>
  <c r="P492" i="1"/>
  <c r="O492" i="1"/>
  <c r="A492" i="1"/>
  <c r="P605" i="1"/>
  <c r="O605" i="1"/>
  <c r="E605" i="1"/>
  <c r="A605" i="1" s="1"/>
  <c r="P513" i="1"/>
  <c r="O513" i="1"/>
  <c r="A513" i="1"/>
  <c r="P603" i="1"/>
  <c r="O603" i="1"/>
  <c r="E603" i="1"/>
  <c r="A603" i="1" s="1"/>
  <c r="P491" i="1"/>
  <c r="O491" i="1"/>
  <c r="A491" i="1"/>
  <c r="P601" i="1"/>
  <c r="O601" i="1"/>
  <c r="E601" i="1"/>
  <c r="A601" i="1" s="1"/>
  <c r="P490" i="1"/>
  <c r="O490" i="1"/>
  <c r="A490" i="1"/>
  <c r="P480" i="1"/>
  <c r="O480" i="1"/>
  <c r="A480" i="1"/>
  <c r="P598" i="1"/>
  <c r="O598" i="1"/>
  <c r="E598" i="1"/>
  <c r="A598" i="1" s="1"/>
  <c r="P599" i="1"/>
  <c r="O599" i="1"/>
  <c r="E599" i="1"/>
  <c r="A599" i="1" s="1"/>
  <c r="P604" i="1"/>
  <c r="O604" i="1"/>
  <c r="A604" i="1"/>
  <c r="P594" i="1"/>
  <c r="O594" i="1"/>
  <c r="E594" i="1"/>
  <c r="A594" i="1" s="1"/>
  <c r="P593" i="1"/>
  <c r="O593" i="1"/>
  <c r="E593" i="1"/>
  <c r="A593" i="1" s="1"/>
  <c r="P295" i="1"/>
  <c r="O295" i="1"/>
  <c r="A295" i="1"/>
  <c r="P385" i="1"/>
  <c r="O385" i="1"/>
  <c r="A385" i="1"/>
  <c r="P590" i="1"/>
  <c r="O590" i="1"/>
  <c r="E590" i="1"/>
  <c r="A590" i="1" s="1"/>
  <c r="P589" i="1"/>
  <c r="O589" i="1"/>
  <c r="E589" i="1"/>
  <c r="A589" i="1" s="1"/>
  <c r="P296" i="1"/>
  <c r="O296" i="1"/>
  <c r="A296" i="1"/>
  <c r="P587" i="1"/>
  <c r="O587" i="1"/>
  <c r="E587" i="1"/>
  <c r="A587" i="1" s="1"/>
  <c r="P586" i="1"/>
  <c r="O586" i="1"/>
  <c r="E586" i="1"/>
  <c r="A586" i="1" s="1"/>
  <c r="P585" i="1"/>
  <c r="O585" i="1"/>
  <c r="E585" i="1"/>
  <c r="A585" i="1" s="1"/>
  <c r="P584" i="1"/>
  <c r="O584" i="1"/>
  <c r="E584" i="1"/>
  <c r="A584" i="1" s="1"/>
  <c r="P583" i="1"/>
  <c r="O583" i="1"/>
  <c r="E583" i="1"/>
  <c r="A583" i="1" s="1"/>
  <c r="P582" i="1"/>
  <c r="O582" i="1"/>
  <c r="E582" i="1"/>
  <c r="A582" i="1" s="1"/>
  <c r="P581" i="1"/>
  <c r="O581" i="1"/>
  <c r="E581" i="1"/>
  <c r="A581" i="1" s="1"/>
  <c r="P580" i="1"/>
  <c r="O580" i="1"/>
  <c r="E580" i="1"/>
  <c r="A580" i="1" s="1"/>
  <c r="P579" i="1"/>
  <c r="O579" i="1"/>
  <c r="E579" i="1"/>
  <c r="A579" i="1" s="1"/>
  <c r="P578" i="1"/>
  <c r="O578" i="1"/>
  <c r="E578" i="1"/>
  <c r="A578" i="1" s="1"/>
  <c r="P577" i="1"/>
  <c r="O577" i="1"/>
  <c r="A577" i="1"/>
  <c r="P576" i="1"/>
  <c r="O576" i="1"/>
  <c r="E576" i="1"/>
  <c r="A576" i="1" s="1"/>
  <c r="P575" i="1"/>
  <c r="O575" i="1"/>
  <c r="E575" i="1"/>
  <c r="A575" i="1" s="1"/>
  <c r="P574" i="1"/>
  <c r="O574" i="1"/>
  <c r="E574" i="1"/>
  <c r="A574" i="1" s="1"/>
  <c r="P290" i="1"/>
  <c r="O290" i="1"/>
  <c r="A290" i="1"/>
  <c r="P572" i="1"/>
  <c r="O572" i="1"/>
  <c r="E572" i="1"/>
  <c r="A572" i="1" s="1"/>
  <c r="P571" i="1"/>
  <c r="O571" i="1"/>
  <c r="E571" i="1"/>
  <c r="A571" i="1" s="1"/>
  <c r="P570" i="1"/>
  <c r="O570" i="1"/>
  <c r="E570" i="1"/>
  <c r="A570" i="1" s="1"/>
  <c r="P569" i="1"/>
  <c r="O569" i="1"/>
  <c r="E569" i="1"/>
  <c r="A569" i="1" s="1"/>
  <c r="P568" i="1"/>
  <c r="O568" i="1"/>
  <c r="A568" i="1"/>
  <c r="P285" i="1"/>
  <c r="O285" i="1"/>
  <c r="A285" i="1"/>
  <c r="P279" i="1"/>
  <c r="O279" i="1"/>
  <c r="P271" i="1"/>
  <c r="O271" i="1"/>
  <c r="P329" i="1"/>
  <c r="O329" i="1"/>
  <c r="A329" i="1"/>
  <c r="P563" i="1"/>
  <c r="O563" i="1"/>
  <c r="E563" i="1"/>
  <c r="A563" i="1" s="1"/>
  <c r="P562" i="1"/>
  <c r="O562" i="1"/>
  <c r="E562" i="1"/>
  <c r="A562" i="1" s="1"/>
  <c r="P321" i="1"/>
  <c r="O321" i="1"/>
  <c r="A321" i="1"/>
  <c r="P560" i="1"/>
  <c r="O560" i="1"/>
  <c r="E560" i="1"/>
  <c r="A560" i="1" s="1"/>
  <c r="P340" i="1"/>
  <c r="O340" i="1"/>
  <c r="A340" i="1"/>
  <c r="P558" i="1"/>
  <c r="O558" i="1"/>
  <c r="E558" i="1"/>
  <c r="A558" i="1" s="1"/>
  <c r="P557" i="1"/>
  <c r="O557" i="1"/>
  <c r="E557" i="1"/>
  <c r="A557" i="1" s="1"/>
  <c r="P556" i="1"/>
  <c r="O556" i="1"/>
  <c r="E556" i="1"/>
  <c r="A556" i="1" s="1"/>
  <c r="P555" i="1"/>
  <c r="O555" i="1"/>
  <c r="E555" i="1"/>
  <c r="A555" i="1" s="1"/>
  <c r="P367" i="1"/>
  <c r="O367" i="1"/>
  <c r="A367" i="1"/>
  <c r="P553" i="1"/>
  <c r="O553" i="1"/>
  <c r="E553" i="1"/>
  <c r="A553" i="1" s="1"/>
  <c r="P552" i="1"/>
  <c r="O552" i="1"/>
  <c r="E552" i="1"/>
  <c r="A552" i="1" s="1"/>
  <c r="P551" i="1"/>
  <c r="O551" i="1"/>
  <c r="E551" i="1"/>
  <c r="A551" i="1" s="1"/>
  <c r="P384" i="1"/>
  <c r="O384" i="1"/>
  <c r="A384" i="1"/>
  <c r="P383" i="1"/>
  <c r="O383" i="1"/>
  <c r="A383" i="1"/>
  <c r="P381" i="1"/>
  <c r="O381" i="1"/>
  <c r="A381" i="1"/>
  <c r="P547" i="1"/>
  <c r="O547" i="1"/>
  <c r="E547" i="1"/>
  <c r="A547" i="1" s="1"/>
  <c r="P380" i="1"/>
  <c r="O380" i="1"/>
  <c r="A380" i="1"/>
  <c r="P379" i="1"/>
  <c r="O379" i="1"/>
  <c r="A379" i="1"/>
  <c r="P544" i="1"/>
  <c r="O544" i="1"/>
  <c r="E544" i="1"/>
  <c r="A544" i="1" s="1"/>
  <c r="P543" i="1"/>
  <c r="O543" i="1"/>
  <c r="E543" i="1"/>
  <c r="A543" i="1" s="1"/>
  <c r="P622" i="1"/>
  <c r="O622" i="1"/>
  <c r="A622" i="1"/>
  <c r="P621" i="1"/>
  <c r="O621" i="1"/>
  <c r="A621" i="1"/>
  <c r="P540" i="1"/>
  <c r="O540" i="1"/>
  <c r="E540" i="1"/>
  <c r="A540" i="1" s="1"/>
  <c r="P539" i="1"/>
  <c r="O539" i="1"/>
  <c r="E539" i="1"/>
  <c r="A539" i="1" s="1"/>
  <c r="P541" i="1"/>
  <c r="O541" i="1"/>
  <c r="E541" i="1"/>
  <c r="A541" i="1" s="1"/>
  <c r="P734" i="1"/>
  <c r="O734" i="1"/>
  <c r="A734" i="1"/>
  <c r="P1271" i="1"/>
  <c r="O1271" i="1"/>
  <c r="A1271" i="1"/>
  <c r="P421" i="1"/>
  <c r="O421" i="1"/>
  <c r="A421" i="1"/>
  <c r="P366" i="1"/>
  <c r="O366" i="1"/>
  <c r="E366" i="1"/>
  <c r="A366" i="1" s="1"/>
  <c r="P738" i="1"/>
  <c r="O738" i="1"/>
  <c r="A738" i="1"/>
  <c r="P739" i="1"/>
  <c r="O739" i="1"/>
  <c r="A739" i="1"/>
  <c r="P737" i="1"/>
  <c r="O737" i="1"/>
  <c r="A737" i="1"/>
  <c r="P530" i="1"/>
  <c r="O530" i="1"/>
  <c r="E530" i="1"/>
  <c r="A530" i="1" s="1"/>
  <c r="P257" i="1"/>
  <c r="O257" i="1"/>
  <c r="A257" i="1"/>
  <c r="P332" i="1"/>
  <c r="O332" i="1"/>
  <c r="A332" i="1"/>
  <c r="P526" i="1"/>
  <c r="O526" i="1"/>
  <c r="E526" i="1"/>
  <c r="A526" i="1" s="1"/>
  <c r="P525" i="1"/>
  <c r="O525" i="1"/>
  <c r="E525" i="1"/>
  <c r="A525" i="1" s="1"/>
  <c r="P524" i="1"/>
  <c r="O524" i="1"/>
  <c r="E524" i="1"/>
  <c r="A524" i="1" s="1"/>
  <c r="P523" i="1"/>
  <c r="O523" i="1"/>
  <c r="E523" i="1"/>
  <c r="A523" i="1" s="1"/>
  <c r="P522" i="1"/>
  <c r="O522" i="1"/>
  <c r="E522" i="1"/>
  <c r="A522" i="1" s="1"/>
  <c r="P396" i="1"/>
  <c r="O396" i="1"/>
  <c r="A396" i="1"/>
  <c r="P520" i="1"/>
  <c r="O520" i="1"/>
  <c r="E520" i="1"/>
  <c r="A520" i="1" s="1"/>
  <c r="P251" i="1"/>
  <c r="O251" i="1"/>
  <c r="A251" i="1"/>
  <c r="P518" i="1"/>
  <c r="O518" i="1"/>
  <c r="E518" i="1"/>
  <c r="A518" i="1" s="1"/>
  <c r="P245" i="1"/>
  <c r="O245" i="1"/>
  <c r="A245" i="1"/>
  <c r="P179" i="1"/>
  <c r="O179" i="1"/>
  <c r="A179" i="1"/>
  <c r="P395" i="1"/>
  <c r="O395" i="1"/>
  <c r="P511" i="1"/>
  <c r="O511" i="1"/>
  <c r="P497" i="1"/>
  <c r="O497" i="1"/>
  <c r="P489" i="1"/>
  <c r="O489" i="1"/>
  <c r="P666" i="1"/>
  <c r="O666" i="1"/>
  <c r="A666" i="1"/>
  <c r="P509" i="1"/>
  <c r="O509" i="1"/>
  <c r="E509" i="1"/>
  <c r="A509" i="1" s="1"/>
  <c r="P508" i="1"/>
  <c r="O508" i="1"/>
  <c r="E508" i="1"/>
  <c r="A508" i="1" s="1"/>
  <c r="P507" i="1"/>
  <c r="O507" i="1"/>
  <c r="E507" i="1"/>
  <c r="A507" i="1" s="1"/>
  <c r="P629" i="1"/>
  <c r="O629" i="1"/>
  <c r="A629" i="1"/>
  <c r="P505" i="1"/>
  <c r="O505" i="1"/>
  <c r="E505" i="1"/>
  <c r="A505" i="1" s="1"/>
  <c r="P616" i="1"/>
  <c r="O616" i="1"/>
  <c r="A616" i="1"/>
  <c r="P512" i="1"/>
  <c r="O512" i="1"/>
  <c r="A512" i="1"/>
  <c r="P500" i="1"/>
  <c r="O500" i="1"/>
  <c r="E500" i="1"/>
  <c r="A500" i="1" s="1"/>
  <c r="P499" i="1"/>
  <c r="O499" i="1"/>
  <c r="E499" i="1"/>
  <c r="A499" i="1" s="1"/>
  <c r="P498" i="1"/>
  <c r="O498" i="1"/>
  <c r="E498" i="1"/>
  <c r="A498" i="1" s="1"/>
  <c r="P463" i="1"/>
  <c r="O463" i="1"/>
  <c r="A463" i="1"/>
  <c r="P546" i="1"/>
  <c r="O546" i="1"/>
  <c r="A546" i="1"/>
  <c r="P545" i="1"/>
  <c r="O545" i="1"/>
  <c r="A545" i="1"/>
  <c r="P494" i="1"/>
  <c r="O494" i="1"/>
  <c r="E494" i="1"/>
  <c r="A494" i="1" s="1"/>
  <c r="P493" i="1"/>
  <c r="O493" i="1"/>
  <c r="E493" i="1"/>
  <c r="A493" i="1" s="1"/>
  <c r="P501" i="1"/>
  <c r="O501" i="1"/>
  <c r="A501" i="1"/>
  <c r="P495" i="1"/>
  <c r="O495" i="1"/>
  <c r="A495" i="1"/>
  <c r="P471" i="1"/>
  <c r="O471" i="1"/>
  <c r="A471" i="1"/>
  <c r="P592" i="1"/>
  <c r="O592" i="1"/>
  <c r="A592" i="1"/>
  <c r="P488" i="1"/>
  <c r="O488" i="1"/>
  <c r="E488" i="1"/>
  <c r="A488" i="1" s="1"/>
  <c r="P416" i="1"/>
  <c r="O416" i="1"/>
  <c r="P486" i="1"/>
  <c r="O486" i="1"/>
  <c r="E486" i="1"/>
  <c r="A486" i="1" s="1"/>
  <c r="P429" i="1"/>
  <c r="O429" i="1"/>
  <c r="P484" i="1"/>
  <c r="O484" i="1"/>
  <c r="E484" i="1"/>
  <c r="A484" i="1" s="1"/>
  <c r="P372" i="1"/>
  <c r="O372" i="1"/>
  <c r="A372" i="1"/>
  <c r="P419" i="1"/>
  <c r="O419" i="1"/>
  <c r="A419" i="1"/>
  <c r="P373" i="1"/>
  <c r="O373" i="1"/>
  <c r="A373" i="1"/>
  <c r="P420" i="1"/>
  <c r="O420" i="1"/>
  <c r="A420" i="1"/>
  <c r="P479" i="1"/>
  <c r="O479" i="1"/>
  <c r="E479" i="1"/>
  <c r="A479" i="1" s="1"/>
  <c r="P478" i="1"/>
  <c r="O478" i="1"/>
  <c r="E478" i="1"/>
  <c r="A478" i="1" s="1"/>
  <c r="P477" i="1"/>
  <c r="O477" i="1"/>
  <c r="P476" i="1"/>
  <c r="O476" i="1"/>
  <c r="E476" i="1"/>
  <c r="A476" i="1" s="1"/>
  <c r="P473" i="1"/>
  <c r="O473" i="1"/>
  <c r="A473" i="1"/>
  <c r="P411" i="1"/>
  <c r="O411" i="1"/>
  <c r="P740" i="1"/>
  <c r="O740" i="1"/>
  <c r="E740" i="1"/>
  <c r="A740" i="1" s="1"/>
  <c r="P474" i="1"/>
  <c r="O474" i="1"/>
  <c r="A474" i="1"/>
  <c r="P410" i="1"/>
  <c r="O410" i="1"/>
  <c r="P333" i="1"/>
  <c r="O333" i="1"/>
  <c r="A333" i="1"/>
  <c r="P469" i="1"/>
  <c r="O469" i="1"/>
  <c r="E469" i="1"/>
  <c r="A469" i="1" s="1"/>
  <c r="P732" i="1"/>
  <c r="O732" i="1"/>
  <c r="P409" i="1"/>
  <c r="O409" i="1"/>
  <c r="A409" i="1"/>
  <c r="P466" i="1"/>
  <c r="O466" i="1"/>
  <c r="E466" i="1"/>
  <c r="A466" i="1" s="1"/>
  <c r="P465" i="1"/>
  <c r="O465" i="1"/>
  <c r="E465" i="1"/>
  <c r="A465" i="1" s="1"/>
  <c r="P339" i="1"/>
  <c r="O339" i="1"/>
  <c r="A339" i="1"/>
  <c r="P358" i="1"/>
  <c r="O358" i="1"/>
  <c r="A358" i="1"/>
  <c r="P283" i="1"/>
  <c r="O283" i="1"/>
  <c r="A283" i="1"/>
  <c r="P461" i="1"/>
  <c r="O461" i="1"/>
  <c r="E461" i="1"/>
  <c r="A461" i="1" s="1"/>
  <c r="P460" i="1"/>
  <c r="O460" i="1"/>
  <c r="E460" i="1"/>
  <c r="A460" i="1" s="1"/>
  <c r="P459" i="1"/>
  <c r="O459" i="1"/>
  <c r="E459" i="1"/>
  <c r="A459" i="1" s="1"/>
  <c r="P596" i="1"/>
  <c r="O596" i="1"/>
  <c r="A596" i="1"/>
  <c r="P457" i="1"/>
  <c r="O457" i="1"/>
  <c r="E457" i="1"/>
  <c r="A457" i="1" s="1"/>
  <c r="P456" i="1"/>
  <c r="O456" i="1"/>
  <c r="E456" i="1"/>
  <c r="A456" i="1" s="1"/>
  <c r="P455" i="1"/>
  <c r="O455" i="1"/>
  <c r="E455" i="1"/>
  <c r="A455" i="1" s="1"/>
  <c r="P458" i="1"/>
  <c r="O458" i="1"/>
  <c r="E458" i="1"/>
  <c r="A458" i="1" s="1"/>
  <c r="P453" i="1"/>
  <c r="O453" i="1"/>
  <c r="E453" i="1"/>
  <c r="A453" i="1" s="1"/>
  <c r="P452" i="1"/>
  <c r="O452" i="1"/>
  <c r="E452" i="1"/>
  <c r="A452" i="1" s="1"/>
  <c r="P256" i="1"/>
  <c r="O256" i="1"/>
  <c r="A256" i="1"/>
  <c r="P261" i="1"/>
  <c r="O261" i="1"/>
  <c r="A261" i="1"/>
  <c r="P408" i="1"/>
  <c r="O408" i="1"/>
  <c r="A408" i="1"/>
  <c r="P448" i="1"/>
  <c r="O448" i="1"/>
  <c r="E448" i="1"/>
  <c r="A448" i="1" s="1"/>
  <c r="P407" i="1"/>
  <c r="O407" i="1"/>
  <c r="A407" i="1"/>
  <c r="P446" i="1"/>
  <c r="O446" i="1"/>
  <c r="E446" i="1"/>
  <c r="A446" i="1" s="1"/>
  <c r="P406" i="1"/>
  <c r="O406" i="1"/>
  <c r="A406" i="1"/>
  <c r="P444" i="1"/>
  <c r="O444" i="1"/>
  <c r="E444" i="1"/>
  <c r="A444" i="1" s="1"/>
  <c r="P405" i="1"/>
  <c r="O405" i="1"/>
  <c r="A405" i="1"/>
  <c r="P442" i="1"/>
  <c r="O442" i="1"/>
  <c r="E442" i="1"/>
  <c r="A442" i="1" s="1"/>
  <c r="P443" i="1"/>
  <c r="O443" i="1"/>
  <c r="E443" i="1"/>
  <c r="A443" i="1" s="1"/>
  <c r="P441" i="1"/>
  <c r="O441" i="1"/>
  <c r="E441" i="1"/>
  <c r="A441" i="1" s="1"/>
  <c r="P439" i="1"/>
  <c r="O439" i="1"/>
  <c r="E439" i="1"/>
  <c r="A439" i="1" s="1"/>
  <c r="P714" i="1"/>
  <c r="O714" i="1"/>
  <c r="A714" i="1"/>
  <c r="P437" i="1"/>
  <c r="O437" i="1"/>
  <c r="E437" i="1"/>
  <c r="A437" i="1" s="1"/>
  <c r="P436" i="1"/>
  <c r="O436" i="1"/>
  <c r="E436" i="1"/>
  <c r="A436" i="1" s="1"/>
  <c r="P435" i="1"/>
  <c r="O435" i="1"/>
  <c r="E435" i="1"/>
  <c r="A435" i="1" s="1"/>
  <c r="P434" i="1"/>
  <c r="O434" i="1"/>
  <c r="E434" i="1"/>
  <c r="A434" i="1" s="1"/>
  <c r="P433" i="1"/>
  <c r="O433" i="1"/>
  <c r="E433" i="1"/>
  <c r="A433" i="1" s="1"/>
  <c r="P432" i="1"/>
  <c r="O432" i="1"/>
  <c r="E432" i="1"/>
  <c r="A432" i="1" s="1"/>
  <c r="P431" i="1"/>
  <c r="O431" i="1"/>
  <c r="E431" i="1"/>
  <c r="A431" i="1" s="1"/>
  <c r="P269" i="1"/>
  <c r="O269" i="1"/>
  <c r="A269" i="1"/>
  <c r="P286" i="1"/>
  <c r="O286" i="1"/>
  <c r="A286" i="1"/>
  <c r="P291" i="1"/>
  <c r="O291" i="1"/>
  <c r="A291" i="1"/>
  <c r="P427" i="1"/>
  <c r="O427" i="1"/>
  <c r="E427" i="1"/>
  <c r="A427" i="1" s="1"/>
  <c r="P426" i="1"/>
  <c r="O426" i="1"/>
  <c r="E426" i="1"/>
  <c r="A426" i="1" s="1"/>
  <c r="P404" i="1"/>
  <c r="O404" i="1"/>
  <c r="A404" i="1"/>
  <c r="P292" i="1"/>
  <c r="O292" i="1"/>
  <c r="A292" i="1"/>
  <c r="P298" i="1"/>
  <c r="O298" i="1"/>
  <c r="A298" i="1"/>
  <c r="P422" i="1"/>
  <c r="O422" i="1"/>
  <c r="E422" i="1"/>
  <c r="A422" i="1" s="1"/>
  <c r="P371" i="1"/>
  <c r="O371" i="1"/>
  <c r="B371" i="1"/>
  <c r="P403" i="1"/>
  <c r="O403" i="1"/>
  <c r="E403" i="1"/>
  <c r="A403" i="1" s="1"/>
  <c r="P402" i="1"/>
  <c r="O402" i="1"/>
  <c r="P418" i="1"/>
  <c r="O418" i="1"/>
  <c r="E418" i="1"/>
  <c r="A418" i="1" s="1"/>
  <c r="P417" i="1"/>
  <c r="O417" i="1"/>
  <c r="E417" i="1"/>
  <c r="A417" i="1" s="1"/>
  <c r="P415" i="1"/>
  <c r="O415" i="1"/>
  <c r="E415" i="1"/>
  <c r="A415" i="1" s="1"/>
  <c r="P412" i="1"/>
  <c r="O412" i="1"/>
  <c r="E412" i="1"/>
  <c r="A412" i="1" s="1"/>
  <c r="P184" i="1"/>
  <c r="O184" i="1"/>
  <c r="A184" i="1"/>
  <c r="P183" i="1"/>
  <c r="O183" i="1"/>
  <c r="A183" i="1"/>
  <c r="P181" i="1"/>
  <c r="O181" i="1"/>
  <c r="A181" i="1"/>
  <c r="P180" i="1"/>
  <c r="O180" i="1"/>
  <c r="A180" i="1"/>
  <c r="P176" i="1"/>
  <c r="O176" i="1"/>
  <c r="A176" i="1"/>
  <c r="P174" i="1"/>
  <c r="O174" i="1"/>
  <c r="A174" i="1"/>
  <c r="P171" i="1"/>
  <c r="O171" i="1"/>
  <c r="A171" i="1"/>
  <c r="P170" i="1"/>
  <c r="O170" i="1"/>
  <c r="A170" i="1"/>
  <c r="P712" i="1"/>
  <c r="O712" i="1"/>
  <c r="A712" i="1"/>
  <c r="P711" i="1"/>
  <c r="O711" i="1"/>
  <c r="A711" i="1"/>
  <c r="P401" i="1"/>
  <c r="O401" i="1"/>
  <c r="E401" i="1"/>
  <c r="A401" i="1" s="1"/>
  <c r="P533" i="1"/>
  <c r="O533" i="1"/>
  <c r="A533" i="1"/>
  <c r="P708" i="1"/>
  <c r="O708" i="1"/>
  <c r="A708" i="1"/>
  <c r="P707" i="1"/>
  <c r="O707" i="1"/>
  <c r="A707" i="1"/>
  <c r="P706" i="1"/>
  <c r="O706" i="1"/>
  <c r="A706" i="1"/>
  <c r="P690" i="1"/>
  <c r="O690" i="1"/>
  <c r="A690" i="1"/>
  <c r="P691" i="1"/>
  <c r="O691" i="1"/>
  <c r="A691" i="1"/>
  <c r="P531" i="1"/>
  <c r="O531" i="1"/>
  <c r="A531" i="1"/>
  <c r="P705" i="1"/>
  <c r="O705" i="1"/>
  <c r="A705" i="1"/>
  <c r="P693" i="1"/>
  <c r="O693" i="1"/>
  <c r="A693" i="1"/>
  <c r="P270" i="1"/>
  <c r="O270" i="1"/>
  <c r="E270" i="1"/>
  <c r="A270" i="1" s="1"/>
  <c r="P532" i="1"/>
  <c r="O532" i="1"/>
  <c r="A532" i="1"/>
  <c r="P535" i="1"/>
  <c r="O535" i="1"/>
  <c r="A535" i="1"/>
  <c r="P388" i="1"/>
  <c r="O388" i="1"/>
  <c r="E388" i="1"/>
  <c r="A388" i="1" s="1"/>
  <c r="P703" i="1"/>
  <c r="O703" i="1"/>
  <c r="A703" i="1"/>
  <c r="P386" i="1"/>
  <c r="O386" i="1"/>
  <c r="E386" i="1"/>
  <c r="A386" i="1" s="1"/>
  <c r="P704" i="1"/>
  <c r="O704" i="1"/>
  <c r="A704" i="1"/>
  <c r="P564" i="1"/>
  <c r="O564" i="1"/>
  <c r="A564" i="1"/>
  <c r="P565" i="1"/>
  <c r="O565" i="1"/>
  <c r="A565" i="1"/>
  <c r="P382" i="1"/>
  <c r="O382" i="1"/>
  <c r="E382" i="1"/>
  <c r="A382" i="1" s="1"/>
  <c r="P567" i="1"/>
  <c r="O567" i="1"/>
  <c r="A567" i="1"/>
  <c r="P550" i="1"/>
  <c r="O550" i="1"/>
  <c r="A550" i="1"/>
  <c r="P536" i="1"/>
  <c r="O536" i="1"/>
  <c r="B536" i="1"/>
  <c r="P588" i="1"/>
  <c r="O588" i="1"/>
  <c r="A588" i="1"/>
  <c r="P573" i="1"/>
  <c r="O573" i="1"/>
  <c r="A573" i="1"/>
  <c r="P177" i="1"/>
  <c r="O177" i="1"/>
  <c r="P542" i="1"/>
  <c r="O542" i="1"/>
  <c r="A542" i="1"/>
  <c r="P537" i="1"/>
  <c r="O537" i="1"/>
  <c r="A537" i="1"/>
  <c r="P529" i="1"/>
  <c r="O529" i="1"/>
  <c r="A529" i="1"/>
  <c r="P264" i="1"/>
  <c r="O264" i="1"/>
  <c r="A264" i="1"/>
  <c r="P282" i="1"/>
  <c r="O282" i="1"/>
  <c r="A282" i="1"/>
  <c r="P284" i="1"/>
  <c r="O284" i="1"/>
  <c r="A284" i="1"/>
  <c r="P293" i="1"/>
  <c r="O293" i="1"/>
  <c r="A293" i="1"/>
  <c r="P368" i="1"/>
  <c r="O368" i="1"/>
  <c r="E368" i="1"/>
  <c r="A368" i="1" s="1"/>
  <c r="P294" i="1"/>
  <c r="O294" i="1"/>
  <c r="A294" i="1"/>
  <c r="P312" i="1"/>
  <c r="O312" i="1"/>
  <c r="A312" i="1"/>
  <c r="P365" i="1"/>
  <c r="O365" i="1"/>
  <c r="E365" i="1"/>
  <c r="A365" i="1" s="1"/>
  <c r="P514" i="1"/>
  <c r="O514" i="1"/>
  <c r="A514" i="1"/>
  <c r="P363" i="1"/>
  <c r="O363" i="1"/>
  <c r="E363" i="1"/>
  <c r="A363" i="1" s="1"/>
  <c r="P496" i="1"/>
  <c r="O496" i="1"/>
  <c r="A496" i="1"/>
  <c r="P361" i="1"/>
  <c r="O361" i="1"/>
  <c r="E361" i="1"/>
  <c r="A361" i="1" s="1"/>
  <c r="P360" i="1"/>
  <c r="O360" i="1"/>
  <c r="E360" i="1"/>
  <c r="A360" i="1" s="1"/>
  <c r="P359" i="1"/>
  <c r="O359" i="1"/>
  <c r="E359" i="1"/>
  <c r="A359" i="1" s="1"/>
  <c r="P487" i="1"/>
  <c r="O487" i="1"/>
  <c r="A487" i="1"/>
  <c r="P357" i="1"/>
  <c r="O357" i="1"/>
  <c r="E357" i="1"/>
  <c r="A357" i="1" s="1"/>
  <c r="P527" i="1"/>
  <c r="O527" i="1"/>
  <c r="A527" i="1"/>
  <c r="P355" i="1"/>
  <c r="O355" i="1"/>
  <c r="E355" i="1"/>
  <c r="A355" i="1" s="1"/>
  <c r="P354" i="1"/>
  <c r="O354" i="1"/>
  <c r="E354" i="1"/>
  <c r="A354" i="1" s="1"/>
  <c r="P353" i="1"/>
  <c r="O353" i="1"/>
  <c r="E353" i="1"/>
  <c r="A353" i="1" s="1"/>
  <c r="P352" i="1"/>
  <c r="O352" i="1"/>
  <c r="E352" i="1"/>
  <c r="A352" i="1" s="1"/>
  <c r="P351" i="1"/>
  <c r="O351" i="1"/>
  <c r="E351" i="1"/>
  <c r="A351" i="1" s="1"/>
  <c r="P485" i="1"/>
  <c r="O485" i="1"/>
  <c r="A485" i="1"/>
  <c r="P483" i="1"/>
  <c r="O483" i="1"/>
  <c r="A483" i="1"/>
  <c r="P348" i="1"/>
  <c r="O348" i="1"/>
  <c r="E348" i="1"/>
  <c r="A348" i="1" s="1"/>
  <c r="P347" i="1"/>
  <c r="O347" i="1"/>
  <c r="E347" i="1"/>
  <c r="A347" i="1" s="1"/>
  <c r="P346" i="1"/>
  <c r="O346" i="1"/>
  <c r="E346" i="1"/>
  <c r="A346" i="1" s="1"/>
  <c r="P482" i="1"/>
  <c r="O482" i="1"/>
  <c r="A482" i="1"/>
  <c r="P344" i="1"/>
  <c r="O344" i="1"/>
  <c r="E344" i="1"/>
  <c r="A344" i="1" s="1"/>
  <c r="P481" i="1"/>
  <c r="O481" i="1"/>
  <c r="A481" i="1"/>
  <c r="P390" i="1"/>
  <c r="O390" i="1"/>
  <c r="A390" i="1"/>
  <c r="P341" i="1"/>
  <c r="O341" i="1"/>
  <c r="E341" i="1"/>
  <c r="A341" i="1" s="1"/>
  <c r="P336" i="1"/>
  <c r="O336" i="1"/>
  <c r="A336" i="1"/>
  <c r="P337" i="1"/>
  <c r="O337" i="1"/>
  <c r="A337" i="1"/>
  <c r="P306" i="1"/>
  <c r="O306" i="1"/>
  <c r="A306" i="1"/>
  <c r="P304" i="1"/>
  <c r="O304" i="1"/>
  <c r="A304" i="1"/>
  <c r="P300" i="1"/>
  <c r="O300" i="1"/>
  <c r="A300" i="1"/>
  <c r="P335" i="1"/>
  <c r="O335" i="1"/>
  <c r="E335" i="1"/>
  <c r="A335" i="1" s="1"/>
  <c r="P334" i="1"/>
  <c r="O334" i="1"/>
  <c r="E334" i="1"/>
  <c r="A334" i="1" s="1"/>
  <c r="P250" i="1"/>
  <c r="O250" i="1"/>
  <c r="A250" i="1"/>
  <c r="P389" i="1"/>
  <c r="O389" i="1"/>
  <c r="A389" i="1"/>
  <c r="P331" i="1"/>
  <c r="O331" i="1"/>
  <c r="E331" i="1"/>
  <c r="A331" i="1" s="1"/>
  <c r="P330" i="1"/>
  <c r="O330" i="1"/>
  <c r="E330" i="1"/>
  <c r="A330" i="1" s="1"/>
  <c r="P314" i="1"/>
  <c r="O314" i="1"/>
  <c r="A314" i="1"/>
  <c r="P247" i="1"/>
  <c r="O247" i="1"/>
  <c r="A247" i="1"/>
  <c r="P504" i="1"/>
  <c r="O504" i="1"/>
  <c r="A504" i="1"/>
  <c r="P326" i="1"/>
  <c r="O326" i="1"/>
  <c r="E326" i="1"/>
  <c r="A326" i="1" s="1"/>
  <c r="P502" i="1"/>
  <c r="O502" i="1"/>
  <c r="A502" i="1"/>
  <c r="P387" i="1"/>
  <c r="O387" i="1"/>
  <c r="A387" i="1"/>
  <c r="P625" i="1"/>
  <c r="O625" i="1"/>
  <c r="A625" i="1"/>
  <c r="P315" i="1"/>
  <c r="O315" i="1"/>
  <c r="A315" i="1"/>
  <c r="P319" i="1"/>
  <c r="O319" i="1"/>
  <c r="A319" i="1"/>
  <c r="P591" i="1"/>
  <c r="O591" i="1"/>
  <c r="A591" i="1"/>
  <c r="P276" i="1"/>
  <c r="O276" i="1"/>
  <c r="A276" i="1"/>
  <c r="P318" i="1"/>
  <c r="O318" i="1"/>
  <c r="E318" i="1"/>
  <c r="A318" i="1" s="1"/>
  <c r="P317" i="1"/>
  <c r="O317" i="1"/>
  <c r="E317" i="1"/>
  <c r="A317" i="1" s="1"/>
  <c r="P316" i="1"/>
  <c r="O316" i="1"/>
  <c r="E316" i="1"/>
  <c r="A316" i="1" s="1"/>
  <c r="P423" i="1"/>
  <c r="O423" i="1"/>
  <c r="A423" i="1"/>
  <c r="P338" i="1"/>
  <c r="O338" i="1"/>
  <c r="A338" i="1"/>
  <c r="P313" i="1"/>
  <c r="O313" i="1"/>
  <c r="E313" i="1"/>
  <c r="A313" i="1" s="1"/>
  <c r="P626" i="1"/>
  <c r="O626" i="1"/>
  <c r="A626" i="1"/>
  <c r="P311" i="1"/>
  <c r="O311" i="1"/>
  <c r="E311" i="1"/>
  <c r="A311" i="1" s="1"/>
  <c r="P310" i="1"/>
  <c r="O310" i="1"/>
  <c r="E310" i="1"/>
  <c r="A310" i="1" s="1"/>
  <c r="P309" i="1"/>
  <c r="O309" i="1"/>
  <c r="E309" i="1"/>
  <c r="A309" i="1" s="1"/>
  <c r="P308" i="1"/>
  <c r="O308" i="1"/>
  <c r="E308" i="1"/>
  <c r="A308" i="1" s="1"/>
  <c r="P307" i="1"/>
  <c r="O307" i="1"/>
  <c r="E307" i="1"/>
  <c r="A307" i="1" s="1"/>
  <c r="P510" i="1"/>
  <c r="O510" i="1"/>
  <c r="P305" i="1"/>
  <c r="O305" i="1"/>
  <c r="E305" i="1"/>
  <c r="A305" i="1" s="1"/>
  <c r="P614" i="1"/>
  <c r="O614" i="1"/>
  <c r="B614" i="1"/>
  <c r="P624" i="1"/>
  <c r="O624" i="1"/>
  <c r="A624" i="1"/>
  <c r="P301" i="1"/>
  <c r="O301" i="1"/>
  <c r="E301" i="1"/>
  <c r="A301" i="1" s="1"/>
  <c r="P475" i="1"/>
  <c r="O475" i="1"/>
  <c r="P299" i="1"/>
  <c r="O299" i="1"/>
  <c r="E299" i="1"/>
  <c r="A299" i="1" s="1"/>
  <c r="P374" i="1"/>
  <c r="O374" i="1"/>
  <c r="A374" i="1"/>
  <c r="P322" i="1"/>
  <c r="O322" i="1"/>
  <c r="B322" i="1"/>
  <c r="P472" i="1"/>
  <c r="O472" i="1"/>
  <c r="B472" i="1"/>
  <c r="P377" i="1"/>
  <c r="O377" i="1"/>
  <c r="A377" i="1"/>
  <c r="P376" i="1"/>
  <c r="O376" i="1"/>
  <c r="A376" i="1"/>
  <c r="P449" i="1"/>
  <c r="O449" i="1"/>
  <c r="A449" i="1"/>
  <c r="P425" i="1"/>
  <c r="O425" i="1"/>
  <c r="A425" i="1"/>
  <c r="P424" i="1"/>
  <c r="O424" i="1"/>
  <c r="A424" i="1"/>
  <c r="P289" i="1"/>
  <c r="O289" i="1"/>
  <c r="E289" i="1"/>
  <c r="A289" i="1" s="1"/>
  <c r="P288" i="1"/>
  <c r="O288" i="1"/>
  <c r="E288" i="1"/>
  <c r="A288" i="1" s="1"/>
  <c r="P287" i="1"/>
  <c r="O287" i="1"/>
  <c r="E287" i="1"/>
  <c r="A287" i="1" s="1"/>
  <c r="P375" i="1"/>
  <c r="O375" i="1"/>
  <c r="A375" i="1"/>
  <c r="P451" i="1"/>
  <c r="O451" i="1"/>
  <c r="A451" i="1"/>
  <c r="P438" i="1"/>
  <c r="O438" i="1"/>
  <c r="B438" i="1"/>
  <c r="P430" i="1"/>
  <c r="O430" i="1"/>
  <c r="A430" i="1"/>
  <c r="P467" i="1"/>
  <c r="O467" i="1"/>
  <c r="A467" i="1"/>
  <c r="P281" i="1"/>
  <c r="O281" i="1"/>
  <c r="E281" i="1"/>
  <c r="A281" i="1" s="1"/>
  <c r="P280" i="1"/>
  <c r="O280" i="1"/>
  <c r="E280" i="1"/>
  <c r="A280" i="1" s="1"/>
  <c r="P328" i="1"/>
  <c r="O328" i="1"/>
  <c r="A328" i="1"/>
  <c r="P278" i="1"/>
  <c r="O278" i="1"/>
  <c r="E278" i="1"/>
  <c r="A278" i="1" s="1"/>
  <c r="P277" i="1"/>
  <c r="O277" i="1"/>
  <c r="E277" i="1"/>
  <c r="A277" i="1" s="1"/>
  <c r="P327" i="1"/>
  <c r="O327" i="1"/>
  <c r="A327" i="1"/>
  <c r="P275" i="1"/>
  <c r="O275" i="1"/>
  <c r="E275" i="1"/>
  <c r="A275" i="1" s="1"/>
  <c r="P274" i="1"/>
  <c r="O274" i="1"/>
  <c r="E274" i="1"/>
  <c r="A274" i="1" s="1"/>
  <c r="P273" i="1"/>
  <c r="O273" i="1"/>
  <c r="E273" i="1"/>
  <c r="A273" i="1" s="1"/>
  <c r="P272" i="1"/>
  <c r="O272" i="1"/>
  <c r="E272" i="1"/>
  <c r="A272" i="1" s="1"/>
  <c r="P325" i="1"/>
  <c r="O325" i="1"/>
  <c r="A325" i="1"/>
  <c r="P324" i="1"/>
  <c r="O324" i="1"/>
  <c r="A324" i="1"/>
  <c r="P342" i="1"/>
  <c r="O342" i="1"/>
  <c r="A342" i="1"/>
  <c r="P268" i="1"/>
  <c r="O268" i="1"/>
  <c r="E268" i="1"/>
  <c r="A268" i="1" s="1"/>
  <c r="P343" i="1"/>
  <c r="O343" i="1"/>
  <c r="A343" i="1"/>
  <c r="P266" i="1"/>
  <c r="O266" i="1"/>
  <c r="E266" i="1"/>
  <c r="A266" i="1" s="1"/>
  <c r="P265" i="1"/>
  <c r="O265" i="1"/>
  <c r="E265" i="1"/>
  <c r="A265" i="1" s="1"/>
  <c r="P320" i="1"/>
  <c r="O320" i="1"/>
  <c r="A320" i="1"/>
  <c r="P263" i="1"/>
  <c r="O263" i="1"/>
  <c r="E263" i="1"/>
  <c r="A263" i="1" s="1"/>
  <c r="P262" i="1"/>
  <c r="O262" i="1"/>
  <c r="E262" i="1"/>
  <c r="A262" i="1" s="1"/>
  <c r="P345" i="1"/>
  <c r="O345" i="1"/>
  <c r="A345" i="1"/>
  <c r="P260" i="1"/>
  <c r="O260" i="1"/>
  <c r="E260" i="1"/>
  <c r="A260" i="1" s="1"/>
  <c r="P259" i="1"/>
  <c r="O259" i="1"/>
  <c r="E259" i="1"/>
  <c r="A259" i="1" s="1"/>
  <c r="P258" i="1"/>
  <c r="O258" i="1"/>
  <c r="E258" i="1"/>
  <c r="A258" i="1" s="1"/>
  <c r="P349" i="1"/>
  <c r="O349" i="1"/>
  <c r="A349" i="1"/>
  <c r="P362" i="1"/>
  <c r="O362" i="1"/>
  <c r="A362" i="1"/>
  <c r="P254" i="1"/>
  <c r="O254" i="1"/>
  <c r="E254" i="1"/>
  <c r="A254" i="1" s="1"/>
  <c r="P253" i="1"/>
  <c r="O253" i="1"/>
  <c r="E253" i="1"/>
  <c r="A253" i="1" s="1"/>
  <c r="P252" i="1"/>
  <c r="O252" i="1"/>
  <c r="E252" i="1"/>
  <c r="A252" i="1" s="1"/>
  <c r="P400" i="1"/>
  <c r="O400" i="1"/>
  <c r="A400" i="1"/>
  <c r="P249" i="1"/>
  <c r="O249" i="1"/>
  <c r="E249" i="1"/>
  <c r="A249" i="1" s="1"/>
  <c r="P248" i="1"/>
  <c r="O248" i="1"/>
  <c r="E248" i="1"/>
  <c r="A248" i="1" s="1"/>
  <c r="P399" i="1"/>
  <c r="O399" i="1"/>
  <c r="A399" i="1"/>
  <c r="P246" i="1"/>
  <c r="O246" i="1"/>
  <c r="E246" i="1"/>
  <c r="A246" i="1" s="1"/>
  <c r="P244" i="1"/>
  <c r="O244" i="1"/>
  <c r="E244" i="1"/>
  <c r="A244" i="1" s="1"/>
  <c r="P243" i="1"/>
  <c r="O243" i="1"/>
  <c r="E243" i="1"/>
  <c r="A243" i="1" s="1"/>
  <c r="P242" i="1"/>
  <c r="O242" i="1"/>
  <c r="E242" i="1"/>
  <c r="A242" i="1" s="1"/>
  <c r="P241" i="1"/>
  <c r="O241" i="1"/>
  <c r="E241" i="1"/>
  <c r="A241" i="1" s="1"/>
  <c r="P240" i="1"/>
  <c r="O240" i="1"/>
  <c r="E240" i="1"/>
  <c r="A240" i="1" s="1"/>
  <c r="P239" i="1"/>
  <c r="O239" i="1"/>
  <c r="E239" i="1"/>
  <c r="A239" i="1" s="1"/>
  <c r="P238" i="1"/>
  <c r="O238" i="1"/>
  <c r="E238" i="1"/>
  <c r="A238" i="1" s="1"/>
  <c r="P237" i="1"/>
  <c r="O237" i="1"/>
  <c r="E237" i="1"/>
  <c r="A237" i="1" s="1"/>
  <c r="P236" i="1"/>
  <c r="O236" i="1"/>
  <c r="E236" i="1"/>
  <c r="A236" i="1" s="1"/>
  <c r="P235" i="1"/>
  <c r="O235" i="1"/>
  <c r="E235" i="1"/>
  <c r="A235" i="1" s="1"/>
  <c r="P234" i="1"/>
  <c r="O234" i="1"/>
  <c r="E234" i="1"/>
  <c r="A234" i="1" s="1"/>
  <c r="P233" i="1"/>
  <c r="O233" i="1"/>
  <c r="E233" i="1"/>
  <c r="A233" i="1" s="1"/>
  <c r="P231" i="1"/>
  <c r="O231" i="1"/>
  <c r="E231" i="1"/>
  <c r="A231" i="1" s="1"/>
  <c r="P230" i="1"/>
  <c r="O230" i="1"/>
  <c r="E230" i="1"/>
  <c r="A230" i="1" s="1"/>
  <c r="P229" i="1"/>
  <c r="O229" i="1"/>
  <c r="E229" i="1"/>
  <c r="A229" i="1" s="1"/>
  <c r="P228" i="1"/>
  <c r="O228" i="1"/>
  <c r="E228" i="1"/>
  <c r="A228" i="1" s="1"/>
  <c r="P227" i="1"/>
  <c r="O227" i="1"/>
  <c r="E227" i="1"/>
  <c r="A227" i="1" s="1"/>
  <c r="P226" i="1"/>
  <c r="O226" i="1"/>
  <c r="E226" i="1"/>
  <c r="A226" i="1" s="1"/>
  <c r="P225" i="1"/>
  <c r="O225" i="1"/>
  <c r="E225" i="1"/>
  <c r="A225" i="1" s="1"/>
  <c r="P224" i="1"/>
  <c r="O224" i="1"/>
  <c r="E224" i="1"/>
  <c r="A224" i="1" s="1"/>
  <c r="P223" i="1"/>
  <c r="O223" i="1"/>
  <c r="E223" i="1"/>
  <c r="A223" i="1" s="1"/>
  <c r="P222" i="1"/>
  <c r="O222" i="1"/>
  <c r="E222" i="1"/>
  <c r="A222" i="1" s="1"/>
  <c r="P221" i="1"/>
  <c r="O221" i="1"/>
  <c r="E221" i="1"/>
  <c r="A221" i="1" s="1"/>
  <c r="P220" i="1"/>
  <c r="O220" i="1"/>
  <c r="E220" i="1"/>
  <c r="A220" i="1" s="1"/>
  <c r="P219" i="1"/>
  <c r="O219" i="1"/>
  <c r="E219" i="1"/>
  <c r="A219" i="1" s="1"/>
  <c r="P218" i="1"/>
  <c r="O218" i="1"/>
  <c r="E218" i="1"/>
  <c r="A218" i="1" s="1"/>
  <c r="P217" i="1"/>
  <c r="O217" i="1"/>
  <c r="E217" i="1"/>
  <c r="A217" i="1" s="1"/>
  <c r="P216" i="1"/>
  <c r="O216" i="1"/>
  <c r="E216" i="1"/>
  <c r="A216" i="1" s="1"/>
  <c r="P215" i="1"/>
  <c r="O215" i="1"/>
  <c r="E215" i="1"/>
  <c r="A215" i="1" s="1"/>
  <c r="P214" i="1"/>
  <c r="O214" i="1"/>
  <c r="E214" i="1"/>
  <c r="A214" i="1" s="1"/>
  <c r="P213" i="1"/>
  <c r="O213" i="1"/>
  <c r="E213" i="1"/>
  <c r="A213" i="1" s="1"/>
  <c r="P212" i="1"/>
  <c r="O212" i="1"/>
  <c r="E212" i="1"/>
  <c r="A212" i="1" s="1"/>
  <c r="P211" i="1"/>
  <c r="O211" i="1"/>
  <c r="E211" i="1"/>
  <c r="A211" i="1" s="1"/>
  <c r="P210" i="1"/>
  <c r="O210" i="1"/>
  <c r="E210" i="1"/>
  <c r="A210" i="1" s="1"/>
  <c r="P209" i="1"/>
  <c r="O209" i="1"/>
  <c r="E209" i="1"/>
  <c r="A209" i="1" s="1"/>
  <c r="P208" i="1"/>
  <c r="O208" i="1"/>
  <c r="E208" i="1"/>
  <c r="A208" i="1" s="1"/>
  <c r="P207" i="1"/>
  <c r="O207" i="1"/>
  <c r="E207" i="1"/>
  <c r="A207" i="1" s="1"/>
  <c r="P206" i="1"/>
  <c r="O206" i="1"/>
  <c r="E206" i="1"/>
  <c r="A206" i="1" s="1"/>
  <c r="P205" i="1"/>
  <c r="O205" i="1"/>
  <c r="E205" i="1"/>
  <c r="A205" i="1" s="1"/>
  <c r="P204" i="1"/>
  <c r="O204" i="1"/>
  <c r="E204" i="1"/>
  <c r="A204" i="1" s="1"/>
  <c r="P203" i="1"/>
  <c r="O203" i="1"/>
  <c r="E203" i="1"/>
  <c r="A203" i="1" s="1"/>
  <c r="P202" i="1"/>
  <c r="O202" i="1"/>
  <c r="E202" i="1"/>
  <c r="A202" i="1" s="1"/>
  <c r="P201" i="1"/>
  <c r="O201" i="1"/>
  <c r="E201" i="1"/>
  <c r="A201" i="1" s="1"/>
  <c r="P200" i="1"/>
  <c r="O200" i="1"/>
  <c r="E200" i="1"/>
  <c r="A200" i="1" s="1"/>
  <c r="P199" i="1"/>
  <c r="O199" i="1"/>
  <c r="E199" i="1"/>
  <c r="A199" i="1" s="1"/>
  <c r="P198" i="1"/>
  <c r="O198" i="1"/>
  <c r="E198" i="1"/>
  <c r="A198" i="1" s="1"/>
  <c r="P197" i="1"/>
  <c r="O197" i="1"/>
  <c r="E197" i="1"/>
  <c r="A197" i="1" s="1"/>
  <c r="P196" i="1"/>
  <c r="O196" i="1"/>
  <c r="E196" i="1"/>
  <c r="A196" i="1" s="1"/>
  <c r="P195" i="1"/>
  <c r="O195" i="1"/>
  <c r="E195" i="1"/>
  <c r="A195" i="1" s="1"/>
  <c r="P194" i="1"/>
  <c r="O194" i="1"/>
  <c r="E194" i="1"/>
  <c r="A194" i="1" s="1"/>
  <c r="P189" i="1"/>
  <c r="O189" i="1"/>
  <c r="E189" i="1"/>
  <c r="A189" i="1" s="1"/>
  <c r="P188" i="1"/>
  <c r="O188" i="1"/>
  <c r="E188" i="1"/>
  <c r="A188" i="1" s="1"/>
  <c r="P187" i="1"/>
  <c r="O187" i="1"/>
  <c r="E187" i="1"/>
  <c r="A187" i="1" s="1"/>
  <c r="P186" i="1"/>
  <c r="O186" i="1"/>
  <c r="E186" i="1"/>
  <c r="A186" i="1" s="1"/>
  <c r="P185" i="1"/>
  <c r="O185" i="1"/>
  <c r="E185" i="1"/>
  <c r="A185" i="1" s="1"/>
  <c r="P139" i="1"/>
  <c r="O139" i="1"/>
  <c r="A139" i="1"/>
  <c r="P30" i="1"/>
  <c r="O30" i="1"/>
  <c r="A30" i="1"/>
  <c r="P182" i="1"/>
  <c r="O182" i="1"/>
  <c r="E182" i="1"/>
  <c r="A182" i="1" s="1"/>
  <c r="P462" i="1"/>
  <c r="O462" i="1"/>
  <c r="B462" i="1"/>
  <c r="P534" i="1"/>
  <c r="O534" i="1"/>
  <c r="A534" i="1"/>
  <c r="P370" i="1"/>
  <c r="O370" i="1"/>
  <c r="A370" i="1"/>
  <c r="P627" i="1"/>
  <c r="O627" i="1"/>
  <c r="A627" i="1"/>
  <c r="P645" i="1"/>
  <c r="O645" i="1"/>
  <c r="A645" i="1"/>
  <c r="P394" i="1"/>
  <c r="O394" i="1"/>
  <c r="A394" i="1"/>
  <c r="P175" i="1"/>
  <c r="O175" i="1"/>
  <c r="E175" i="1"/>
  <c r="A175" i="1" s="1"/>
  <c r="P391" i="1"/>
  <c r="O391" i="1"/>
  <c r="A391" i="1"/>
  <c r="P173" i="1"/>
  <c r="O173" i="1"/>
  <c r="E173" i="1"/>
  <c r="A173" i="1" s="1"/>
  <c r="P172" i="1"/>
  <c r="O172" i="1"/>
  <c r="E172" i="1"/>
  <c r="A172" i="1" s="1"/>
  <c r="P521" i="1"/>
  <c r="O521" i="1"/>
  <c r="A521" i="1"/>
  <c r="P519" i="1"/>
  <c r="O519" i="1"/>
  <c r="A519" i="1"/>
  <c r="P169" i="1"/>
  <c r="O169" i="1"/>
  <c r="E169" i="1"/>
  <c r="A169" i="1" s="1"/>
  <c r="P168" i="1"/>
  <c r="O168" i="1"/>
  <c r="E168" i="1"/>
  <c r="A168" i="1" s="1"/>
  <c r="P167" i="1"/>
  <c r="O167" i="1"/>
  <c r="E167" i="1"/>
  <c r="A167" i="1" s="1"/>
  <c r="P166" i="1"/>
  <c r="O166" i="1"/>
  <c r="E166" i="1"/>
  <c r="A166" i="1" s="1"/>
  <c r="P165" i="1"/>
  <c r="O165" i="1"/>
  <c r="E165" i="1"/>
  <c r="A165" i="1" s="1"/>
  <c r="P164" i="1"/>
  <c r="O164" i="1"/>
  <c r="E164" i="1"/>
  <c r="A164" i="1" s="1"/>
  <c r="P163" i="1"/>
  <c r="O163" i="1"/>
  <c r="E163" i="1"/>
  <c r="A163" i="1" s="1"/>
  <c r="P162" i="1"/>
  <c r="O162" i="1"/>
  <c r="E162" i="1"/>
  <c r="A162" i="1" s="1"/>
  <c r="P161" i="1"/>
  <c r="O161" i="1"/>
  <c r="E161" i="1"/>
  <c r="A161" i="1" s="1"/>
  <c r="P160" i="1"/>
  <c r="O160" i="1"/>
  <c r="E160" i="1"/>
  <c r="A160" i="1" s="1"/>
  <c r="P159" i="1"/>
  <c r="O159" i="1"/>
  <c r="E159" i="1"/>
  <c r="A159" i="1" s="1"/>
  <c r="P158" i="1"/>
  <c r="O158" i="1"/>
  <c r="E158" i="1"/>
  <c r="A158" i="1" s="1"/>
  <c r="P157" i="1"/>
  <c r="O157" i="1"/>
  <c r="E157" i="1"/>
  <c r="A157" i="1" s="1"/>
  <c r="P156" i="1"/>
  <c r="O156" i="1"/>
  <c r="E156" i="1"/>
  <c r="A156" i="1" s="1"/>
  <c r="P155" i="1"/>
  <c r="O155" i="1"/>
  <c r="E155" i="1"/>
  <c r="A155" i="1" s="1"/>
  <c r="P154" i="1"/>
  <c r="O154" i="1"/>
  <c r="E154" i="1"/>
  <c r="A154" i="1" s="1"/>
  <c r="P153" i="1"/>
  <c r="O153" i="1"/>
  <c r="E153" i="1"/>
  <c r="A153" i="1" s="1"/>
  <c r="P152" i="1"/>
  <c r="O152" i="1"/>
  <c r="E152" i="1"/>
  <c r="A152" i="1" s="1"/>
  <c r="P151" i="1"/>
  <c r="O151" i="1"/>
  <c r="E151" i="1"/>
  <c r="A151" i="1" s="1"/>
  <c r="P150" i="1"/>
  <c r="O150" i="1"/>
  <c r="E150" i="1"/>
  <c r="A150" i="1" s="1"/>
  <c r="P149" i="1"/>
  <c r="O149" i="1"/>
  <c r="E149" i="1"/>
  <c r="A149" i="1" s="1"/>
  <c r="P148" i="1"/>
  <c r="O148" i="1"/>
  <c r="E148" i="1"/>
  <c r="A148" i="1" s="1"/>
  <c r="P147" i="1"/>
  <c r="O147" i="1"/>
  <c r="E147" i="1"/>
  <c r="A147" i="1" s="1"/>
  <c r="P146" i="1"/>
  <c r="O146" i="1"/>
  <c r="E146" i="1"/>
  <c r="A146" i="1" s="1"/>
  <c r="P145" i="1"/>
  <c r="O145" i="1"/>
  <c r="E145" i="1"/>
  <c r="A145" i="1" s="1"/>
  <c r="P144" i="1"/>
  <c r="O144" i="1"/>
  <c r="E144" i="1"/>
  <c r="A144" i="1" s="1"/>
  <c r="P143" i="1"/>
  <c r="O143" i="1"/>
  <c r="E143" i="1"/>
  <c r="A143" i="1" s="1"/>
  <c r="P142" i="1"/>
  <c r="O142" i="1"/>
  <c r="E142" i="1"/>
  <c r="A142" i="1" s="1"/>
  <c r="P141" i="1"/>
  <c r="O141" i="1"/>
  <c r="E141" i="1"/>
  <c r="A141" i="1" s="1"/>
  <c r="P140" i="1"/>
  <c r="O140" i="1"/>
  <c r="E140" i="1"/>
  <c r="A140" i="1" s="1"/>
  <c r="P464" i="1"/>
  <c r="O464" i="1"/>
  <c r="A464" i="1"/>
  <c r="P138" i="1"/>
  <c r="O138" i="1"/>
  <c r="E138" i="1"/>
  <c r="A138" i="1" s="1"/>
  <c r="P137" i="1"/>
  <c r="O137" i="1"/>
  <c r="E137" i="1"/>
  <c r="A137" i="1" s="1"/>
  <c r="P136" i="1"/>
  <c r="O136" i="1"/>
  <c r="E136" i="1"/>
  <c r="A136" i="1" s="1"/>
  <c r="P135" i="1"/>
  <c r="O135" i="1"/>
  <c r="E135" i="1"/>
  <c r="A135" i="1" s="1"/>
  <c r="P134" i="1"/>
  <c r="O134" i="1"/>
  <c r="E134" i="1"/>
  <c r="A134" i="1" s="1"/>
  <c r="P133" i="1"/>
  <c r="O133" i="1"/>
  <c r="E133" i="1"/>
  <c r="A133" i="1" s="1"/>
  <c r="P132" i="1"/>
  <c r="O132" i="1"/>
  <c r="E132" i="1"/>
  <c r="A132" i="1" s="1"/>
  <c r="P131" i="1"/>
  <c r="O131" i="1"/>
  <c r="E131" i="1"/>
  <c r="A131" i="1" s="1"/>
  <c r="P130" i="1"/>
  <c r="O130" i="1"/>
  <c r="E130" i="1"/>
  <c r="A130" i="1" s="1"/>
  <c r="P129" i="1"/>
  <c r="O129" i="1"/>
  <c r="E129" i="1"/>
  <c r="A129" i="1" s="1"/>
  <c r="P128" i="1"/>
  <c r="O128" i="1"/>
  <c r="E128" i="1"/>
  <c r="A128" i="1" s="1"/>
  <c r="P127" i="1"/>
  <c r="O127" i="1"/>
  <c r="E127" i="1"/>
  <c r="A127" i="1" s="1"/>
  <c r="P126" i="1"/>
  <c r="O126" i="1"/>
  <c r="E126" i="1"/>
  <c r="A126" i="1" s="1"/>
  <c r="P125" i="1"/>
  <c r="O125" i="1"/>
  <c r="E125" i="1"/>
  <c r="A125" i="1" s="1"/>
  <c r="P124" i="1"/>
  <c r="O124" i="1"/>
  <c r="E124" i="1"/>
  <c r="A124" i="1" s="1"/>
  <c r="P123" i="1"/>
  <c r="O123" i="1"/>
  <c r="E123" i="1"/>
  <c r="A123" i="1" s="1"/>
  <c r="P122" i="1"/>
  <c r="O122" i="1"/>
  <c r="E122" i="1"/>
  <c r="A122" i="1" s="1"/>
  <c r="P121" i="1"/>
  <c r="O121" i="1"/>
  <c r="E121" i="1"/>
  <c r="A121" i="1" s="1"/>
  <c r="P120" i="1"/>
  <c r="O120" i="1"/>
  <c r="E120" i="1"/>
  <c r="A120" i="1" s="1"/>
  <c r="P119" i="1"/>
  <c r="O119" i="1"/>
  <c r="E119" i="1"/>
  <c r="A119" i="1" s="1"/>
  <c r="P118" i="1"/>
  <c r="O118" i="1"/>
  <c r="E118" i="1"/>
  <c r="A118" i="1" s="1"/>
  <c r="P117" i="1"/>
  <c r="O117" i="1"/>
  <c r="E117" i="1"/>
  <c r="A117" i="1" s="1"/>
  <c r="P116" i="1"/>
  <c r="O116" i="1"/>
  <c r="E116" i="1"/>
  <c r="A116" i="1" s="1"/>
  <c r="P115" i="1"/>
  <c r="O115" i="1"/>
  <c r="E115" i="1"/>
  <c r="A115" i="1" s="1"/>
  <c r="P114" i="1"/>
  <c r="O114" i="1"/>
  <c r="E114" i="1"/>
  <c r="A114" i="1" s="1"/>
  <c r="P113" i="1"/>
  <c r="O113" i="1"/>
  <c r="E113" i="1"/>
  <c r="A113" i="1" s="1"/>
  <c r="P112" i="1"/>
  <c r="O112" i="1"/>
  <c r="E112" i="1"/>
  <c r="A112" i="1" s="1"/>
  <c r="P111" i="1"/>
  <c r="O111" i="1"/>
  <c r="E111" i="1"/>
  <c r="A111" i="1" s="1"/>
  <c r="P110" i="1"/>
  <c r="O110" i="1"/>
  <c r="E110" i="1"/>
  <c r="A110" i="1" s="1"/>
  <c r="P109" i="1"/>
  <c r="O109" i="1"/>
  <c r="E109" i="1"/>
  <c r="A109" i="1" s="1"/>
  <c r="P108" i="1"/>
  <c r="O108" i="1"/>
  <c r="E108" i="1"/>
  <c r="A108" i="1" s="1"/>
  <c r="P107" i="1"/>
  <c r="O107" i="1"/>
  <c r="E107" i="1"/>
  <c r="A107" i="1" s="1"/>
  <c r="P106" i="1"/>
  <c r="O106" i="1"/>
  <c r="E106" i="1"/>
  <c r="A106" i="1" s="1"/>
  <c r="P105" i="1"/>
  <c r="O105" i="1"/>
  <c r="E105" i="1"/>
  <c r="A105" i="1" s="1"/>
  <c r="P104" i="1"/>
  <c r="O104" i="1"/>
  <c r="E104" i="1"/>
  <c r="A104" i="1" s="1"/>
  <c r="P103" i="1"/>
  <c r="O103" i="1"/>
  <c r="E103" i="1"/>
  <c r="A103" i="1" s="1"/>
  <c r="P102" i="1"/>
  <c r="O102" i="1"/>
  <c r="E102" i="1"/>
  <c r="A102" i="1" s="1"/>
  <c r="P101" i="1"/>
  <c r="O101" i="1"/>
  <c r="E101" i="1"/>
  <c r="A101" i="1" s="1"/>
  <c r="P100" i="1"/>
  <c r="O100" i="1"/>
  <c r="E100" i="1"/>
  <c r="A100" i="1" s="1"/>
  <c r="P99" i="1"/>
  <c r="O99" i="1"/>
  <c r="E99" i="1"/>
  <c r="A99" i="1" s="1"/>
  <c r="P98" i="1"/>
  <c r="O98" i="1"/>
  <c r="E98" i="1"/>
  <c r="A98" i="1" s="1"/>
  <c r="P97" i="1"/>
  <c r="O97" i="1"/>
  <c r="E97" i="1"/>
  <c r="A97" i="1" s="1"/>
  <c r="P96" i="1"/>
  <c r="O96" i="1"/>
  <c r="E96" i="1"/>
  <c r="A96" i="1" s="1"/>
  <c r="P95" i="1"/>
  <c r="O95" i="1"/>
  <c r="E95" i="1"/>
  <c r="A95" i="1" s="1"/>
  <c r="P94" i="1"/>
  <c r="O94" i="1"/>
  <c r="E94" i="1"/>
  <c r="A94" i="1" s="1"/>
  <c r="P93" i="1"/>
  <c r="O93" i="1"/>
  <c r="E93" i="1"/>
  <c r="A93" i="1" s="1"/>
  <c r="P92" i="1"/>
  <c r="O92" i="1"/>
  <c r="E92" i="1"/>
  <c r="A92" i="1" s="1"/>
  <c r="P91" i="1"/>
  <c r="O91" i="1"/>
  <c r="E91" i="1"/>
  <c r="A91" i="1" s="1"/>
  <c r="P90" i="1"/>
  <c r="O90" i="1"/>
  <c r="E90" i="1"/>
  <c r="A90" i="1" s="1"/>
  <c r="P89" i="1"/>
  <c r="O89" i="1"/>
  <c r="E89" i="1"/>
  <c r="A89" i="1" s="1"/>
  <c r="P88" i="1"/>
  <c r="O88" i="1"/>
  <c r="E88" i="1"/>
  <c r="A88" i="1" s="1"/>
  <c r="P87" i="1"/>
  <c r="O87" i="1"/>
  <c r="E87" i="1"/>
  <c r="A87" i="1" s="1"/>
  <c r="P86" i="1"/>
  <c r="O86" i="1"/>
  <c r="E86" i="1"/>
  <c r="A86" i="1" s="1"/>
  <c r="P85" i="1"/>
  <c r="O85" i="1"/>
  <c r="E85" i="1"/>
  <c r="A85" i="1" s="1"/>
  <c r="P84" i="1"/>
  <c r="O84" i="1"/>
  <c r="E84" i="1"/>
  <c r="A84" i="1" s="1"/>
  <c r="P83" i="1"/>
  <c r="O83" i="1"/>
  <c r="E83" i="1"/>
  <c r="A83" i="1" s="1"/>
  <c r="P82" i="1"/>
  <c r="O82" i="1"/>
  <c r="E82" i="1"/>
  <c r="A82" i="1" s="1"/>
  <c r="P81" i="1"/>
  <c r="O81" i="1"/>
  <c r="E81" i="1"/>
  <c r="A81" i="1" s="1"/>
  <c r="P80" i="1"/>
  <c r="O80" i="1"/>
  <c r="E80" i="1"/>
  <c r="A80" i="1" s="1"/>
  <c r="P79" i="1"/>
  <c r="O79" i="1"/>
  <c r="E79" i="1"/>
  <c r="A79" i="1" s="1"/>
  <c r="P78" i="1"/>
  <c r="O78" i="1"/>
  <c r="E78" i="1"/>
  <c r="A78" i="1" s="1"/>
  <c r="P76" i="1"/>
  <c r="O76" i="1"/>
  <c r="E76" i="1"/>
  <c r="A76" i="1" s="1"/>
  <c r="P75" i="1"/>
  <c r="O75" i="1"/>
  <c r="E75" i="1"/>
  <c r="A75" i="1" s="1"/>
  <c r="P74" i="1"/>
  <c r="O74" i="1"/>
  <c r="E74" i="1"/>
  <c r="A74" i="1" s="1"/>
  <c r="P73" i="1"/>
  <c r="O73" i="1"/>
  <c r="E73" i="1"/>
  <c r="A73" i="1" s="1"/>
  <c r="P72" i="1"/>
  <c r="O72" i="1"/>
  <c r="E72" i="1"/>
  <c r="A72" i="1" s="1"/>
  <c r="P71" i="1"/>
  <c r="O71" i="1"/>
  <c r="E71" i="1"/>
  <c r="A71" i="1" s="1"/>
  <c r="P70" i="1"/>
  <c r="O70" i="1"/>
  <c r="E70" i="1"/>
  <c r="A70" i="1" s="1"/>
  <c r="P69" i="1"/>
  <c r="O69" i="1"/>
  <c r="E69" i="1"/>
  <c r="A69" i="1" s="1"/>
  <c r="P68" i="1"/>
  <c r="O68" i="1"/>
  <c r="E68" i="1"/>
  <c r="A68" i="1" s="1"/>
  <c r="P67" i="1"/>
  <c r="O67" i="1"/>
  <c r="E67" i="1"/>
  <c r="A67" i="1" s="1"/>
  <c r="P65" i="1"/>
  <c r="O65" i="1"/>
  <c r="E65" i="1"/>
  <c r="A65" i="1" s="1"/>
  <c r="P64" i="1"/>
  <c r="O64" i="1"/>
  <c r="E64" i="1"/>
  <c r="A64" i="1" s="1"/>
  <c r="P63" i="1"/>
  <c r="O63" i="1"/>
  <c r="E63" i="1"/>
  <c r="A63" i="1" s="1"/>
  <c r="P62" i="1"/>
  <c r="O62" i="1"/>
  <c r="E62" i="1"/>
  <c r="A62" i="1" s="1"/>
  <c r="P61" i="1"/>
  <c r="O61" i="1"/>
  <c r="E61" i="1"/>
  <c r="A61" i="1" s="1"/>
  <c r="P60" i="1"/>
  <c r="O60" i="1"/>
  <c r="E60" i="1"/>
  <c r="A60" i="1" s="1"/>
  <c r="P59" i="1"/>
  <c r="O59" i="1"/>
  <c r="E59" i="1"/>
  <c r="A59" i="1" s="1"/>
  <c r="P58" i="1"/>
  <c r="O58" i="1"/>
  <c r="E58" i="1"/>
  <c r="A58" i="1" s="1"/>
  <c r="P57" i="1"/>
  <c r="O57" i="1"/>
  <c r="E57" i="1"/>
  <c r="A57" i="1" s="1"/>
  <c r="P56" i="1"/>
  <c r="O56" i="1"/>
  <c r="E56" i="1"/>
  <c r="A56" i="1" s="1"/>
  <c r="P55" i="1"/>
  <c r="O55" i="1"/>
  <c r="E55" i="1"/>
  <c r="A55" i="1" s="1"/>
  <c r="P54" i="1"/>
  <c r="O54" i="1"/>
  <c r="E54" i="1"/>
  <c r="A54" i="1" s="1"/>
  <c r="P53" i="1"/>
  <c r="O53" i="1"/>
  <c r="E53" i="1"/>
  <c r="A53" i="1" s="1"/>
  <c r="P52" i="1"/>
  <c r="O52" i="1"/>
  <c r="E52" i="1"/>
  <c r="A52" i="1" s="1"/>
  <c r="P51" i="1"/>
  <c r="O51" i="1"/>
  <c r="E51" i="1"/>
  <c r="A51" i="1" s="1"/>
  <c r="P50" i="1"/>
  <c r="O50" i="1"/>
  <c r="E50" i="1"/>
  <c r="A50" i="1" s="1"/>
  <c r="P49" i="1"/>
  <c r="O49" i="1"/>
  <c r="E49" i="1"/>
  <c r="A49" i="1" s="1"/>
  <c r="P48" i="1"/>
  <c r="O48" i="1"/>
  <c r="E48" i="1"/>
  <c r="A48" i="1" s="1"/>
  <c r="P47" i="1"/>
  <c r="O47" i="1"/>
  <c r="E47" i="1"/>
  <c r="A47" i="1" s="1"/>
  <c r="P46" i="1"/>
  <c r="O46" i="1"/>
  <c r="E46" i="1"/>
  <c r="A46" i="1" s="1"/>
  <c r="P45" i="1"/>
  <c r="O45" i="1"/>
  <c r="E45" i="1"/>
  <c r="A45" i="1" s="1"/>
  <c r="P44" i="1"/>
  <c r="O44" i="1"/>
  <c r="E44" i="1"/>
  <c r="A44" i="1" s="1"/>
  <c r="P43" i="1"/>
  <c r="O43" i="1"/>
  <c r="E43" i="1"/>
  <c r="A43" i="1" s="1"/>
  <c r="P42" i="1"/>
  <c r="O42" i="1"/>
  <c r="E42" i="1"/>
  <c r="A42" i="1" s="1"/>
  <c r="P41" i="1"/>
  <c r="O41" i="1"/>
  <c r="E41" i="1"/>
  <c r="A41" i="1" s="1"/>
  <c r="P40" i="1"/>
  <c r="O40" i="1"/>
  <c r="E40" i="1"/>
  <c r="A40" i="1" s="1"/>
  <c r="P39" i="1"/>
  <c r="O39" i="1"/>
  <c r="E39" i="1"/>
  <c r="A39" i="1" s="1"/>
  <c r="P38" i="1"/>
  <c r="O38" i="1"/>
  <c r="E38" i="1"/>
  <c r="A38" i="1" s="1"/>
  <c r="P37" i="1"/>
  <c r="O37" i="1"/>
  <c r="E37" i="1"/>
  <c r="A37" i="1" s="1"/>
  <c r="P36" i="1"/>
  <c r="O36" i="1"/>
  <c r="E36" i="1"/>
  <c r="A36" i="1" s="1"/>
  <c r="P35" i="1"/>
  <c r="O35" i="1"/>
  <c r="E35" i="1"/>
  <c r="A35" i="1" s="1"/>
  <c r="P34" i="1"/>
  <c r="O34" i="1"/>
  <c r="E34" i="1"/>
  <c r="A34" i="1" s="1"/>
  <c r="P33" i="1"/>
  <c r="O33" i="1"/>
  <c r="E33" i="1"/>
  <c r="A33" i="1" s="1"/>
  <c r="P32" i="1"/>
  <c r="O32" i="1"/>
  <c r="E32" i="1"/>
  <c r="A32" i="1" s="1"/>
  <c r="P31" i="1"/>
  <c r="O31" i="1"/>
  <c r="E31" i="1"/>
  <c r="A31" i="1" s="1"/>
  <c r="P29" i="1"/>
  <c r="O29" i="1"/>
  <c r="E29" i="1"/>
  <c r="A29" i="1" s="1"/>
  <c r="P28" i="1"/>
  <c r="O28" i="1"/>
  <c r="E28" i="1"/>
  <c r="A28" i="1" s="1"/>
  <c r="P27" i="1"/>
  <c r="O27" i="1"/>
  <c r="E27" i="1"/>
  <c r="A27" i="1" s="1"/>
  <c r="P26" i="1"/>
  <c r="O26" i="1"/>
  <c r="E26" i="1"/>
  <c r="P24" i="1"/>
  <c r="O24" i="1"/>
  <c r="E24" i="1"/>
  <c r="P23" i="1"/>
  <c r="O23" i="1"/>
  <c r="E23" i="1"/>
  <c r="P22" i="1"/>
  <c r="O22" i="1"/>
  <c r="E22" i="1"/>
  <c r="P21" i="1"/>
  <c r="O21" i="1"/>
  <c r="E21" i="1"/>
  <c r="P20" i="1"/>
  <c r="O20" i="1"/>
  <c r="E20" i="1"/>
  <c r="P19" i="1"/>
  <c r="O19" i="1"/>
  <c r="E19" i="1"/>
  <c r="P18" i="1"/>
  <c r="O18" i="1"/>
  <c r="E18" i="1"/>
  <c r="P17" i="1"/>
  <c r="O17" i="1"/>
  <c r="E17" i="1"/>
  <c r="P16" i="1"/>
  <c r="O16" i="1"/>
  <c r="E16" i="1"/>
  <c r="P15" i="1"/>
  <c r="O15" i="1"/>
  <c r="E15" i="1"/>
  <c r="A15" i="1" s="1"/>
  <c r="B15" i="1" s="1"/>
  <c r="P14" i="1"/>
  <c r="O14" i="1"/>
  <c r="E14" i="1"/>
  <c r="A14" i="1" s="1"/>
  <c r="B14" i="1" s="1"/>
  <c r="P13" i="1"/>
  <c r="O13" i="1"/>
  <c r="E13" i="1"/>
  <c r="A13" i="1" s="1"/>
  <c r="B13" i="1" s="1"/>
  <c r="P12" i="1"/>
  <c r="O12" i="1"/>
  <c r="E12" i="1"/>
  <c r="A12" i="1" s="1"/>
  <c r="B12" i="1" s="1"/>
  <c r="P11" i="1"/>
  <c r="O11" i="1"/>
  <c r="E11" i="1"/>
  <c r="A11" i="1" s="1"/>
  <c r="B11" i="1" s="1"/>
  <c r="P10" i="1"/>
  <c r="O10" i="1"/>
  <c r="E10" i="1"/>
  <c r="A10" i="1" s="1"/>
  <c r="B10" i="1" s="1"/>
  <c r="P9" i="1"/>
  <c r="O9" i="1"/>
  <c r="E9" i="1"/>
  <c r="A9" i="1" s="1"/>
  <c r="B9" i="1" s="1"/>
  <c r="P8" i="1"/>
  <c r="O8" i="1"/>
  <c r="E8" i="1"/>
  <c r="A8" i="1" s="1"/>
  <c r="B8" i="1" s="1"/>
  <c r="P7" i="1"/>
  <c r="O7" i="1"/>
  <c r="E7" i="1"/>
  <c r="A7" i="1" s="1"/>
  <c r="B7" i="1" s="1"/>
  <c r="P6" i="1"/>
  <c r="O6" i="1"/>
  <c r="E6" i="1"/>
  <c r="A6" i="1" s="1"/>
  <c r="B6" i="1" s="1"/>
  <c r="P4" i="1"/>
  <c r="O4" i="1"/>
  <c r="E4" i="1"/>
  <c r="A4" i="1" s="1"/>
  <c r="B4" i="1" s="1"/>
  <c r="P3" i="1"/>
  <c r="O3" i="1"/>
  <c r="E3" i="1"/>
  <c r="A3" i="1" s="1"/>
  <c r="B3" i="1" s="1"/>
  <c r="P2" i="1"/>
  <c r="O2" i="1"/>
  <c r="E2" i="1"/>
  <c r="A2" i="1" s="1"/>
  <c r="B2" i="1" s="1"/>
  <c r="A16" i="1" l="1"/>
  <c r="B16" i="1" s="1"/>
  <c r="A20" i="1"/>
  <c r="B20" i="1" s="1"/>
  <c r="A24" i="1"/>
  <c r="B24" i="1" s="1"/>
  <c r="A17" i="1"/>
  <c r="B17" i="1" s="1"/>
  <c r="A21" i="1"/>
  <c r="B21" i="1" s="1"/>
  <c r="A26" i="1"/>
  <c r="B26" i="1" s="1"/>
  <c r="A18" i="1"/>
  <c r="B18" i="1" s="1"/>
  <c r="A22" i="1"/>
  <c r="B22" i="1" s="1"/>
  <c r="A19" i="1"/>
  <c r="B19" i="1" s="1"/>
  <c r="A23" i="1"/>
  <c r="B23" i="1" s="1"/>
  <c r="B383" i="1"/>
  <c r="B161" i="1"/>
  <c r="B737" i="1"/>
  <c r="B330" i="1"/>
  <c r="B51" i="1"/>
  <c r="B350" i="1"/>
  <c r="B545" i="1"/>
  <c r="B723" i="1"/>
  <c r="B507" i="1"/>
  <c r="B140" i="1"/>
  <c r="B47" i="1"/>
  <c r="B76" i="1"/>
  <c r="B105" i="1"/>
  <c r="B133" i="1"/>
  <c r="B160" i="1"/>
  <c r="B188" i="1"/>
  <c r="B220" i="1"/>
  <c r="B400" i="1"/>
  <c r="B280" i="1"/>
  <c r="B276" i="1"/>
  <c r="B347" i="1"/>
  <c r="B542" i="1"/>
  <c r="B564" i="1"/>
  <c r="B412" i="1"/>
  <c r="B292" i="1"/>
  <c r="B452" i="1"/>
  <c r="B499" i="1"/>
  <c r="B530" i="1"/>
  <c r="B558" i="1"/>
  <c r="B586" i="1"/>
  <c r="B615" i="1"/>
  <c r="B699" i="1"/>
  <c r="B638" i="1"/>
  <c r="B713" i="1"/>
  <c r="B720" i="1"/>
  <c r="B152" i="1"/>
  <c r="B519" i="1"/>
  <c r="B106" i="1"/>
  <c r="B404" i="1"/>
  <c r="B715" i="1"/>
  <c r="B272" i="1"/>
  <c r="B578" i="1"/>
  <c r="B358" i="1"/>
  <c r="B632" i="1"/>
  <c r="B49" i="1"/>
  <c r="B551" i="1"/>
  <c r="B320" i="1"/>
  <c r="B449" i="1"/>
  <c r="B331" i="1"/>
  <c r="B359" i="1"/>
  <c r="B690" i="1"/>
  <c r="B436" i="1"/>
  <c r="B339" i="1"/>
  <c r="B372" i="1"/>
  <c r="B511" i="1"/>
  <c r="B622" i="1"/>
  <c r="B570" i="1"/>
  <c r="B480" i="1"/>
  <c r="B633" i="1"/>
  <c r="B672" i="1"/>
  <c r="B561" i="1"/>
  <c r="B677" i="1"/>
  <c r="B648" i="1"/>
  <c r="B124" i="1"/>
  <c r="B475" i="1"/>
  <c r="B492" i="1"/>
  <c r="B267" i="1"/>
  <c r="B646" i="1"/>
  <c r="B57" i="1"/>
  <c r="B115" i="1"/>
  <c r="B143" i="1"/>
  <c r="B230" i="1"/>
  <c r="B262" i="1"/>
  <c r="B314" i="1"/>
  <c r="B357" i="1"/>
  <c r="B540" i="1"/>
  <c r="B568" i="1"/>
  <c r="B78" i="1"/>
  <c r="B591" i="1"/>
  <c r="B704" i="1"/>
  <c r="B415" i="1"/>
  <c r="B301" i="1"/>
  <c r="B170" i="1"/>
  <c r="B384" i="1"/>
  <c r="B607" i="1"/>
  <c r="B635" i="1"/>
  <c r="B663" i="1"/>
  <c r="B647" i="1"/>
  <c r="B88" i="1"/>
  <c r="B203" i="1"/>
  <c r="B425" i="1"/>
  <c r="B435" i="1"/>
  <c r="B497" i="1"/>
  <c r="B621" i="1"/>
  <c r="B569" i="1"/>
  <c r="B598" i="1"/>
  <c r="B654" i="1"/>
  <c r="B689" i="1"/>
  <c r="B79" i="1"/>
  <c r="B194" i="1"/>
  <c r="B319" i="1"/>
  <c r="B483" i="1"/>
  <c r="B573" i="1"/>
  <c r="B386" i="1"/>
  <c r="B417" i="1"/>
  <c r="B512" i="1"/>
  <c r="B739" i="1"/>
  <c r="B617" i="1"/>
  <c r="B701" i="1"/>
  <c r="B630" i="1"/>
  <c r="B69" i="1"/>
  <c r="B98" i="1"/>
  <c r="B126" i="1"/>
  <c r="B213" i="1"/>
  <c r="B242" i="1"/>
  <c r="B624" i="1"/>
  <c r="B336" i="1"/>
  <c r="B501" i="1"/>
  <c r="B522" i="1"/>
  <c r="B579" i="1"/>
  <c r="B664" i="1"/>
  <c r="B692" i="1"/>
  <c r="B31" i="1"/>
  <c r="B89" i="1"/>
  <c r="B145" i="1"/>
  <c r="B172" i="1"/>
  <c r="B204" i="1"/>
  <c r="B50" i="1"/>
  <c r="B80" i="1"/>
  <c r="B136" i="1"/>
  <c r="B163" i="1"/>
  <c r="B223" i="1"/>
  <c r="B254" i="1"/>
  <c r="B430" i="1"/>
  <c r="B315" i="1"/>
  <c r="B485" i="1"/>
  <c r="B588" i="1"/>
  <c r="B418" i="1"/>
  <c r="B427" i="1"/>
  <c r="B455" i="1"/>
  <c r="B411" i="1"/>
  <c r="B616" i="1"/>
  <c r="B738" i="1"/>
  <c r="B321" i="1"/>
  <c r="B589" i="1"/>
  <c r="B618" i="1"/>
  <c r="B725" i="1"/>
  <c r="B652" i="1"/>
  <c r="B735" i="1"/>
  <c r="B41" i="1"/>
  <c r="B99" i="1"/>
  <c r="B127" i="1"/>
  <c r="B154" i="1"/>
  <c r="B182" i="1"/>
  <c r="B214" i="1"/>
  <c r="B243" i="1"/>
  <c r="B313" i="1"/>
  <c r="B341" i="1"/>
  <c r="B493" i="1"/>
  <c r="B523" i="1"/>
  <c r="B580" i="1"/>
  <c r="B697" i="1"/>
  <c r="B651" i="1"/>
  <c r="B724" i="1"/>
  <c r="B729" i="1"/>
  <c r="B559" i="1"/>
  <c r="B48" i="1"/>
  <c r="B340" i="1"/>
  <c r="B595" i="1"/>
  <c r="B521" i="1"/>
  <c r="B231" i="1"/>
  <c r="B691" i="1"/>
  <c r="B419" i="1"/>
  <c r="B428" i="1"/>
  <c r="B682" i="1"/>
  <c r="B107" i="1"/>
  <c r="B135" i="1"/>
  <c r="B162" i="1"/>
  <c r="B222" i="1"/>
  <c r="B253" i="1"/>
  <c r="B467" i="1"/>
  <c r="B426" i="1"/>
  <c r="B458" i="1"/>
  <c r="B740" i="1"/>
  <c r="B560" i="1"/>
  <c r="B296" i="1"/>
  <c r="B709" i="1"/>
  <c r="B716" i="1"/>
  <c r="B40" i="1"/>
  <c r="B153" i="1"/>
  <c r="B273" i="1"/>
  <c r="B626" i="1"/>
  <c r="B368" i="1"/>
  <c r="B171" i="1"/>
  <c r="B406" i="1"/>
  <c r="B608" i="1"/>
  <c r="B528" i="1"/>
  <c r="B727" i="1"/>
  <c r="B59" i="1"/>
  <c r="B117" i="1"/>
  <c r="B233" i="1"/>
  <c r="B108" i="1"/>
  <c r="B195" i="1"/>
  <c r="B703" i="1"/>
  <c r="B447" i="1"/>
  <c r="B70" i="1"/>
  <c r="B274" i="1"/>
  <c r="B293" i="1"/>
  <c r="B174" i="1"/>
  <c r="B446" i="1"/>
  <c r="B552" i="1"/>
  <c r="B609" i="1"/>
  <c r="B640" i="1"/>
  <c r="B32" i="1"/>
  <c r="B60" i="1"/>
  <c r="B90" i="1"/>
  <c r="B118" i="1"/>
  <c r="B146" i="1"/>
  <c r="B173" i="1"/>
  <c r="B205" i="1"/>
  <c r="B234" i="1"/>
  <c r="B265" i="1"/>
  <c r="B376" i="1"/>
  <c r="B389" i="1"/>
  <c r="B360" i="1"/>
  <c r="B706" i="1"/>
  <c r="B437" i="1"/>
  <c r="B465" i="1"/>
  <c r="B484" i="1"/>
  <c r="B543" i="1"/>
  <c r="B571" i="1"/>
  <c r="B490" i="1"/>
  <c r="B634" i="1"/>
  <c r="B671" i="1"/>
  <c r="B566" i="1"/>
  <c r="B678" i="1"/>
  <c r="B38" i="1"/>
  <c r="B310" i="1"/>
  <c r="B712" i="1"/>
  <c r="B554" i="1"/>
  <c r="B373" i="1"/>
  <c r="B673" i="1"/>
  <c r="B500" i="1"/>
  <c r="B125" i="1"/>
  <c r="B311" i="1"/>
  <c r="B396" i="1"/>
  <c r="B29" i="1"/>
  <c r="B196" i="1"/>
  <c r="B224" i="1"/>
  <c r="B625" i="1"/>
  <c r="B351" i="1"/>
  <c r="B388" i="1"/>
  <c r="B402" i="1"/>
  <c r="B291" i="1"/>
  <c r="B456" i="1"/>
  <c r="B473" i="1"/>
  <c r="B505" i="1"/>
  <c r="B366" i="1"/>
  <c r="B562" i="1"/>
  <c r="B590" i="1"/>
  <c r="B619" i="1"/>
  <c r="B683" i="1"/>
  <c r="B323" i="1"/>
  <c r="B655" i="1"/>
  <c r="B717" i="1"/>
  <c r="B42" i="1"/>
  <c r="B71" i="1"/>
  <c r="B100" i="1"/>
  <c r="B128" i="1"/>
  <c r="B155" i="1"/>
  <c r="B30" i="1"/>
  <c r="B215" i="1"/>
  <c r="B244" i="1"/>
  <c r="B275" i="1"/>
  <c r="B338" i="1"/>
  <c r="B390" i="1"/>
  <c r="B284" i="1"/>
  <c r="B176" i="1"/>
  <c r="B407" i="1"/>
  <c r="B494" i="1"/>
  <c r="B524" i="1"/>
  <c r="B553" i="1"/>
  <c r="B581" i="1"/>
  <c r="B610" i="1"/>
  <c r="B364" i="1"/>
  <c r="B641" i="1"/>
  <c r="B657" i="1"/>
  <c r="B722" i="1"/>
  <c r="B33" i="1"/>
  <c r="B61" i="1"/>
  <c r="B91" i="1"/>
  <c r="B119" i="1"/>
  <c r="B147" i="1"/>
  <c r="B391" i="1"/>
  <c r="B206" i="1"/>
  <c r="B235" i="1"/>
  <c r="B266" i="1"/>
  <c r="B377" i="1"/>
  <c r="B305" i="1"/>
  <c r="B250" i="1"/>
  <c r="B361" i="1"/>
  <c r="B707" i="1"/>
  <c r="B714" i="1"/>
  <c r="B466" i="1"/>
  <c r="B429" i="1"/>
  <c r="B395" i="1"/>
  <c r="B544" i="1"/>
  <c r="B572" i="1"/>
  <c r="B601" i="1"/>
  <c r="B637" i="1"/>
  <c r="B670" i="1"/>
  <c r="B636" i="1"/>
  <c r="B679" i="1"/>
  <c r="B87" i="1"/>
  <c r="B602" i="1"/>
  <c r="B534" i="1"/>
  <c r="B495" i="1"/>
  <c r="B81" i="1"/>
  <c r="B165" i="1"/>
  <c r="B34" i="1"/>
  <c r="B62" i="1"/>
  <c r="B92" i="1"/>
  <c r="B120" i="1"/>
  <c r="B148" i="1"/>
  <c r="B175" i="1"/>
  <c r="B207" i="1"/>
  <c r="B236" i="1"/>
  <c r="B343" i="1"/>
  <c r="B510" i="1"/>
  <c r="B334" i="1"/>
  <c r="B496" i="1"/>
  <c r="B708" i="1"/>
  <c r="B439" i="1"/>
  <c r="B409" i="1"/>
  <c r="B486" i="1"/>
  <c r="B179" i="1"/>
  <c r="B379" i="1"/>
  <c r="B290" i="1"/>
  <c r="B491" i="1"/>
  <c r="B650" i="1"/>
  <c r="B440" i="1"/>
  <c r="B686" i="1"/>
  <c r="B680" i="1"/>
  <c r="B387" i="1"/>
  <c r="B216" i="1"/>
  <c r="B471" i="1"/>
  <c r="B263" i="1"/>
  <c r="B349" i="1"/>
  <c r="B448" i="1"/>
  <c r="B258" i="1"/>
  <c r="B532" i="1"/>
  <c r="B295" i="1"/>
  <c r="B660" i="1"/>
  <c r="B44" i="1"/>
  <c r="B73" i="1"/>
  <c r="B102" i="1"/>
  <c r="B130" i="1"/>
  <c r="B157" i="1"/>
  <c r="B185" i="1"/>
  <c r="B217" i="1"/>
  <c r="B399" i="1"/>
  <c r="B277" i="1"/>
  <c r="B316" i="1"/>
  <c r="B344" i="1"/>
  <c r="B264" i="1"/>
  <c r="B567" i="1"/>
  <c r="B181" i="1"/>
  <c r="B408" i="1"/>
  <c r="B546" i="1"/>
  <c r="B526" i="1"/>
  <c r="B555" i="1"/>
  <c r="B583" i="1"/>
  <c r="B612" i="1"/>
  <c r="B696" i="1"/>
  <c r="B726" i="1"/>
  <c r="B731" i="1"/>
  <c r="B649" i="1"/>
  <c r="B28" i="1"/>
  <c r="B68" i="1"/>
  <c r="B58" i="1"/>
  <c r="B110" i="1"/>
  <c r="B403" i="1"/>
  <c r="B563" i="1"/>
  <c r="B695" i="1"/>
  <c r="B335" i="1"/>
  <c r="B416" i="1"/>
  <c r="B245" i="1"/>
  <c r="B380" i="1"/>
  <c r="B574" i="1"/>
  <c r="B603" i="1"/>
  <c r="B667" i="1"/>
  <c r="B178" i="1"/>
  <c r="B642" i="1"/>
  <c r="B653" i="1"/>
  <c r="B164" i="1"/>
  <c r="B52" i="1"/>
  <c r="B225" i="1"/>
  <c r="B535" i="1"/>
  <c r="B550" i="1"/>
  <c r="B525" i="1"/>
  <c r="B393" i="1"/>
  <c r="B166" i="1"/>
  <c r="B329" i="1"/>
  <c r="B35" i="1"/>
  <c r="B533" i="1"/>
  <c r="B287" i="1"/>
  <c r="B312" i="1"/>
  <c r="B424" i="1"/>
  <c r="B137" i="1"/>
  <c r="B476" i="1"/>
  <c r="B620" i="1"/>
  <c r="B423" i="1"/>
  <c r="B268" i="1"/>
  <c r="B227" i="1"/>
  <c r="B326" i="1"/>
  <c r="B431" i="1"/>
  <c r="B271" i="1"/>
  <c r="B218" i="1"/>
  <c r="B382" i="1"/>
  <c r="B556" i="1"/>
  <c r="B584" i="1"/>
  <c r="B694" i="1"/>
  <c r="B702" i="1"/>
  <c r="B453" i="1"/>
  <c r="B658" i="1"/>
  <c r="B129" i="1"/>
  <c r="B582" i="1"/>
  <c r="B596" i="1"/>
  <c r="B121" i="1"/>
  <c r="B441" i="1"/>
  <c r="B270" i="1"/>
  <c r="B508" i="1"/>
  <c r="B463" i="1"/>
  <c r="B681" i="1"/>
  <c r="B300" i="1"/>
  <c r="B518" i="1"/>
  <c r="B67" i="1"/>
  <c r="B434" i="1"/>
  <c r="B252" i="1"/>
  <c r="B109" i="1"/>
  <c r="B362" i="1"/>
  <c r="B352" i="1"/>
  <c r="B83" i="1"/>
  <c r="B464" i="1"/>
  <c r="B198" i="1"/>
  <c r="B269" i="1"/>
  <c r="B1271" i="1"/>
  <c r="B112" i="1"/>
  <c r="B167" i="1"/>
  <c r="B478" i="1"/>
  <c r="B468" i="1"/>
  <c r="B74" i="1"/>
  <c r="B64" i="1"/>
  <c r="B645" i="1"/>
  <c r="B308" i="1"/>
  <c r="B488" i="1"/>
  <c r="B414" i="1"/>
  <c r="B55" i="1"/>
  <c r="B85" i="1"/>
  <c r="B113" i="1"/>
  <c r="B141" i="1"/>
  <c r="B168" i="1"/>
  <c r="B200" i="1"/>
  <c r="B228" i="1"/>
  <c r="B260" i="1"/>
  <c r="B288" i="1"/>
  <c r="B504" i="1"/>
  <c r="B355" i="1"/>
  <c r="B693" i="1"/>
  <c r="B432" i="1"/>
  <c r="B460" i="1"/>
  <c r="B479" i="1"/>
  <c r="B509" i="1"/>
  <c r="B541" i="1"/>
  <c r="B279" i="1"/>
  <c r="B594" i="1"/>
  <c r="B623" i="1"/>
  <c r="B398" i="1"/>
  <c r="B470" i="1"/>
  <c r="B669" i="1"/>
  <c r="B685" i="1"/>
  <c r="B306" i="1"/>
  <c r="B531" i="1"/>
  <c r="B489" i="1"/>
  <c r="B599" i="1"/>
  <c r="B189" i="1"/>
  <c r="B474" i="1"/>
  <c r="B337" i="1"/>
  <c r="B728" i="1"/>
  <c r="B487" i="1"/>
  <c r="B82" i="1"/>
  <c r="B286" i="1"/>
  <c r="B421" i="1"/>
  <c r="B101" i="1"/>
  <c r="B139" i="1"/>
  <c r="B481" i="1"/>
  <c r="B180" i="1"/>
  <c r="B477" i="1"/>
  <c r="B450" i="1"/>
  <c r="B307" i="1"/>
  <c r="B732" i="1"/>
  <c r="B84" i="1"/>
  <c r="B199" i="1"/>
  <c r="B459" i="1"/>
  <c r="B103" i="1"/>
  <c r="B131" i="1"/>
  <c r="B248" i="1"/>
  <c r="B278" i="1"/>
  <c r="B482" i="1"/>
  <c r="B529" i="1"/>
  <c r="B183" i="1"/>
  <c r="B332" i="1"/>
  <c r="B122" i="1"/>
  <c r="B374" i="1"/>
  <c r="B401" i="1"/>
  <c r="B46" i="1"/>
  <c r="B328" i="1"/>
  <c r="B346" i="1"/>
  <c r="B184" i="1"/>
  <c r="B256" i="1"/>
  <c r="B498" i="1"/>
  <c r="B257" i="1"/>
  <c r="B585" i="1"/>
  <c r="B600" i="1"/>
  <c r="B95" i="1"/>
  <c r="B210" i="1"/>
  <c r="B239" i="1"/>
  <c r="B333" i="1"/>
  <c r="B576" i="1"/>
  <c r="B1272" i="1"/>
  <c r="B644" i="1"/>
  <c r="B736" i="1"/>
  <c r="B96" i="1"/>
  <c r="B370" i="1"/>
  <c r="B211" i="1"/>
  <c r="B240" i="1"/>
  <c r="B325" i="1"/>
  <c r="B405" i="1"/>
  <c r="B520" i="1"/>
  <c r="B577" i="1"/>
  <c r="B202" i="1"/>
  <c r="B283" i="1"/>
  <c r="B597" i="1"/>
  <c r="B656" i="1"/>
  <c r="B688" i="1"/>
  <c r="B134" i="1"/>
  <c r="B221" i="1"/>
  <c r="B281" i="1"/>
  <c r="B348" i="1"/>
  <c r="B177" i="1"/>
  <c r="B587" i="1"/>
  <c r="B700" i="1"/>
  <c r="B710" i="1"/>
  <c r="B39" i="1"/>
  <c r="B97" i="1"/>
  <c r="B212" i="1"/>
  <c r="B241" i="1"/>
  <c r="B294" i="1"/>
  <c r="B444" i="1"/>
  <c r="B116" i="1"/>
  <c r="B144" i="1"/>
  <c r="B138" i="1"/>
  <c r="B197" i="1"/>
  <c r="B451" i="1"/>
  <c r="B457" i="1"/>
  <c r="B629" i="1"/>
  <c r="B385" i="1"/>
  <c r="B684" i="1"/>
  <c r="B659" i="1"/>
  <c r="B43" i="1"/>
  <c r="B72" i="1"/>
  <c r="B156" i="1"/>
  <c r="B246" i="1"/>
  <c r="B327" i="1"/>
  <c r="B282" i="1"/>
  <c r="B367" i="1"/>
  <c r="B611" i="1"/>
  <c r="B631" i="1"/>
  <c r="B53" i="1"/>
  <c r="B111" i="1"/>
  <c r="B226" i="1"/>
  <c r="B375" i="1"/>
  <c r="B502" i="1"/>
  <c r="B353" i="1"/>
  <c r="B503" i="1"/>
  <c r="B517" i="1"/>
  <c r="B733" i="1"/>
  <c r="B63" i="1"/>
  <c r="B93" i="1"/>
  <c r="B149" i="1"/>
  <c r="B394" i="1"/>
  <c r="B208" i="1"/>
  <c r="B237" i="1"/>
  <c r="B363" i="1"/>
  <c r="B54" i="1"/>
  <c r="B259" i="1"/>
  <c r="B354" i="1"/>
  <c r="B734" i="1"/>
  <c r="B593" i="1"/>
  <c r="B506" i="1"/>
  <c r="B397" i="1"/>
  <c r="B661" i="1"/>
  <c r="B730" i="1"/>
  <c r="B45" i="1"/>
  <c r="B158" i="1"/>
  <c r="B186" i="1"/>
  <c r="B317" i="1"/>
  <c r="B422" i="1"/>
  <c r="B261" i="1"/>
  <c r="B613" i="1"/>
  <c r="B662" i="1"/>
  <c r="B36" i="1"/>
  <c r="B94" i="1"/>
  <c r="B150" i="1"/>
  <c r="B209" i="1"/>
  <c r="B238" i="1"/>
  <c r="B342" i="1"/>
  <c r="B514" i="1"/>
  <c r="B443" i="1"/>
  <c r="B469" i="1"/>
  <c r="B547" i="1"/>
  <c r="B575" i="1"/>
  <c r="B513" i="1"/>
  <c r="B445" i="1"/>
  <c r="B643" i="1"/>
  <c r="B719" i="1"/>
  <c r="B75" i="1"/>
  <c r="B104" i="1"/>
  <c r="B132" i="1"/>
  <c r="B159" i="1"/>
  <c r="B187" i="1"/>
  <c r="B219" i="1"/>
  <c r="B249" i="1"/>
  <c r="B318" i="1"/>
  <c r="B537" i="1"/>
  <c r="B565" i="1"/>
  <c r="B298" i="1"/>
  <c r="B557" i="1"/>
  <c r="B698" i="1"/>
  <c r="B639" i="1"/>
  <c r="B718" i="1"/>
  <c r="B721" i="1"/>
  <c r="B37" i="1"/>
  <c r="B65" i="1"/>
  <c r="B123" i="1"/>
  <c r="B151" i="1"/>
  <c r="B627" i="1"/>
  <c r="B324" i="1"/>
  <c r="B299" i="1"/>
  <c r="B309" i="1"/>
  <c r="B304" i="1"/>
  <c r="B365" i="1"/>
  <c r="B711" i="1"/>
  <c r="B442" i="1"/>
  <c r="B592" i="1"/>
  <c r="B251" i="1"/>
  <c r="B381" i="1"/>
  <c r="B605" i="1"/>
  <c r="B675" i="1"/>
  <c r="B27" i="1"/>
  <c r="B56" i="1"/>
  <c r="B86" i="1"/>
  <c r="B114" i="1"/>
  <c r="B142" i="1"/>
  <c r="B169" i="1"/>
  <c r="B201" i="1"/>
  <c r="B229" i="1"/>
  <c r="B345" i="1"/>
  <c r="B289" i="1"/>
  <c r="B247" i="1"/>
  <c r="B527" i="1"/>
  <c r="B705" i="1"/>
  <c r="B433" i="1"/>
  <c r="B461" i="1"/>
  <c r="B420" i="1"/>
  <c r="B666" i="1"/>
  <c r="B539" i="1"/>
  <c r="B285" i="1"/>
  <c r="B604" i="1"/>
  <c r="B515" i="1"/>
  <c r="B676" i="1"/>
  <c r="B538" i="1"/>
  <c r="B674" i="1"/>
  <c r="B687" i="1"/>
  <c r="I6" i="2"/>
  <c r="I18" i="2"/>
  <c r="I32" i="2"/>
  <c r="E18" i="2"/>
  <c r="E26" i="2"/>
  <c r="E30" i="2"/>
  <c r="E34" i="2"/>
  <c r="E25" i="2"/>
  <c r="E29" i="2"/>
  <c r="E33" i="2"/>
  <c r="E24" i="2"/>
  <c r="E19" i="2"/>
  <c r="I29" i="2"/>
  <c r="J6" i="2"/>
  <c r="J4" i="2"/>
  <c r="J5" i="2"/>
  <c r="B9" i="2"/>
  <c r="B11" i="2" s="1"/>
  <c r="I31" i="2"/>
  <c r="I28" i="2"/>
  <c r="B8" i="2"/>
  <c r="I33" i="2"/>
  <c r="I16" i="2"/>
  <c r="I25" i="2"/>
  <c r="I26" i="2"/>
  <c r="I27" i="2"/>
  <c r="I24" i="2"/>
  <c r="I22" i="2"/>
  <c r="I30" i="2"/>
  <c r="I20" i="2"/>
  <c r="B7" i="2"/>
  <c r="I4" i="2"/>
  <c r="I34" i="2"/>
  <c r="I21" i="2"/>
  <c r="I19" i="2"/>
  <c r="E20" i="2"/>
  <c r="E21" i="2"/>
  <c r="E27" i="2"/>
  <c r="E31" i="2"/>
  <c r="E17" i="2"/>
  <c r="E16" i="2"/>
  <c r="E23" i="2"/>
  <c r="E28" i="2"/>
  <c r="E32" i="2"/>
  <c r="I5" i="2"/>
  <c r="E22" i="2"/>
</calcChain>
</file>

<file path=xl/sharedStrings.xml><?xml version="1.0" encoding="utf-8"?>
<sst xmlns="http://schemas.openxmlformats.org/spreadsheetml/2006/main" count="9411" uniqueCount="3383">
  <si>
    <t>N°</t>
  </si>
  <si>
    <t>PRECEDENCIA</t>
  </si>
  <si>
    <t>FUENTE</t>
  </si>
  <si>
    <t>TRATAMIENTO</t>
  </si>
  <si>
    <t>TRIBUNA</t>
  </si>
  <si>
    <t>NOMBRE COMPLETO</t>
  </si>
  <si>
    <t>NOMBRE</t>
  </si>
  <si>
    <t>APE. P.</t>
  </si>
  <si>
    <t>APE. M.</t>
  </si>
  <si>
    <t>AST.</t>
  </si>
  <si>
    <t>CARGO</t>
  </si>
  <si>
    <t>OBSERVACIONES</t>
  </si>
  <si>
    <t>TRIBUNA BASE</t>
  </si>
  <si>
    <t>DISTRIBUYE</t>
  </si>
  <si>
    <t>SEMAFORO</t>
  </si>
  <si>
    <t>ASIENTO</t>
  </si>
  <si>
    <t>OPA</t>
  </si>
  <si>
    <t>Su Excelencia</t>
  </si>
  <si>
    <t>Kast Rist, José Antonio</t>
  </si>
  <si>
    <t>José Antonio</t>
  </si>
  <si>
    <t>Kast</t>
  </si>
  <si>
    <t>Rist</t>
  </si>
  <si>
    <t>SI</t>
  </si>
  <si>
    <t>* Presidente de la República</t>
  </si>
  <si>
    <t>VIP</t>
  </si>
  <si>
    <t>A23</t>
  </si>
  <si>
    <t>Primera Dama</t>
  </si>
  <si>
    <t>Adriasola Barroihet, María Pía</t>
  </si>
  <si>
    <t>María Pía</t>
  </si>
  <si>
    <t>Adriasola</t>
  </si>
  <si>
    <t>Barroihet</t>
  </si>
  <si>
    <t>Esposa del Presidente de la República</t>
  </si>
  <si>
    <t>A22</t>
  </si>
  <si>
    <t>Ministro</t>
  </si>
  <si>
    <t>Barros Tocornal, Fernando</t>
  </si>
  <si>
    <t>Fernando</t>
  </si>
  <si>
    <t>Barros</t>
  </si>
  <si>
    <t>Tocornal</t>
  </si>
  <si>
    <t>*Ministro de Defensa Nacional</t>
  </si>
  <si>
    <t>A24</t>
  </si>
  <si>
    <t>Almirante</t>
  </si>
  <si>
    <t>Cabrera Salazar, Fernando</t>
  </si>
  <si>
    <t>Cabrera</t>
  </si>
  <si>
    <t>Salazar</t>
  </si>
  <si>
    <t>*Comandante en Jefe de la Armada</t>
  </si>
  <si>
    <t>A21</t>
  </si>
  <si>
    <t>Señora</t>
  </si>
  <si>
    <t>Mery, Roxana</t>
  </si>
  <si>
    <t>Roxana</t>
  </si>
  <si>
    <t>Mery</t>
  </si>
  <si>
    <t>Casella</t>
  </si>
  <si>
    <t>Esposa del Comandante en Jefe de la Armada</t>
  </si>
  <si>
    <t>A25</t>
  </si>
  <si>
    <t>Morel Montes, María Cecilia</t>
  </si>
  <si>
    <t>María Cecilia</t>
  </si>
  <si>
    <t>Morel</t>
  </si>
  <si>
    <t>Montes</t>
  </si>
  <si>
    <t>PENDIENTE</t>
  </si>
  <si>
    <t>Ex - Primera Dama</t>
  </si>
  <si>
    <t>A20</t>
  </si>
  <si>
    <t>Honorable Senador</t>
  </si>
  <si>
    <t>Núñez Urrutia, Paulina</t>
  </si>
  <si>
    <t xml:space="preserve">Iván </t>
  </si>
  <si>
    <t>Moreira</t>
  </si>
  <si>
    <t>*Presidenta del Senado (Representante).</t>
  </si>
  <si>
    <t>A26</t>
  </si>
  <si>
    <t>Honorable Diputado</t>
  </si>
  <si>
    <t>Alessandri Vergara, Jorge</t>
  </si>
  <si>
    <t>Jorge</t>
  </si>
  <si>
    <t>Alessandri</t>
  </si>
  <si>
    <t>Vergara</t>
  </si>
  <si>
    <t>NO</t>
  </si>
  <si>
    <t>Presidente de la Cámara de Diputados</t>
  </si>
  <si>
    <t>Boric Font, Gabriel</t>
  </si>
  <si>
    <t>Gabriel</t>
  </si>
  <si>
    <t>Boric</t>
  </si>
  <si>
    <t>Font</t>
  </si>
  <si>
    <t>Ex Presidente de la República</t>
  </si>
  <si>
    <t>A19</t>
  </si>
  <si>
    <t>Bachelet Jeria, Michelle</t>
  </si>
  <si>
    <t>Michelle</t>
  </si>
  <si>
    <t>Bachelet</t>
  </si>
  <si>
    <t>Jeria</t>
  </si>
  <si>
    <t>Ex Presidenta de la República</t>
  </si>
  <si>
    <t>A27</t>
  </si>
  <si>
    <t>Lagos Escobar, Ricardo</t>
  </si>
  <si>
    <t>Ricardo</t>
  </si>
  <si>
    <t>Lagos</t>
  </si>
  <si>
    <t>Escobar</t>
  </si>
  <si>
    <t>A18</t>
  </si>
  <si>
    <t>Frei Ruiz-tagle, Eduardo</t>
  </si>
  <si>
    <t>Eduardo</t>
  </si>
  <si>
    <t>Frei</t>
  </si>
  <si>
    <t>Ruiz-tagle</t>
  </si>
  <si>
    <t>A28</t>
  </si>
  <si>
    <t>Presidente</t>
  </si>
  <si>
    <t>Marzi Muñoz, Daniela</t>
  </si>
  <si>
    <t>Daniela</t>
  </si>
  <si>
    <t>Marzi</t>
  </si>
  <si>
    <t>Muñoz</t>
  </si>
  <si>
    <t>Presidente del Tribunal Constitucional</t>
  </si>
  <si>
    <t>Contralora</t>
  </si>
  <si>
    <t>Pérez Gutiérrez, Dorothy</t>
  </si>
  <si>
    <t>Dorothy</t>
  </si>
  <si>
    <t>Pérez</t>
  </si>
  <si>
    <t>Gutiérrez</t>
  </si>
  <si>
    <t>Contralora General de la República</t>
  </si>
  <si>
    <t>Fiscal</t>
  </si>
  <si>
    <t>Valencia Vásquez, Ángel</t>
  </si>
  <si>
    <t>Ángel</t>
  </si>
  <si>
    <t>Valencia</t>
  </si>
  <si>
    <t>Vásquez</t>
  </si>
  <si>
    <t>Fiscal Nacional del Ministerio Público</t>
  </si>
  <si>
    <t>Alvarado Andrade, Claudio</t>
  </si>
  <si>
    <t>Claudio</t>
  </si>
  <si>
    <t>Alvarado</t>
  </si>
  <si>
    <t>Andrade</t>
  </si>
  <si>
    <t>Biministro del Interior y Secretario General de Gobierno</t>
  </si>
  <si>
    <t>A17</t>
  </si>
  <si>
    <t>Pérez Mackenna, Francisco</t>
  </si>
  <si>
    <t>Francisco</t>
  </si>
  <si>
    <t>Mackenna</t>
  </si>
  <si>
    <t>Ministro de Relaciones Exteriores</t>
  </si>
  <si>
    <t>Quiroz Castro, Jorge</t>
  </si>
  <si>
    <t>Quiroz</t>
  </si>
  <si>
    <t>Castro</t>
  </si>
  <si>
    <t>Ministro de Hacienda</t>
  </si>
  <si>
    <t>Mas Valdés, Daniel</t>
  </si>
  <si>
    <t>Daniel</t>
  </si>
  <si>
    <t>Mas</t>
  </si>
  <si>
    <t>Valdés</t>
  </si>
  <si>
    <t>Biministro de Minería, Economía y Turismo</t>
  </si>
  <si>
    <t>Arzola González, María Paz</t>
  </si>
  <si>
    <t>María Paz</t>
  </si>
  <si>
    <t>Arzola</t>
  </si>
  <si>
    <t>González</t>
  </si>
  <si>
    <t>Ministra de Educación</t>
  </si>
  <si>
    <t>De Grange Concha, Louis</t>
  </si>
  <si>
    <t>Louis</t>
  </si>
  <si>
    <t>De Grange</t>
  </si>
  <si>
    <t>Concha</t>
  </si>
  <si>
    <t>Biministro de Obras Publicas, Transporte y Telecomunicaciones</t>
  </si>
  <si>
    <t>Parot Donoso, Catalina</t>
  </si>
  <si>
    <t>Catalina</t>
  </si>
  <si>
    <t>Parot</t>
  </si>
  <si>
    <t>Donoso</t>
  </si>
  <si>
    <t>Ministra de Bienes Nacionales</t>
  </si>
  <si>
    <t>A29</t>
  </si>
  <si>
    <t>Rincón González, Ximena</t>
  </si>
  <si>
    <t>Ximena</t>
  </si>
  <si>
    <t>Rincón</t>
  </si>
  <si>
    <t>Ministra de Energía</t>
  </si>
  <si>
    <t>Toledo Echegaray, Francisca</t>
  </si>
  <si>
    <t>Francisca</t>
  </si>
  <si>
    <t>Toledo</t>
  </si>
  <si>
    <t>Echegaray</t>
  </si>
  <si>
    <t>Ministra del Medio Ambiente</t>
  </si>
  <si>
    <t>Undurruga Gazitúa, Francisco</t>
  </si>
  <si>
    <t>Undurruga</t>
  </si>
  <si>
    <t>Gazitúa</t>
  </si>
  <si>
    <t>Ministro de las Culturas, las Artes y el Patrimonio</t>
  </si>
  <si>
    <t>A16</t>
  </si>
  <si>
    <t>Lincolao Gates, Ximena</t>
  </si>
  <si>
    <t>Lincolao</t>
  </si>
  <si>
    <t>Gates</t>
  </si>
  <si>
    <t>Ministra de Ciencia, Tecnología, Conocimiento e Innovación</t>
  </si>
  <si>
    <t>Burgos Varela, Jorge</t>
  </si>
  <si>
    <t>Burgos</t>
  </si>
  <si>
    <t>Varela</t>
  </si>
  <si>
    <t>Ex Ministro de Defensa Nacional</t>
  </si>
  <si>
    <t>Fernández Allende, Maya</t>
  </si>
  <si>
    <t>Maya</t>
  </si>
  <si>
    <t>Fernández</t>
  </si>
  <si>
    <t>Allende</t>
  </si>
  <si>
    <t>Ex Ministra de Defensa Nacional</t>
  </si>
  <si>
    <t>A30</t>
  </si>
  <si>
    <t>Delpiano Puelma, Adriana</t>
  </si>
  <si>
    <t>Adriana</t>
  </si>
  <si>
    <t>Delpiano</t>
  </si>
  <si>
    <t>Puelma</t>
  </si>
  <si>
    <t>A15</t>
  </si>
  <si>
    <t>Excelentísima</t>
  </si>
  <si>
    <t>El Ghali, Kenza</t>
  </si>
  <si>
    <t>Kenza</t>
  </si>
  <si>
    <t>El Ghali</t>
  </si>
  <si>
    <t>Embajador de Marruecos</t>
  </si>
  <si>
    <t>Soares Pacheco, Paulo</t>
  </si>
  <si>
    <t>Paulo</t>
  </si>
  <si>
    <t>Soares</t>
  </si>
  <si>
    <t>Pacheco</t>
  </si>
  <si>
    <t>Embajador de Brasil en Chile</t>
  </si>
  <si>
    <t>Qingbao, Niu</t>
  </si>
  <si>
    <t>Niu</t>
  </si>
  <si>
    <t>Qingbao</t>
  </si>
  <si>
    <t>Embajador de la República Popular China en Chile</t>
  </si>
  <si>
    <t>A31</t>
  </si>
  <si>
    <t>Kotkajarvi, Johanna</t>
  </si>
  <si>
    <t>Johanna</t>
  </si>
  <si>
    <t>Kotkajarvi</t>
  </si>
  <si>
    <t>Embajadora de Finlandia en Chile</t>
  </si>
  <si>
    <t>A14</t>
  </si>
  <si>
    <t>Biagiotti, Valeria</t>
  </si>
  <si>
    <t>Valeria</t>
  </si>
  <si>
    <t>Biagiotti</t>
  </si>
  <si>
    <t>Embajadora de Italia en Chile</t>
  </si>
  <si>
    <t>A32</t>
  </si>
  <si>
    <t>Jae Kim, Hak</t>
  </si>
  <si>
    <t>Hak</t>
  </si>
  <si>
    <t>Jae Kim</t>
  </si>
  <si>
    <t>Embajadora de Corea en Chile</t>
  </si>
  <si>
    <t>Moreno Rodriguez, Laura</t>
  </si>
  <si>
    <t>Laura</t>
  </si>
  <si>
    <t>Moreno</t>
  </si>
  <si>
    <t>Rodriguez</t>
  </si>
  <si>
    <t>Embajadora de Mexico en Chile</t>
  </si>
  <si>
    <t>Faurie, Jorge</t>
  </si>
  <si>
    <t>Faurie</t>
  </si>
  <si>
    <t>Embajador de Argentina en Chile</t>
  </si>
  <si>
    <t>Barrit Martin, Andrew James</t>
  </si>
  <si>
    <t>Andrew James</t>
  </si>
  <si>
    <t>Barrit</t>
  </si>
  <si>
    <t>Martin</t>
  </si>
  <si>
    <t>Embajador de Australia en Chile</t>
  </si>
  <si>
    <t>A13</t>
  </si>
  <si>
    <t>Rogeau, Cyrille</t>
  </si>
  <si>
    <t>Cyrille</t>
  </si>
  <si>
    <t>Rogeau</t>
  </si>
  <si>
    <t>Embajador de Francia en Chile</t>
  </si>
  <si>
    <t>Courtny, Daniela</t>
  </si>
  <si>
    <t>Rigoli</t>
  </si>
  <si>
    <t>Embajador de Nueva Zelandia en Chile</t>
  </si>
  <si>
    <t>Ihsan Kiziltan, Ahmet</t>
  </si>
  <si>
    <t>Ahmet</t>
  </si>
  <si>
    <t>Ihsan</t>
  </si>
  <si>
    <t>Kiziltan</t>
  </si>
  <si>
    <t>Embajadora de Turquia en Chile</t>
  </si>
  <si>
    <t>A33</t>
  </si>
  <si>
    <t>Fries-gaier, Susanne</t>
  </si>
  <si>
    <t>Susanne</t>
  </si>
  <si>
    <t>Fries-gaier</t>
  </si>
  <si>
    <t>Embajadora de Alemania en Chile</t>
  </si>
  <si>
    <t>Guanumen Parra, Sebastián</t>
  </si>
  <si>
    <t>Sebastián</t>
  </si>
  <si>
    <t>Guanumen</t>
  </si>
  <si>
    <t>Parra</t>
  </si>
  <si>
    <t>Embajador de Colombia en Chile</t>
  </si>
  <si>
    <t>A12</t>
  </si>
  <si>
    <t>Guay Guay, Karolina Linda</t>
  </si>
  <si>
    <t>Karolina Linda</t>
  </si>
  <si>
    <t>Guay</t>
  </si>
  <si>
    <t>Embajadora de Canadá en Chile</t>
  </si>
  <si>
    <t>A34</t>
  </si>
  <si>
    <t>Pollen Nilsen, Per</t>
  </si>
  <si>
    <t>Per</t>
  </si>
  <si>
    <t>Pollen</t>
  </si>
  <si>
    <t>Nilsen</t>
  </si>
  <si>
    <t>Embajador de Noruega en Chile</t>
  </si>
  <si>
    <t>A11</t>
  </si>
  <si>
    <t>Rocanova Rodríguez, Ana Inés</t>
  </si>
  <si>
    <t>Ana Inés</t>
  </si>
  <si>
    <t>Rocanova</t>
  </si>
  <si>
    <t>Rodríguez</t>
  </si>
  <si>
    <t>Embajadora de la República Oriental del Uruguay en Chile</t>
  </si>
  <si>
    <t>Schaapveld E/v Merks, Elke</t>
  </si>
  <si>
    <t>Elke</t>
  </si>
  <si>
    <t>Schaapveld</t>
  </si>
  <si>
    <t>E/v Merks</t>
  </si>
  <si>
    <t>Embajadora de los Países Bajos en Chile</t>
  </si>
  <si>
    <t>A35</t>
  </si>
  <si>
    <t>Andrade Abdo, Lotty Farah</t>
  </si>
  <si>
    <t>Lotty Farah</t>
  </si>
  <si>
    <t>Abdo</t>
  </si>
  <si>
    <t>Embajadora de Ecuador en Chile</t>
  </si>
  <si>
    <t>A10</t>
  </si>
  <si>
    <t>Camino Cannock, Peter</t>
  </si>
  <si>
    <t>Peter</t>
  </si>
  <si>
    <t>Camino</t>
  </si>
  <si>
    <t>Cannock</t>
  </si>
  <si>
    <t>Embajador de Perú en Chile</t>
  </si>
  <si>
    <t>Oroz Ulibarri, Laura</t>
  </si>
  <si>
    <t>Oroz</t>
  </si>
  <si>
    <t>Ulibarri</t>
  </si>
  <si>
    <t>Embajadora de España en Chile</t>
  </si>
  <si>
    <t>A36</t>
  </si>
  <si>
    <t>Sone, Kenko</t>
  </si>
  <si>
    <t>Sone</t>
  </si>
  <si>
    <t>Kenko</t>
  </si>
  <si>
    <t>Embajadora de Japón en Chile</t>
  </si>
  <si>
    <t>A9</t>
  </si>
  <si>
    <t>Wiklund, Tomás</t>
  </si>
  <si>
    <t>Eva Sofia</t>
  </si>
  <si>
    <t>Karlberg</t>
  </si>
  <si>
    <t>Embajador del Reino de Suecia en Chile</t>
  </si>
  <si>
    <t>Judd, Brandon</t>
  </si>
  <si>
    <t>Brandon</t>
  </si>
  <si>
    <t>Judd</t>
  </si>
  <si>
    <t>Embajador de Estados Unidos de América en Chile</t>
  </si>
  <si>
    <t>Lewi, Peleg</t>
  </si>
  <si>
    <t>Peleg</t>
  </si>
  <si>
    <t>Lewi</t>
  </si>
  <si>
    <t>Embajadora de Israel en Chile</t>
  </si>
  <si>
    <t>A37</t>
  </si>
  <si>
    <t>Concar, David</t>
  </si>
  <si>
    <t>David</t>
  </si>
  <si>
    <t>Concar</t>
  </si>
  <si>
    <t>Embajador del Reino Unido de Gran Bretaña e Irlanda del Norte en Chile</t>
  </si>
  <si>
    <t>Larrañaga Martin, Enrique</t>
  </si>
  <si>
    <t>Enrique</t>
  </si>
  <si>
    <t>Larrañaga</t>
  </si>
  <si>
    <t>Ex - Comandante en Jefe de la Armada</t>
  </si>
  <si>
    <t>Leiva Molina, Julio</t>
  </si>
  <si>
    <t>Julio</t>
  </si>
  <si>
    <t>Leiva</t>
  </si>
  <si>
    <t>Molina</t>
  </si>
  <si>
    <t>A8</t>
  </si>
  <si>
    <t>General</t>
  </si>
  <si>
    <t>Varela Sabando, Pedro</t>
  </si>
  <si>
    <t>Pedro</t>
  </si>
  <si>
    <t>Sabando</t>
  </si>
  <si>
    <t>*Comandante en Jefe del Ejército</t>
  </si>
  <si>
    <t>A38</t>
  </si>
  <si>
    <t>Rodríguez González, Hugo</t>
  </si>
  <si>
    <t>Miguel</t>
  </si>
  <si>
    <t>Stange</t>
  </si>
  <si>
    <t>*Comandante en Jefe de la Fuerza Aérea de Chile (S)</t>
  </si>
  <si>
    <t>A7</t>
  </si>
  <si>
    <t>General Director</t>
  </si>
  <si>
    <t>Araya Zapata, Marcelo</t>
  </si>
  <si>
    <t>Marcelo</t>
  </si>
  <si>
    <t>Araya</t>
  </si>
  <si>
    <t>Zapata</t>
  </si>
  <si>
    <t>*General Director de Carabineros de Chile</t>
  </si>
  <si>
    <t>A39</t>
  </si>
  <si>
    <t>Director General</t>
  </si>
  <si>
    <t>Cerna Lozano, Eduardo</t>
  </si>
  <si>
    <t>Cerna</t>
  </si>
  <si>
    <t>Lozano</t>
  </si>
  <si>
    <t>*Director General de la Policía de Investigaciones de Chile</t>
  </si>
  <si>
    <t>A6</t>
  </si>
  <si>
    <t>Arancibia Reyes, Jorge Patricio</t>
  </si>
  <si>
    <t>Jorge Patricio</t>
  </si>
  <si>
    <t>Arancibia</t>
  </si>
  <si>
    <t>Reyes</t>
  </si>
  <si>
    <t>Vergara Villalobos, Miguel Ángel</t>
  </si>
  <si>
    <t>Miguel Ángel</t>
  </si>
  <si>
    <t>Villalobos</t>
  </si>
  <si>
    <t>Codina Díaz, Rodolfo</t>
  </si>
  <si>
    <t>Rodolfo</t>
  </si>
  <si>
    <t>Codina</t>
  </si>
  <si>
    <t>Díaz</t>
  </si>
  <si>
    <t>A40</t>
  </si>
  <si>
    <t>González Robles, Edmundo</t>
  </si>
  <si>
    <t>Edmundo</t>
  </si>
  <si>
    <t>Robles</t>
  </si>
  <si>
    <t>Larrañaga Martin, Marcela</t>
  </si>
  <si>
    <t>Marcela</t>
  </si>
  <si>
    <t>Madrina</t>
  </si>
  <si>
    <t>A5</t>
  </si>
  <si>
    <t>De la Maza Larraín, Juan Andrés</t>
  </si>
  <si>
    <t>Juan Andrés</t>
  </si>
  <si>
    <t>De la Maza</t>
  </si>
  <si>
    <t>Larraín</t>
  </si>
  <si>
    <t>Romanini Gutiérrez, Leonardo</t>
  </si>
  <si>
    <t>Leonardo</t>
  </si>
  <si>
    <t>Romanini</t>
  </si>
  <si>
    <t>Jefe del Estado Mayor Conjunto de las Fuerzas Armadas</t>
  </si>
  <si>
    <t>A41</t>
  </si>
  <si>
    <t>Gobernador</t>
  </si>
  <si>
    <t>Giacaman García, Sergio</t>
  </si>
  <si>
    <t>Sergio</t>
  </si>
  <si>
    <t>Giacaman</t>
  </si>
  <si>
    <t>García</t>
  </si>
  <si>
    <t>Gobernador Región Bio Bio</t>
  </si>
  <si>
    <t>A4</t>
  </si>
  <si>
    <t>Flies Añon, Jorge</t>
  </si>
  <si>
    <t>Flies</t>
  </si>
  <si>
    <t>Añon</t>
  </si>
  <si>
    <t>Gobernador Región de Magallanes</t>
  </si>
  <si>
    <t>A42</t>
  </si>
  <si>
    <t>Delegado Presidencial</t>
  </si>
  <si>
    <t>Anativia Zamora, Julio</t>
  </si>
  <si>
    <t>Anativia</t>
  </si>
  <si>
    <t>Zamora</t>
  </si>
  <si>
    <t>Delegado Presidencial Región de Bio Bio</t>
  </si>
  <si>
    <t>A3</t>
  </si>
  <si>
    <t>Huenchumilla Jaramillo, Francisco</t>
  </si>
  <si>
    <t>Huenchumilla</t>
  </si>
  <si>
    <t>Jaramillo</t>
  </si>
  <si>
    <t>Presidente Comisión de Defensa Nacional Cir. 11</t>
  </si>
  <si>
    <t>Araya Guerrero, Pedro</t>
  </si>
  <si>
    <t>Guerrero</t>
  </si>
  <si>
    <t>Comisión de Defensa Nacional</t>
  </si>
  <si>
    <t>A43</t>
  </si>
  <si>
    <t>Flores Oporto, Camila</t>
  </si>
  <si>
    <t>Camila</t>
  </si>
  <si>
    <t>Flores</t>
  </si>
  <si>
    <t>Oporto</t>
  </si>
  <si>
    <t>A2</t>
  </si>
  <si>
    <t>Saavedra Chandía, Gastón</t>
  </si>
  <si>
    <t>Gastón</t>
  </si>
  <si>
    <t>Saavedra</t>
  </si>
  <si>
    <t>Chandía</t>
  </si>
  <si>
    <t>A44</t>
  </si>
  <si>
    <t>Vial Maceratta, Cristián</t>
  </si>
  <si>
    <t>Cristián</t>
  </si>
  <si>
    <t>Vial</t>
  </si>
  <si>
    <t>Maceratta</t>
  </si>
  <si>
    <t>Edwards Silva, Rojo</t>
  </si>
  <si>
    <t>Rojo</t>
  </si>
  <si>
    <t>Edwards</t>
  </si>
  <si>
    <t>Silva</t>
  </si>
  <si>
    <t>Presidente de la Comisión de Desafíos del Futuro, Ciencia, Tecnología e Innovación</t>
  </si>
  <si>
    <t>Celis Araya, Ricardo</t>
  </si>
  <si>
    <t>Celis</t>
  </si>
  <si>
    <t>Comisión de Desafíos del Futuro, Ciencia, Tecnología e Innovación</t>
  </si>
  <si>
    <t>Cicardini Milla, Daniella</t>
  </si>
  <si>
    <t>Daniella</t>
  </si>
  <si>
    <t>Cicardini</t>
  </si>
  <si>
    <t>Milla</t>
  </si>
  <si>
    <t>Cruz-coke Carvallo, Luciano</t>
  </si>
  <si>
    <t>Luciano</t>
  </si>
  <si>
    <t>Cruz-coke</t>
  </si>
  <si>
    <t>Carvallo</t>
  </si>
  <si>
    <t>Ossandón Irarrázabal, Manuel José</t>
  </si>
  <si>
    <t>Manuel José</t>
  </si>
  <si>
    <t>Ossandón</t>
  </si>
  <si>
    <t>Irarrázabal</t>
  </si>
  <si>
    <t>Keitel Bianchi, Sebastián</t>
  </si>
  <si>
    <t>Keitel</t>
  </si>
  <si>
    <t>Bianchi</t>
  </si>
  <si>
    <t>Circunscripción 10 Región Biobío</t>
  </si>
  <si>
    <t>A1</t>
  </si>
  <si>
    <t>Van Rysselberghe Herrera, Enrique</t>
  </si>
  <si>
    <t>Van Rysselberghe</t>
  </si>
  <si>
    <t>Herrera</t>
  </si>
  <si>
    <t>A45</t>
  </si>
  <si>
    <t>De Urresti Longton, Alfonso</t>
  </si>
  <si>
    <t>Alfonso</t>
  </si>
  <si>
    <t>De Urresti</t>
  </si>
  <si>
    <t>Longton</t>
  </si>
  <si>
    <t>Senador de la República</t>
  </si>
  <si>
    <t>B23</t>
  </si>
  <si>
    <t>Sanhueza Dueñas, Gustavo</t>
  </si>
  <si>
    <t>Gustavo</t>
  </si>
  <si>
    <t>Sanhueza</t>
  </si>
  <si>
    <t>Dueñas</t>
  </si>
  <si>
    <t>Circunsripción Zona Ñuble</t>
  </si>
  <si>
    <t>B22</t>
  </si>
  <si>
    <t>Carvajal Ambiado, Loreto</t>
  </si>
  <si>
    <t>Loreto</t>
  </si>
  <si>
    <t>Carvajal</t>
  </si>
  <si>
    <t>Ambiado</t>
  </si>
  <si>
    <t>B24</t>
  </si>
  <si>
    <t>Carter Fernández, Álvaro</t>
  </si>
  <si>
    <t>Álvaro</t>
  </si>
  <si>
    <t>Carter</t>
  </si>
  <si>
    <t>Presidente de la Comisión de Defensa Nacional</t>
  </si>
  <si>
    <t>B21</t>
  </si>
  <si>
    <t>Barraza Gómez, Marcos</t>
  </si>
  <si>
    <t>Marcos</t>
  </si>
  <si>
    <t>Barraza</t>
  </si>
  <si>
    <t>Gómez</t>
  </si>
  <si>
    <t>Integrante de la Comisión de Defensa Nacional</t>
  </si>
  <si>
    <t>B25</t>
  </si>
  <si>
    <t>Bassa Mercado, Jaime</t>
  </si>
  <si>
    <t>Jaime</t>
  </si>
  <si>
    <t>Bassa</t>
  </si>
  <si>
    <t>Mercado</t>
  </si>
  <si>
    <t>Brito Hasbún, Jorge</t>
  </si>
  <si>
    <t>Brito</t>
  </si>
  <si>
    <t>Hasbún</t>
  </si>
  <si>
    <t>B20</t>
  </si>
  <si>
    <t>Cuadrado Prats, Carlos</t>
  </si>
  <si>
    <t>Carlos</t>
  </si>
  <si>
    <t>Cuadrado</t>
  </si>
  <si>
    <t>Prats</t>
  </si>
  <si>
    <t>B26</t>
  </si>
  <si>
    <t>Kast Sommerhoff, Tomás</t>
  </si>
  <si>
    <t>Tomás</t>
  </si>
  <si>
    <t>Sommerhoff</t>
  </si>
  <si>
    <t>Leiva Carvajal, Raúl</t>
  </si>
  <si>
    <t>Raúl</t>
  </si>
  <si>
    <t>Marowski Cuevas, Hans</t>
  </si>
  <si>
    <t>Hans</t>
  </si>
  <si>
    <t>Marowski</t>
  </si>
  <si>
    <t>Cuevas</t>
  </si>
  <si>
    <t>B19</t>
  </si>
  <si>
    <t>Olivares Avendaño, Javier</t>
  </si>
  <si>
    <t>Javier</t>
  </si>
  <si>
    <t>Olivares</t>
  </si>
  <si>
    <t>Avendaño</t>
  </si>
  <si>
    <t>B27</t>
  </si>
  <si>
    <t>Sabat Guzmán, Omar</t>
  </si>
  <si>
    <t>Omar</t>
  </si>
  <si>
    <t>Sabat</t>
  </si>
  <si>
    <t>Guzmán</t>
  </si>
  <si>
    <t>B18</t>
  </si>
  <si>
    <t>Sánchez Ossa, Luis</t>
  </si>
  <si>
    <t>Luis</t>
  </si>
  <si>
    <t>Sánchez</t>
  </si>
  <si>
    <t>Ossa</t>
  </si>
  <si>
    <t>B28</t>
  </si>
  <si>
    <t>Valenzuela Salazar, Daniel</t>
  </si>
  <si>
    <t>Valenzuela</t>
  </si>
  <si>
    <t>B17</t>
  </si>
  <si>
    <t>Zamora Soto, Sebastián</t>
  </si>
  <si>
    <t>Soto</t>
  </si>
  <si>
    <t>Manouchehri Lobos, Daniel</t>
  </si>
  <si>
    <t>Manouchehri</t>
  </si>
  <si>
    <t>Lobos</t>
  </si>
  <si>
    <t>Presidente Comisión de Futuro, Ciencia, Tecnología, Conocimiento e Innovación</t>
  </si>
  <si>
    <t>B29</t>
  </si>
  <si>
    <t>Briones Moller, Patricio</t>
  </si>
  <si>
    <t>Patricio</t>
  </si>
  <si>
    <t>Briones</t>
  </si>
  <si>
    <t>Moller</t>
  </si>
  <si>
    <t>Diputado Distrito 20</t>
  </si>
  <si>
    <t>B16</t>
  </si>
  <si>
    <t>Celis Montt, Andrés</t>
  </si>
  <si>
    <t>Andrés</t>
  </si>
  <si>
    <t>Montt</t>
  </si>
  <si>
    <t>Comisión de Futuro, Ciencia, Tecnología, Conocimiento e Innovación</t>
  </si>
  <si>
    <t>Martínez Ramírez, Cristóbal</t>
  </si>
  <si>
    <t>Cristóbal</t>
  </si>
  <si>
    <t>Martínez</t>
  </si>
  <si>
    <t>Ramírez</t>
  </si>
  <si>
    <t>B30</t>
  </si>
  <si>
    <t>Montalva Feuerhake, José</t>
  </si>
  <si>
    <t>José</t>
  </si>
  <si>
    <t>Montalva</t>
  </si>
  <si>
    <t>Feuerhake</t>
  </si>
  <si>
    <t>B15</t>
  </si>
  <si>
    <t>Neira Martínez, Cristian</t>
  </si>
  <si>
    <t>Cristian</t>
  </si>
  <si>
    <t>Neira</t>
  </si>
  <si>
    <t>B31</t>
  </si>
  <si>
    <t>Ross Correa, Felipe</t>
  </si>
  <si>
    <t>Felipe</t>
  </si>
  <si>
    <t>Ross</t>
  </si>
  <si>
    <t>Correa</t>
  </si>
  <si>
    <t>Schalper Sepúlveda, Diego</t>
  </si>
  <si>
    <t>Diego</t>
  </si>
  <si>
    <t>Schalper</t>
  </si>
  <si>
    <t>Sepúlveda</t>
  </si>
  <si>
    <t>B14</t>
  </si>
  <si>
    <t>Serrano Salazar, Daniela</t>
  </si>
  <si>
    <t>Serrano</t>
  </si>
  <si>
    <t>B32</t>
  </si>
  <si>
    <t>Veloso Ávila, Consuelo</t>
  </si>
  <si>
    <t>Consuelo</t>
  </si>
  <si>
    <t>Veloso</t>
  </si>
  <si>
    <t>Ávila</t>
  </si>
  <si>
    <t>B13</t>
  </si>
  <si>
    <t>Winter Etcheberry, Gonzalo</t>
  </si>
  <si>
    <t>Gonzalo</t>
  </si>
  <si>
    <t>Winter</t>
  </si>
  <si>
    <t>Etcheberry</t>
  </si>
  <si>
    <t>Yeomans Araya, Gael</t>
  </si>
  <si>
    <t>Gael</t>
  </si>
  <si>
    <t>Yeomans</t>
  </si>
  <si>
    <t>B33</t>
  </si>
  <si>
    <t>Arroyo Muñoz, Roberto</t>
  </si>
  <si>
    <t>Roberto</t>
  </si>
  <si>
    <t>Arroyo</t>
  </si>
  <si>
    <t>B12</t>
  </si>
  <si>
    <t>Bobadilla Muñoz, Sergio</t>
  </si>
  <si>
    <t>Bobadilla</t>
  </si>
  <si>
    <t>B34</t>
  </si>
  <si>
    <t>Charpentier Rajcevich, Paz</t>
  </si>
  <si>
    <t>Paz</t>
  </si>
  <si>
    <t>Charpentier</t>
  </si>
  <si>
    <t>Rajcevich</t>
  </si>
  <si>
    <t>B11</t>
  </si>
  <si>
    <t>Muñoz González, Francesca</t>
  </si>
  <si>
    <t>Francesca</t>
  </si>
  <si>
    <t>B35</t>
  </si>
  <si>
    <t>Ortíz Vera, Álvaro</t>
  </si>
  <si>
    <t>Ortíz</t>
  </si>
  <si>
    <t>Vera</t>
  </si>
  <si>
    <t>B10</t>
  </si>
  <si>
    <t>Pérez Cartes, Marlene</t>
  </si>
  <si>
    <t>Marlene</t>
  </si>
  <si>
    <t>Cartes</t>
  </si>
  <si>
    <t>B36</t>
  </si>
  <si>
    <t>Rivas Villalobos, José</t>
  </si>
  <si>
    <t>Rivas</t>
  </si>
  <si>
    <t>B9</t>
  </si>
  <si>
    <t>Betancurt Delgado, Lilian</t>
  </si>
  <si>
    <t>Lilian</t>
  </si>
  <si>
    <t>Betancurt</t>
  </si>
  <si>
    <t>Delgado</t>
  </si>
  <si>
    <t>Diputado Distrito 21</t>
  </si>
  <si>
    <t>B37</t>
  </si>
  <si>
    <t>Pérez Olea, Joanna</t>
  </si>
  <si>
    <t>Joanna</t>
  </si>
  <si>
    <t>Olea</t>
  </si>
  <si>
    <t>B8</t>
  </si>
  <si>
    <t>Pinilla Valencia, Patricio</t>
  </si>
  <si>
    <t>Pinilla</t>
  </si>
  <si>
    <t>B38</t>
  </si>
  <si>
    <t>Urruticoechea Ríos, Cristóbal</t>
  </si>
  <si>
    <t>Urruticoechea</t>
  </si>
  <si>
    <t>Ríos</t>
  </si>
  <si>
    <t>B7</t>
  </si>
  <si>
    <t>Weisse Novoa, Flor</t>
  </si>
  <si>
    <t>Flor</t>
  </si>
  <si>
    <t>Weisse</t>
  </si>
  <si>
    <t>Novoa</t>
  </si>
  <si>
    <t>B39</t>
  </si>
  <si>
    <t>Subsecretario</t>
  </si>
  <si>
    <t>Torres Espinosa, Patricio</t>
  </si>
  <si>
    <t>Torres</t>
  </si>
  <si>
    <t>Espinosa</t>
  </si>
  <si>
    <t>Subsecretario de Relaciones Exteriores</t>
  </si>
  <si>
    <t>Álvarez Aguirre, Rodrigo</t>
  </si>
  <si>
    <t>Rodrigo</t>
  </si>
  <si>
    <t>Álvarez</t>
  </si>
  <si>
    <t>Aguirre</t>
  </si>
  <si>
    <t>*Subsecretario de Defensa</t>
  </si>
  <si>
    <t>B6</t>
  </si>
  <si>
    <t>Bolívar Romero, Christian</t>
  </si>
  <si>
    <t>Christian</t>
  </si>
  <si>
    <t>Bolívar</t>
  </si>
  <si>
    <t>Romero</t>
  </si>
  <si>
    <t>*Subsecretario de las Fuerzas Armadas</t>
  </si>
  <si>
    <t>B40</t>
  </si>
  <si>
    <t>Rodríguez Oyarzún, Juan Pablo</t>
  </si>
  <si>
    <t>Juan Pablo</t>
  </si>
  <si>
    <t>Oyarzún</t>
  </si>
  <si>
    <t>Subsecretario de Hacienda</t>
  </si>
  <si>
    <t>Franz Koehler, Karl</t>
  </si>
  <si>
    <t>Karlfrans</t>
  </si>
  <si>
    <t>Koehler</t>
  </si>
  <si>
    <t>Dunkler</t>
  </si>
  <si>
    <t>Subsecretario de Economía y Empresas de Menor Tamaño</t>
  </si>
  <si>
    <t>Urrutia Silva, Osvaldo</t>
  </si>
  <si>
    <t>Osvaldo</t>
  </si>
  <si>
    <t>Urrutia</t>
  </si>
  <si>
    <t>Subsecretario de Pesca y Acuicultura</t>
  </si>
  <si>
    <t>Araos Bralic, Rafael</t>
  </si>
  <si>
    <t>Rafael</t>
  </si>
  <si>
    <t>Araos</t>
  </si>
  <si>
    <t>Bralic</t>
  </si>
  <si>
    <t>Subsecretaria de Ciencia, Tecnología, Conocimiento e Innovación</t>
  </si>
  <si>
    <t>B5</t>
  </si>
  <si>
    <t>Vicealmirante</t>
  </si>
  <si>
    <t>Cacho Morán, Julio</t>
  </si>
  <si>
    <t>Cacho</t>
  </si>
  <si>
    <t>Morán</t>
  </si>
  <si>
    <t>*Jefe del Estado Mayor de la Armada de Perú</t>
  </si>
  <si>
    <t>B41</t>
  </si>
  <si>
    <t>De la Maza Riquelme, Cristián</t>
  </si>
  <si>
    <t>Riquelme</t>
  </si>
  <si>
    <t>Ex Subsecretario de Defensa</t>
  </si>
  <si>
    <t>Navajas Santini, Ramiro</t>
  </si>
  <si>
    <t>Ramiro</t>
  </si>
  <si>
    <t>Navajas</t>
  </si>
  <si>
    <t>Santini</t>
  </si>
  <si>
    <t>DTS</t>
  </si>
  <si>
    <t>LATERAL VIP</t>
  </si>
  <si>
    <t>Ugarte Millán, Catalina</t>
  </si>
  <si>
    <t>Ugarte</t>
  </si>
  <si>
    <t>Millán</t>
  </si>
  <si>
    <t>Jefe Gabinete Precidencial</t>
  </si>
  <si>
    <t>B4</t>
  </si>
  <si>
    <t>Mujica Castro, José Ignacio</t>
  </si>
  <si>
    <t>José Ignacio</t>
  </si>
  <si>
    <t>Mujica</t>
  </si>
  <si>
    <t>Vicepresidente Corfo</t>
  </si>
  <si>
    <t>B42</t>
  </si>
  <si>
    <t>Señor</t>
  </si>
  <si>
    <t>Zapata González, Elizabeth</t>
  </si>
  <si>
    <t>Elizabeth</t>
  </si>
  <si>
    <t>Directora Desarrollo Tecnológico Corfo y Directora Ejecutiva Comité de Construcción Naval</t>
  </si>
  <si>
    <t>B3</t>
  </si>
  <si>
    <t>Browne Hurtado, Santiago</t>
  </si>
  <si>
    <t>Santiago</t>
  </si>
  <si>
    <t>Browne</t>
  </si>
  <si>
    <t>Hurtado</t>
  </si>
  <si>
    <t>Gerente de Asuntos Estratégicos (s) de Corfo</t>
  </si>
  <si>
    <t>B43</t>
  </si>
  <si>
    <t>Bustos, Óscar</t>
  </si>
  <si>
    <t>Óscar</t>
  </si>
  <si>
    <t>Bustos</t>
  </si>
  <si>
    <t>Jefe División de Desarrollo Tecnológico e Industria Consejo Directivo de Construcción Naval</t>
  </si>
  <si>
    <t>Carrasco, Patricio</t>
  </si>
  <si>
    <t>Carrasco</t>
  </si>
  <si>
    <t>Alvarez</t>
  </si>
  <si>
    <t>Jefe Depto. de Investigación Desarrollo e Innovación Consejo Directivo de Construcción Naval</t>
  </si>
  <si>
    <t>Coronado, Carla</t>
  </si>
  <si>
    <t>Carla</t>
  </si>
  <si>
    <t>Coronado</t>
  </si>
  <si>
    <t>Asesora Ministerio Consejo Directivo de Construcción Naval</t>
  </si>
  <si>
    <t>B2</t>
  </si>
  <si>
    <t>Hentzschel, Fernando</t>
  </si>
  <si>
    <t>Hentzschel</t>
  </si>
  <si>
    <t>Gerente de Capacidades Tecnológicas Consejo Directivo de Construcción Naval</t>
  </si>
  <si>
    <t>B44</t>
  </si>
  <si>
    <t>Von Appen, Richard</t>
  </si>
  <si>
    <t>Richard</t>
  </si>
  <si>
    <t>Von Appen</t>
  </si>
  <si>
    <t>Lahres</t>
  </si>
  <si>
    <t>Presidente Ultramar</t>
  </si>
  <si>
    <t>Fernández Ruiz, Ignacio</t>
  </si>
  <si>
    <t>Ignacio</t>
  </si>
  <si>
    <t>Ruiz</t>
  </si>
  <si>
    <t>Directror General de Prochile</t>
  </si>
  <si>
    <t>Dettloff Beros, Carlos</t>
  </si>
  <si>
    <t>Dettloff</t>
  </si>
  <si>
    <t>Beros</t>
  </si>
  <si>
    <t>Director de Fronteras y Límites</t>
  </si>
  <si>
    <t>Gómez, José Pablo</t>
  </si>
  <si>
    <t>José Pablo</t>
  </si>
  <si>
    <t>Dirección de Presupuesto</t>
  </si>
  <si>
    <t>B1</t>
  </si>
  <si>
    <t>Llodrá Vial, José Ignacio</t>
  </si>
  <si>
    <t>Llodrá</t>
  </si>
  <si>
    <t>Subdirector de Racionalización y Función Pública</t>
  </si>
  <si>
    <t>B45</t>
  </si>
  <si>
    <t>López</t>
  </si>
  <si>
    <t>Lara</t>
  </si>
  <si>
    <t>Director Instituto Antártico Chileno</t>
  </si>
  <si>
    <t>C23</t>
  </si>
  <si>
    <t>Granifo, Pablo</t>
  </si>
  <si>
    <t>Pablo</t>
  </si>
  <si>
    <t>Granifo</t>
  </si>
  <si>
    <t>Banco Chile</t>
  </si>
  <si>
    <t>Ebensberger, Eduardo</t>
  </si>
  <si>
    <t>Ebensberger</t>
  </si>
  <si>
    <t>Brancoli, Francisco</t>
  </si>
  <si>
    <t>Brancoli</t>
  </si>
  <si>
    <t>Yarur, Ignacio</t>
  </si>
  <si>
    <t>Yarur</t>
  </si>
  <si>
    <t>Banco BCI</t>
  </si>
  <si>
    <t>Trautmann, Andrés</t>
  </si>
  <si>
    <t>Trautmann</t>
  </si>
  <si>
    <t>Banco Santander</t>
  </si>
  <si>
    <t>Coopman Corral, Javier</t>
  </si>
  <si>
    <t>Coopman</t>
  </si>
  <si>
    <t>Corral</t>
  </si>
  <si>
    <t>Jefe Gabinete Ministro de Defensa</t>
  </si>
  <si>
    <t>C22</t>
  </si>
  <si>
    <t>Carvajal Madariaga, Bárbara</t>
  </si>
  <si>
    <t>Bárbara</t>
  </si>
  <si>
    <t>Madariaga</t>
  </si>
  <si>
    <t>Jefa de Gabinete Subsecretario para las FF.AA.</t>
  </si>
  <si>
    <t>C24</t>
  </si>
  <si>
    <t>Lira, Pablo</t>
  </si>
  <si>
    <t>Lira</t>
  </si>
  <si>
    <t>Jefe Gabinete Subsecretario de Defensa</t>
  </si>
  <si>
    <t>C21</t>
  </si>
  <si>
    <t>Rector</t>
  </si>
  <si>
    <t>De la Llera Martin, Juan Carlos</t>
  </si>
  <si>
    <t>Juan Carlos</t>
  </si>
  <si>
    <t>De la Llera</t>
  </si>
  <si>
    <t>Rector Puc</t>
  </si>
  <si>
    <t>Irarrázabal Alfonso, Alejandro</t>
  </si>
  <si>
    <t>Alejandro</t>
  </si>
  <si>
    <t>Jefe Asesor Presidencial</t>
  </si>
  <si>
    <t>C25</t>
  </si>
  <si>
    <t>Leiva Larrañaga, Constanza</t>
  </si>
  <si>
    <t>Constanza</t>
  </si>
  <si>
    <t>T2 RNY</t>
  </si>
  <si>
    <t>C20</t>
  </si>
  <si>
    <t>Leiva Larrañaga, Marcela Paz</t>
  </si>
  <si>
    <t>Marcela Paz</t>
  </si>
  <si>
    <t>Hija Madrina</t>
  </si>
  <si>
    <t>C26</t>
  </si>
  <si>
    <t>Pérez Cruz, Matias</t>
  </si>
  <si>
    <t>Matias</t>
  </si>
  <si>
    <t>Cruz</t>
  </si>
  <si>
    <t>Gerenete Perezcruz</t>
  </si>
  <si>
    <t>C19</t>
  </si>
  <si>
    <t>Jeldes, Siria</t>
  </si>
  <si>
    <t>Siria</t>
  </si>
  <si>
    <t>Jeldes</t>
  </si>
  <si>
    <t>Presidenta COOPEUCH</t>
  </si>
  <si>
    <t>Agregado al final OPA VIP</t>
  </si>
  <si>
    <t>Arriagada, Andrés</t>
  </si>
  <si>
    <t>Arriagada</t>
  </si>
  <si>
    <t>Presidente Caja Los Andes</t>
  </si>
  <si>
    <t>Cornejo, Eugenio</t>
  </si>
  <si>
    <t>Eugenio</t>
  </si>
  <si>
    <t>Cornejo</t>
  </si>
  <si>
    <t>Locroix</t>
  </si>
  <si>
    <t>Presidente Mutual de Seguros de Chile</t>
  </si>
  <si>
    <t>C27</t>
  </si>
  <si>
    <t>Leiva Larrañaga, Vicente</t>
  </si>
  <si>
    <t>Vicente</t>
  </si>
  <si>
    <t>Hijo Madrina</t>
  </si>
  <si>
    <t>C18</t>
  </si>
  <si>
    <t>Jackson Zamora, Cyril</t>
  </si>
  <si>
    <t>Cyril</t>
  </si>
  <si>
    <t>Jackson</t>
  </si>
  <si>
    <t>Jefmayor</t>
  </si>
  <si>
    <t>Espinoza Martin, Rodrigo</t>
  </si>
  <si>
    <t>Espinoza</t>
  </si>
  <si>
    <t>Quijada Pérez, Cecy Sirena</t>
  </si>
  <si>
    <t>Cecy Sirena</t>
  </si>
  <si>
    <t>Quijada</t>
  </si>
  <si>
    <t>Esposa del Jefe estado mayor de la Armada de Perú.</t>
  </si>
  <si>
    <t>C28</t>
  </si>
  <si>
    <t>Alcorta, Francisco</t>
  </si>
  <si>
    <t>Alcorta</t>
  </si>
  <si>
    <t>Asesor politico estrategico MINDEF</t>
  </si>
  <si>
    <t>C17</t>
  </si>
  <si>
    <t>Larrondo, José</t>
  </si>
  <si>
    <t>Larrondo</t>
  </si>
  <si>
    <t>Director de Operaciones y Ventas FEMESA Chile</t>
  </si>
  <si>
    <t>Jerez, Sebastian</t>
  </si>
  <si>
    <t>Sebastian</t>
  </si>
  <si>
    <t>Jerez</t>
  </si>
  <si>
    <t>Gerente General Farmacia Cruz Verde</t>
  </si>
  <si>
    <t>C29</t>
  </si>
  <si>
    <t>García, Italo</t>
  </si>
  <si>
    <t>Italo</t>
  </si>
  <si>
    <t>Gerente Alianzas y Convenios FEMESA Chile</t>
  </si>
  <si>
    <t>Capitán de Fragata</t>
  </si>
  <si>
    <t>Martínez Labbé, Francisco</t>
  </si>
  <si>
    <t>Labbé</t>
  </si>
  <si>
    <t>ASOFAR</t>
  </si>
  <si>
    <t>Von Chrismar Medina, Maria Pia</t>
  </si>
  <si>
    <t>Maria Pia</t>
  </si>
  <si>
    <t>Von Chrismar</t>
  </si>
  <si>
    <t>Medina</t>
  </si>
  <si>
    <t>Jefa de la División de Relaciones Internacionales de la Subsecretaria de la Defensa.</t>
  </si>
  <si>
    <t>Capitán de Navío (R.)</t>
  </si>
  <si>
    <t>Varela Peña, Rolando</t>
  </si>
  <si>
    <t>Rolando</t>
  </si>
  <si>
    <t>Peña</t>
  </si>
  <si>
    <t>Jefe de la División de Planes y Politicas de la Subsecretaria de Defensa</t>
  </si>
  <si>
    <t>Maturana Lavin, Jorge</t>
  </si>
  <si>
    <t>Maturana</t>
  </si>
  <si>
    <t>Lavin</t>
  </si>
  <si>
    <t>Simian Fernández, Pablo</t>
  </si>
  <si>
    <t>Simian</t>
  </si>
  <si>
    <t>NACHIPA</t>
  </si>
  <si>
    <t>Pérez, Constanza</t>
  </si>
  <si>
    <t>Asesora Económica MINDEF</t>
  </si>
  <si>
    <t>C16</t>
  </si>
  <si>
    <t>OPA/ASMAR</t>
  </si>
  <si>
    <t>Capitán de Navío RL</t>
  </si>
  <si>
    <t>Jarpa Parada, José Fernando</t>
  </si>
  <si>
    <t>José Fernando</t>
  </si>
  <si>
    <t>Jarpa</t>
  </si>
  <si>
    <t>Parada</t>
  </si>
  <si>
    <t>Jefe del Servicio Religioso de la Armada</t>
  </si>
  <si>
    <t>C30</t>
  </si>
  <si>
    <t>Capellán Evangélico</t>
  </si>
  <si>
    <t>Recabarren Esparza, Vladimir</t>
  </si>
  <si>
    <t>Vladimir</t>
  </si>
  <si>
    <t>Recabarren</t>
  </si>
  <si>
    <t>Esparza</t>
  </si>
  <si>
    <t>Capellán Nacional Evangélico de la Armada</t>
  </si>
  <si>
    <t>C15</t>
  </si>
  <si>
    <t>Hartung Sabugo, Kurt</t>
  </si>
  <si>
    <t>Kurt</t>
  </si>
  <si>
    <t>Hartung</t>
  </si>
  <si>
    <t>Sabugo</t>
  </si>
  <si>
    <t>Presidente del Cuerpo de Almirantes en Retiro</t>
  </si>
  <si>
    <t>Seremi</t>
  </si>
  <si>
    <t>Piña Faúndez, José Eduardo</t>
  </si>
  <si>
    <t>José Eduardo</t>
  </si>
  <si>
    <t>Piña</t>
  </si>
  <si>
    <t>Faúndez</t>
  </si>
  <si>
    <t>Seremi Obras Públicas</t>
  </si>
  <si>
    <t>C31</t>
  </si>
  <si>
    <t>Ramirez Glade, Pedro</t>
  </si>
  <si>
    <t>Ramirez</t>
  </si>
  <si>
    <t>Glade</t>
  </si>
  <si>
    <t>Seremi de Ciencia, Tecnologías, Conocimidento e Innovación</t>
  </si>
  <si>
    <t>C14</t>
  </si>
  <si>
    <t>Delannays Araya, Mario</t>
  </si>
  <si>
    <t>Mario</t>
  </si>
  <si>
    <t>Delannays</t>
  </si>
  <si>
    <t>Seremi de Medio Ambiente</t>
  </si>
  <si>
    <t>Ruf Wilkomirsky, Ronald</t>
  </si>
  <si>
    <t>Ronald</t>
  </si>
  <si>
    <t>Ruf</t>
  </si>
  <si>
    <t>Wilkomirsky</t>
  </si>
  <si>
    <t>Seremi de Hacienda</t>
  </si>
  <si>
    <t>C32</t>
  </si>
  <si>
    <t>BANCOS</t>
  </si>
  <si>
    <t>Farren Risopatrón, Mario</t>
  </si>
  <si>
    <t>Farren</t>
  </si>
  <si>
    <t>Risopatrón</t>
  </si>
  <si>
    <t>Presidente Banco Estado</t>
  </si>
  <si>
    <t>C13</t>
  </si>
  <si>
    <t>Finanzas</t>
  </si>
  <si>
    <t>Ampuero Martínez, Katherine</t>
  </si>
  <si>
    <t>Katherine</t>
  </si>
  <si>
    <t>Ampuero</t>
  </si>
  <si>
    <t>Directora Regional Aduana de Talcahuano</t>
  </si>
  <si>
    <t>C33</t>
  </si>
  <si>
    <t>Cleveland Cartes, Henry</t>
  </si>
  <si>
    <t>Henry</t>
  </si>
  <si>
    <t>Cleveland</t>
  </si>
  <si>
    <t>Director Ejecutivo ENAER</t>
  </si>
  <si>
    <t>C12</t>
  </si>
  <si>
    <t>General de Brigada</t>
  </si>
  <si>
    <t>Vera Soto, Álvaro</t>
  </si>
  <si>
    <t>Director FAMAE</t>
  </si>
  <si>
    <t>C34</t>
  </si>
  <si>
    <t>OPA/DGSA</t>
  </si>
  <si>
    <t>Pires, Jorge</t>
  </si>
  <si>
    <t>Pires</t>
  </si>
  <si>
    <t>Superintendente del Material Armada de Portugal</t>
  </si>
  <si>
    <t>C11</t>
  </si>
  <si>
    <t>Contraalmirante</t>
  </si>
  <si>
    <t>Costa, Joao</t>
  </si>
  <si>
    <t>Joao</t>
  </si>
  <si>
    <t>Costa</t>
  </si>
  <si>
    <t>Director de los Navios Armada de Portugal</t>
  </si>
  <si>
    <t>C35</t>
  </si>
  <si>
    <t>Bunster Weitzmann, Claudio</t>
  </si>
  <si>
    <t>Bunster</t>
  </si>
  <si>
    <t>Weitzmann</t>
  </si>
  <si>
    <t>Director Centro Estudios Cientificos CECs</t>
  </si>
  <si>
    <t>C10</t>
  </si>
  <si>
    <t>Casassa Rogazinski, Gino</t>
  </si>
  <si>
    <t>Gino</t>
  </si>
  <si>
    <t>Casassa</t>
  </si>
  <si>
    <t>Rogazinski</t>
  </si>
  <si>
    <t>Director del INACH</t>
  </si>
  <si>
    <t>C36</t>
  </si>
  <si>
    <t>General de División</t>
  </si>
  <si>
    <t>Cabrera Osorio, Rafael</t>
  </si>
  <si>
    <t>Osorio</t>
  </si>
  <si>
    <t>Cmdte. Apoyo a la Fuerza del Ejército</t>
  </si>
  <si>
    <t>C9</t>
  </si>
  <si>
    <t>Candia Ogaz, Eduardo</t>
  </si>
  <si>
    <t>Candia</t>
  </si>
  <si>
    <t>Ogaz</t>
  </si>
  <si>
    <t>Director de Logistica del Ejército</t>
  </si>
  <si>
    <t>Reveco Gómez, Jeannette</t>
  </si>
  <si>
    <t>Jeannette</t>
  </si>
  <si>
    <t>Reveco</t>
  </si>
  <si>
    <t>Directora Nacional (s) de la Dirección Nacional de Obras Portuarias</t>
  </si>
  <si>
    <t>OPA/CIVILES</t>
  </si>
  <si>
    <t>Alcalde</t>
  </si>
  <si>
    <t>Muñoz Uribe, Héctor</t>
  </si>
  <si>
    <t>Héctor</t>
  </si>
  <si>
    <t>Uribe</t>
  </si>
  <si>
    <t>Alcalde Ilustre Municipalidad de Concepción</t>
  </si>
  <si>
    <t>C37</t>
  </si>
  <si>
    <t>Rivera Morales, Miguel</t>
  </si>
  <si>
    <t>Rivera</t>
  </si>
  <si>
    <t>Morales</t>
  </si>
  <si>
    <t>Alcalde Ilustre Municipalidad de Hualpén</t>
  </si>
  <si>
    <t>C8</t>
  </si>
  <si>
    <t>Saavedra Bustos, Eduardo</t>
  </si>
  <si>
    <t>Alcalde Ilustre Municipalidad de Talcahuano</t>
  </si>
  <si>
    <t>C38</t>
  </si>
  <si>
    <t>Amtmann Fecci, Carla</t>
  </si>
  <si>
    <t>Amtmann</t>
  </si>
  <si>
    <t>Fecci</t>
  </si>
  <si>
    <t>Alcaldesa de Valdivia</t>
  </si>
  <si>
    <t>C7</t>
  </si>
  <si>
    <t>Wainraight Galilea, Rodrigo</t>
  </si>
  <si>
    <t>Wainraight</t>
  </si>
  <si>
    <t>Galilea</t>
  </si>
  <si>
    <t>Alcalde de Puerto Montt</t>
  </si>
  <si>
    <t>C39</t>
  </si>
  <si>
    <t>Nieto Hernández, Camila</t>
  </si>
  <si>
    <t>Nieto</t>
  </si>
  <si>
    <t>Hernández</t>
  </si>
  <si>
    <t>Alcaldesa de Valparaíso</t>
  </si>
  <si>
    <t>Radonich Jiménez, Claudio</t>
  </si>
  <si>
    <t>Radonich</t>
  </si>
  <si>
    <t>Jiménez</t>
  </si>
  <si>
    <t>Alcalde de Punta Arenas</t>
  </si>
  <si>
    <t>C6</t>
  </si>
  <si>
    <t>Tapia Almonacid, María Soledad</t>
  </si>
  <si>
    <t>María Soledad</t>
  </si>
  <si>
    <t>Tapia</t>
  </si>
  <si>
    <t>Almonacid</t>
  </si>
  <si>
    <t>Director Nacional Servicio Nacional de Pesca y Acuicultura SERNAPESCA</t>
  </si>
  <si>
    <t>C40</t>
  </si>
  <si>
    <t>Zavala Fernández, Pablo</t>
  </si>
  <si>
    <t>Zavala</t>
  </si>
  <si>
    <t>Presidente de la Ilustrísima Corte de Apelaciones de Concepción</t>
  </si>
  <si>
    <t>C5</t>
  </si>
  <si>
    <t>Cartagena Ramos, Marcela</t>
  </si>
  <si>
    <t>Cartagena</t>
  </si>
  <si>
    <t>Ramos</t>
  </si>
  <si>
    <t>Fiscal Regional de Concepción</t>
  </si>
  <si>
    <t>C41</t>
  </si>
  <si>
    <t>Andrade Otarola, Claudio</t>
  </si>
  <si>
    <t>Otarola</t>
  </si>
  <si>
    <t>Director Regional de la Agencia Nacional de Inteligencia</t>
  </si>
  <si>
    <t>C4</t>
  </si>
  <si>
    <t>Ananías Itaim, Alvaro</t>
  </si>
  <si>
    <t>Alvaro</t>
  </si>
  <si>
    <t>Ananías</t>
  </si>
  <si>
    <t>Itaim</t>
  </si>
  <si>
    <t>Presidernte de la Cámara de Producción y Comercio del Bio Bio</t>
  </si>
  <si>
    <t>C42</t>
  </si>
  <si>
    <t>Rivera Marin, Oscar</t>
  </si>
  <si>
    <t>Oscar</t>
  </si>
  <si>
    <t>Marin</t>
  </si>
  <si>
    <t>Director Regional de Obras Portuarias</t>
  </si>
  <si>
    <t>C3</t>
  </si>
  <si>
    <t>Basáez Valdebenito, Carlos</t>
  </si>
  <si>
    <t>Basáez</t>
  </si>
  <si>
    <t>Valdebenito</t>
  </si>
  <si>
    <t>Contralor Regional Bio Bio</t>
  </si>
  <si>
    <t>C43</t>
  </si>
  <si>
    <t>Chamorro Contreras, Claudia</t>
  </si>
  <si>
    <t>Claudia</t>
  </si>
  <si>
    <t>Chamorro</t>
  </si>
  <si>
    <t>Contreras</t>
  </si>
  <si>
    <t>Jefe VIII Región Policial Bío Bío</t>
  </si>
  <si>
    <t>C2</t>
  </si>
  <si>
    <t>OPA/MILITAR</t>
  </si>
  <si>
    <t>Miccono Villablanca, Renzo</t>
  </si>
  <si>
    <t>Renzo</t>
  </si>
  <si>
    <t>Miccono</t>
  </si>
  <si>
    <t>Villablanca</t>
  </si>
  <si>
    <t>Jefe VIII Zona de Carabineros BIOBÍO</t>
  </si>
  <si>
    <t>C44</t>
  </si>
  <si>
    <t>Muñoz de la Puente, Carlos</t>
  </si>
  <si>
    <t>De la Puente</t>
  </si>
  <si>
    <t>Comandante de Operaciones Terrestres (COT Ejército)</t>
  </si>
  <si>
    <t>Zamorano Goñi, Raúl</t>
  </si>
  <si>
    <t>Zamorano</t>
  </si>
  <si>
    <t>Goñi</t>
  </si>
  <si>
    <t>Jefe del Estado Mayor General de la Armada</t>
  </si>
  <si>
    <t>C1</t>
  </si>
  <si>
    <t>Arenas Menares, Mauricio</t>
  </si>
  <si>
    <t>Mauricio</t>
  </si>
  <si>
    <t>Arenas</t>
  </si>
  <si>
    <t>Menares</t>
  </si>
  <si>
    <t>Directo General del Personal de la Armada</t>
  </si>
  <si>
    <t>C45</t>
  </si>
  <si>
    <t>Delgado Boffil, César</t>
  </si>
  <si>
    <t>César</t>
  </si>
  <si>
    <t>Boffil</t>
  </si>
  <si>
    <t>Director General de los Servicios de la Armada</t>
  </si>
  <si>
    <t>D10</t>
  </si>
  <si>
    <t>Oxley Lizana, Arturo</t>
  </si>
  <si>
    <t>Arturo</t>
  </si>
  <si>
    <t>Oxley</t>
  </si>
  <si>
    <t>Lizana</t>
  </si>
  <si>
    <t>Director General del Territorio Marítimo y de Marina Mercante</t>
  </si>
  <si>
    <t>D36</t>
  </si>
  <si>
    <t>Marín Fernández, Juan Pablo</t>
  </si>
  <si>
    <t>Marín</t>
  </si>
  <si>
    <t>Subjefe del Estado Mayor Conjunto</t>
  </si>
  <si>
    <t>D9</t>
  </si>
  <si>
    <t>Muñoz Miranda, Daniel</t>
  </si>
  <si>
    <t>Miranda</t>
  </si>
  <si>
    <t>*Comandante de Operaciones Navales</t>
  </si>
  <si>
    <t>D37</t>
  </si>
  <si>
    <t>Hernández Jacir, José Miguel</t>
  </si>
  <si>
    <t>José Miguel</t>
  </si>
  <si>
    <t>Jacir</t>
  </si>
  <si>
    <t>Director de Astilleros y Maestranzas de la Armada</t>
  </si>
  <si>
    <t>D8</t>
  </si>
  <si>
    <t>Manzano Sanguineti, Oscar</t>
  </si>
  <si>
    <t>Manzano</t>
  </si>
  <si>
    <t>Sanguineti</t>
  </si>
  <si>
    <t>Director de Recuperaciones de Unidades de la Armada</t>
  </si>
  <si>
    <t>D38</t>
  </si>
  <si>
    <t>Pájaro Márquez, José Agustín</t>
  </si>
  <si>
    <t>José Agustín</t>
  </si>
  <si>
    <t>Pájaro</t>
  </si>
  <si>
    <t>Márquez</t>
  </si>
  <si>
    <t>Director de Operaciones del Estado Mayor General de la Armada</t>
  </si>
  <si>
    <t>D7</t>
  </si>
  <si>
    <t>Acevedo Pérez, Edgardo</t>
  </si>
  <si>
    <t>Edgardo</t>
  </si>
  <si>
    <t>Acevedo</t>
  </si>
  <si>
    <t>*Comandante en Jefe de la Segunda Zona Naval</t>
  </si>
  <si>
    <t>D39</t>
  </si>
  <si>
    <t>Saelzer Concha, Federico</t>
  </si>
  <si>
    <t>Federico</t>
  </si>
  <si>
    <t>Saelzer</t>
  </si>
  <si>
    <t>*Comandante en Jefe de la Fuerza de Submarinos</t>
  </si>
  <si>
    <t>D6</t>
  </si>
  <si>
    <t>Arrieta Figueroa, Claudia</t>
  </si>
  <si>
    <t xml:space="preserve">Claudia </t>
  </si>
  <si>
    <t>Arrieta</t>
  </si>
  <si>
    <t>Figueroa</t>
  </si>
  <si>
    <t>Esposa Comandante en Jefe de la Fuerza de Submarinos</t>
  </si>
  <si>
    <t>D40</t>
  </si>
  <si>
    <t>Contraalmirante IM</t>
  </si>
  <si>
    <t>Opazo Riquelme, Daniel</t>
  </si>
  <si>
    <t>Opazo</t>
  </si>
  <si>
    <t>*Comandante General del Cuerpo de Infantería de Marina</t>
  </si>
  <si>
    <t>D5</t>
  </si>
  <si>
    <t>Guerrero García, Alberto</t>
  </si>
  <si>
    <t>Alberto</t>
  </si>
  <si>
    <t>Director de Programas, Investigación y Desarrollo de la Armada</t>
  </si>
  <si>
    <t>D41</t>
  </si>
  <si>
    <t>Muñoz Cabrera, Claudio</t>
  </si>
  <si>
    <t>Contralor de la Armada</t>
  </si>
  <si>
    <t>D4</t>
  </si>
  <si>
    <t>Contraalmirante AB</t>
  </si>
  <si>
    <t>Fort Santander, Marcel</t>
  </si>
  <si>
    <t>Marcel</t>
  </si>
  <si>
    <t>Fort</t>
  </si>
  <si>
    <t>Santander</t>
  </si>
  <si>
    <t>Director de finanzaas de la Armada.</t>
  </si>
  <si>
    <t>D42</t>
  </si>
  <si>
    <t>Torres Horton, Alejandro</t>
  </si>
  <si>
    <t>Horton</t>
  </si>
  <si>
    <t>SUBMAYOR Consejo Superior ASMAR</t>
  </si>
  <si>
    <t>D3</t>
  </si>
  <si>
    <t>Mendez Tapia, Juan Cristobal</t>
  </si>
  <si>
    <t>J. Cristobal</t>
  </si>
  <si>
    <t>Mendez</t>
  </si>
  <si>
    <t>DIRISNAV Consejo Superior ASMAR</t>
  </si>
  <si>
    <t>D43</t>
  </si>
  <si>
    <t>Comodoro</t>
  </si>
  <si>
    <t>Valenzuea Azócar, Rene</t>
  </si>
  <si>
    <t>Rene</t>
  </si>
  <si>
    <t>Valenzuea</t>
  </si>
  <si>
    <t>Azócar</t>
  </si>
  <si>
    <t>Secretario General de la Armada</t>
  </si>
  <si>
    <t>D2</t>
  </si>
  <si>
    <t>Comodoro AB</t>
  </si>
  <si>
    <t>Vidal Berrocal, Jorge</t>
  </si>
  <si>
    <t>Vidal</t>
  </si>
  <si>
    <t>Berrocal</t>
  </si>
  <si>
    <t>DABA Consejo Superior ASMAR</t>
  </si>
  <si>
    <t>D44</t>
  </si>
  <si>
    <t>Espinoza Villalobos, Luis</t>
  </si>
  <si>
    <t>Representante Ejército Consejo Superior ASMAR</t>
  </si>
  <si>
    <t>General de Brigada Aérea</t>
  </si>
  <si>
    <t>Cárcamo Barrientos, Alan</t>
  </si>
  <si>
    <t>Alan</t>
  </si>
  <si>
    <t>Cárcamo</t>
  </si>
  <si>
    <t>Barrientos</t>
  </si>
  <si>
    <t>Representante FACH Consejo Superior ASMAR</t>
  </si>
  <si>
    <t>ACADÉMICOS</t>
  </si>
  <si>
    <t>Lara Valenzuela, Cristian</t>
  </si>
  <si>
    <t xml:space="preserve">Cristian </t>
  </si>
  <si>
    <t>Director Universidad Técnica Federico Santa María Sede Concepción</t>
  </si>
  <si>
    <t>D1</t>
  </si>
  <si>
    <t>Valdebenito , Victor</t>
  </si>
  <si>
    <t>Victor</t>
  </si>
  <si>
    <t>Director de Vinculacion con el Medio Sede Concepción. Universidad Técnica Federico Santa María</t>
  </si>
  <si>
    <t>Klischies Nevermann, Thomas</t>
  </si>
  <si>
    <t>Thomas</t>
  </si>
  <si>
    <t>Klischies</t>
  </si>
  <si>
    <t>Nevermann</t>
  </si>
  <si>
    <t>Director DUOC UC Sede San Andrés de Concepción</t>
  </si>
  <si>
    <t>D45</t>
  </si>
  <si>
    <t>Montecinos Montecinos, Egon</t>
  </si>
  <si>
    <t>Egon</t>
  </si>
  <si>
    <t>Montecinos</t>
  </si>
  <si>
    <t>Rector Universidad Austral</t>
  </si>
  <si>
    <t>PENDIENTE POR ASIGNAR</t>
  </si>
  <si>
    <t>Salas , Marcos</t>
  </si>
  <si>
    <t>Salas</t>
  </si>
  <si>
    <t>Universidad Austral de Chile</t>
  </si>
  <si>
    <t>Sepúlveda Carreño, Jacqueline</t>
  </si>
  <si>
    <t>Jacqueline</t>
  </si>
  <si>
    <t>Carreño</t>
  </si>
  <si>
    <t>Rector Universidad de Concepción</t>
  </si>
  <si>
    <t>Rodríguez Tastest, Andrea</t>
  </si>
  <si>
    <t>Andrea</t>
  </si>
  <si>
    <t>Tastest</t>
  </si>
  <si>
    <t>Vicerrectora Investigación y Desarrollo Universidad de Concepción</t>
  </si>
  <si>
    <t>Umaña Hermosilla, Benito</t>
  </si>
  <si>
    <t>Benito</t>
  </si>
  <si>
    <t>Umaña</t>
  </si>
  <si>
    <t>Hermosilla</t>
  </si>
  <si>
    <t>Rector Universidad del Bío-Bío</t>
  </si>
  <si>
    <t>Ulloa , Claudia</t>
  </si>
  <si>
    <t>Ulloa</t>
  </si>
  <si>
    <t>Vicerrectora de Investigación y Desarrollo Universidad de Concepción</t>
  </si>
  <si>
    <t>Fuentealba Arcos, Jorge</t>
  </si>
  <si>
    <t>Fuentealba</t>
  </si>
  <si>
    <t>Arcos</t>
  </si>
  <si>
    <t>Vicerrector de Relaciones Institucionales Universidad de Concepción</t>
  </si>
  <si>
    <t>Sepulveda Carrasco, Roger</t>
  </si>
  <si>
    <t>Roger</t>
  </si>
  <si>
    <t>Sepulveda</t>
  </si>
  <si>
    <t>Rector Universidad Santo Tomás</t>
  </si>
  <si>
    <t>Valdés Lafontaine, Federico</t>
  </si>
  <si>
    <t>Lafontaine</t>
  </si>
  <si>
    <t>Rector U.D.D. Sede Concepción</t>
  </si>
  <si>
    <t>Jofré Manieu, Florencia</t>
  </si>
  <si>
    <t>Florencia</t>
  </si>
  <si>
    <t>Jofré</t>
  </si>
  <si>
    <t>Manieu</t>
  </si>
  <si>
    <t>Vicerrectora Académica U.D.D.</t>
  </si>
  <si>
    <t>Silva Riquelme, Pedro</t>
  </si>
  <si>
    <t>Director Vinculación con el Medio UDD</t>
  </si>
  <si>
    <t>Mellado Cid, Cristhian</t>
  </si>
  <si>
    <t>Cristhian</t>
  </si>
  <si>
    <t>Mellado</t>
  </si>
  <si>
    <t>Cid</t>
  </si>
  <si>
    <t>Rector Universidad Católica de la Santísima Concepción</t>
  </si>
  <si>
    <t>Concha Navalón, Claudio</t>
  </si>
  <si>
    <t>Navalón</t>
  </si>
  <si>
    <t>Vicerrector Universidad San Sebastián</t>
  </si>
  <si>
    <t>Rodríguez Pérez, José</t>
  </si>
  <si>
    <t>Universidad San Sebastían</t>
  </si>
  <si>
    <t>Monks Ruiz, Henry</t>
  </si>
  <si>
    <t>Monks</t>
  </si>
  <si>
    <t>Vicerrector Inacap</t>
  </si>
  <si>
    <t>Gonzälez Correa, Carlos</t>
  </si>
  <si>
    <t>Gonzälez</t>
  </si>
  <si>
    <t>Vicerrector Universidad Andrés Bello</t>
  </si>
  <si>
    <t>Carpinelli , Jorge</t>
  </si>
  <si>
    <t>Carpinelli</t>
  </si>
  <si>
    <t>Director de Innovación y Transferencia Tecnológica Universidad Andrés Bello</t>
  </si>
  <si>
    <t>Hormazábal Poblete, Paz</t>
  </si>
  <si>
    <t>Hormazábal</t>
  </si>
  <si>
    <t xml:space="preserve">Poblete </t>
  </si>
  <si>
    <t>Vicerrectora Universidad de Las Américas sede Concepción - Vicepresidenta CIDERE Biobio</t>
  </si>
  <si>
    <t>Ruz Heredia, Gonzalo</t>
  </si>
  <si>
    <t>Ruz</t>
  </si>
  <si>
    <t>Heredia</t>
  </si>
  <si>
    <t>Director Data Science UAI</t>
  </si>
  <si>
    <t>Goles Chacc, Eric</t>
  </si>
  <si>
    <t>Eric</t>
  </si>
  <si>
    <t>Goles</t>
  </si>
  <si>
    <t>Chacc</t>
  </si>
  <si>
    <t>Director Sistemas Complejos UAI</t>
  </si>
  <si>
    <t>Vargas Riquelme, Cristián</t>
  </si>
  <si>
    <t>Vargas</t>
  </si>
  <si>
    <t>Decano Facultad de Ingenieria de la Universidad de Santiago</t>
  </si>
  <si>
    <t>MADRINA</t>
  </si>
  <si>
    <t>Paulmann , Holger</t>
  </si>
  <si>
    <t>Holger</t>
  </si>
  <si>
    <t>Paulmann</t>
  </si>
  <si>
    <t>Presidente ICARE</t>
  </si>
  <si>
    <t>Álvarez P., Mónica</t>
  </si>
  <si>
    <t>Mónica</t>
  </si>
  <si>
    <t>P.</t>
  </si>
  <si>
    <t>Vicepresidenta ICARE</t>
  </si>
  <si>
    <t>Corona S., Renzo</t>
  </si>
  <si>
    <t>Corona</t>
  </si>
  <si>
    <t>S.</t>
  </si>
  <si>
    <t>Director Tesorero ICARE</t>
  </si>
  <si>
    <t>Muñoz , Claudio</t>
  </si>
  <si>
    <t>Ex Pdte ICARE</t>
  </si>
  <si>
    <t>Gazmuri Sch., Lorenzo</t>
  </si>
  <si>
    <t>Lorenzo</t>
  </si>
  <si>
    <t>Gazmuri</t>
  </si>
  <si>
    <t>Sch.</t>
  </si>
  <si>
    <t>Kouyoumdjian , Richard</t>
  </si>
  <si>
    <t>Kouyoumdjian</t>
  </si>
  <si>
    <t>Vicepresidente ATHENALAB</t>
  </si>
  <si>
    <t>Masalleras , Marcelo</t>
  </si>
  <si>
    <t>Masalleras</t>
  </si>
  <si>
    <t>Investigador ATHENALAB</t>
  </si>
  <si>
    <t>Russi , Carlos</t>
  </si>
  <si>
    <t>Russi</t>
  </si>
  <si>
    <t>Director ATHENALAB</t>
  </si>
  <si>
    <t>Griffiths , John</t>
  </si>
  <si>
    <t>John</t>
  </si>
  <si>
    <t>Griffiths</t>
  </si>
  <si>
    <t>Director Ejecutivo ATHENALAB</t>
  </si>
  <si>
    <t>LATERAL</t>
  </si>
  <si>
    <t>Ibáñez , Nicolás</t>
  </si>
  <si>
    <t>Nicolás</t>
  </si>
  <si>
    <t>Ibáñez</t>
  </si>
  <si>
    <t>Pdte Directorio ATHENALAB</t>
  </si>
  <si>
    <t>Mardones Costa, Ignacio</t>
  </si>
  <si>
    <t>Mardones</t>
  </si>
  <si>
    <t>Director Asuntos Internac. ATHENALAB</t>
  </si>
  <si>
    <t>Alvear , Fernando</t>
  </si>
  <si>
    <t>Alvear</t>
  </si>
  <si>
    <t>Ex Gerente Gral CPC</t>
  </si>
  <si>
    <t>Montero , Andrés</t>
  </si>
  <si>
    <t>Montero</t>
  </si>
  <si>
    <t>Ex Consejero CPC</t>
  </si>
  <si>
    <t>Araya Escobar, Cristian</t>
  </si>
  <si>
    <t>Ex Audigen</t>
  </si>
  <si>
    <t>Cifuentes , Cecilia</t>
  </si>
  <si>
    <t>Cecilia</t>
  </si>
  <si>
    <t>Cifuentes</t>
  </si>
  <si>
    <t>Economista ESE U de los Andes</t>
  </si>
  <si>
    <t>Hohmann , Claudio</t>
  </si>
  <si>
    <t>Hohmann</t>
  </si>
  <si>
    <t>Pdte Consejo Asesor CLAPES UC</t>
  </si>
  <si>
    <t>Larraín , Felipe</t>
  </si>
  <si>
    <t>Director Ejecutivo CLAPES UC</t>
  </si>
  <si>
    <t>Escaffi , Eduardo</t>
  </si>
  <si>
    <t>Escaffi</t>
  </si>
  <si>
    <t>Empresario</t>
  </si>
  <si>
    <t>Orrego B., Francisco</t>
  </si>
  <si>
    <t>Orrego</t>
  </si>
  <si>
    <t>B.</t>
  </si>
  <si>
    <t>Abogado</t>
  </si>
  <si>
    <t>Troncoso , Juan Eduardo</t>
  </si>
  <si>
    <t>Juan Eduardo</t>
  </si>
  <si>
    <t>Troncoso</t>
  </si>
  <si>
    <t>Massoglia Vargas, Manuel</t>
  </si>
  <si>
    <t>Manuel</t>
  </si>
  <si>
    <t>Massoglia</t>
  </si>
  <si>
    <t>Ex Ing Astillero Const. ASMAR</t>
  </si>
  <si>
    <t>Leiva Molina, Mauricio</t>
  </si>
  <si>
    <t>Invitado Madrina</t>
  </si>
  <si>
    <t>Bustamante Arriagada, Paulina</t>
  </si>
  <si>
    <t>Paulina</t>
  </si>
  <si>
    <t>Bustamante</t>
  </si>
  <si>
    <t>Guerrero Cordano, Rodrigo</t>
  </si>
  <si>
    <t>Cordano</t>
  </si>
  <si>
    <t>Ex S1 Seguridad JLM</t>
  </si>
  <si>
    <t>Junge Bascur, Cristian</t>
  </si>
  <si>
    <t>Junge</t>
  </si>
  <si>
    <t>Bascur</t>
  </si>
  <si>
    <t>GAMA RNY Yerno JLM</t>
  </si>
  <si>
    <t>Raby Olavarria, Matías</t>
  </si>
  <si>
    <t>Matías</t>
  </si>
  <si>
    <t>Raby</t>
  </si>
  <si>
    <t>Olavarria</t>
  </si>
  <si>
    <t>Boston Consulting Group</t>
  </si>
  <si>
    <t>Correa G., Pablo</t>
  </si>
  <si>
    <t>G.</t>
  </si>
  <si>
    <t>Tte2 RNY</t>
  </si>
  <si>
    <t>Neira , Hector</t>
  </si>
  <si>
    <t>Hector</t>
  </si>
  <si>
    <t>SO IM (R) Ex PPI CJA JLM</t>
  </si>
  <si>
    <t>INVITADOS DGSA</t>
  </si>
  <si>
    <t>Dagá Kunze, Joaquin</t>
  </si>
  <si>
    <t>Joaquin</t>
  </si>
  <si>
    <t>Dagá</t>
  </si>
  <si>
    <t>Kunze</t>
  </si>
  <si>
    <t>Director General de Obras Públicas</t>
  </si>
  <si>
    <t>Weinreich Roma, Olive</t>
  </si>
  <si>
    <t>Olive</t>
  </si>
  <si>
    <t>Weinreich</t>
  </si>
  <si>
    <t>Roma</t>
  </si>
  <si>
    <t>Asesor Ministerial de la Dirección de Obras Portuarias</t>
  </si>
  <si>
    <t>Natascha</t>
  </si>
  <si>
    <t>Cereceda</t>
  </si>
  <si>
    <t>Irarrazaval , Raul</t>
  </si>
  <si>
    <t>Raul</t>
  </si>
  <si>
    <t>Irarrazaval</t>
  </si>
  <si>
    <t>Asesor Ministro de Obras Públicas</t>
  </si>
  <si>
    <t>Morais , Nelson</t>
  </si>
  <si>
    <t>Nelson</t>
  </si>
  <si>
    <t>Morais</t>
  </si>
  <si>
    <t>MFG PoN Program Office representative Armada de Portugal</t>
  </si>
  <si>
    <t>Zamora Maric, Rodrigo</t>
  </si>
  <si>
    <t>Maric</t>
  </si>
  <si>
    <t>Investigador Centro Estudios Cientificos</t>
  </si>
  <si>
    <t>Quiñones Sigala, Manuel</t>
  </si>
  <si>
    <t>Quiñones</t>
  </si>
  <si>
    <t>Sigala</t>
  </si>
  <si>
    <t>Jefe Div. Evaluación de Proyectos SUBSECDEF</t>
  </si>
  <si>
    <t>Horta Genskowsky, Isabel</t>
  </si>
  <si>
    <t>Isabel</t>
  </si>
  <si>
    <t>Horta</t>
  </si>
  <si>
    <t>Genskowsky</t>
  </si>
  <si>
    <t>Jefe Depto. Evaluación de Proyectos SUBSECDEF</t>
  </si>
  <si>
    <t>Ruminao Ortega, Cristian</t>
  </si>
  <si>
    <t>Ruminao</t>
  </si>
  <si>
    <t>Ortega</t>
  </si>
  <si>
    <t>Jefe Depto. de Seguimiento de Proyectos SUBSECDEF</t>
  </si>
  <si>
    <t>Gonzalez Avendaño, Mardoqueo</t>
  </si>
  <si>
    <t>Mardoqueo</t>
  </si>
  <si>
    <t>Gonzalez</t>
  </si>
  <si>
    <t>Ingeniero Analista Depto. de Evaluación de Proyectos SUBSECDEF</t>
  </si>
  <si>
    <t>Lopez Manieu, Patricia</t>
  </si>
  <si>
    <t>Patricia</t>
  </si>
  <si>
    <t>Gerente Infraestructura Grupo Cap</t>
  </si>
  <si>
    <t>Gonzalez Lorenzo, David</t>
  </si>
  <si>
    <t>Gerente General Puerto Huachipato</t>
  </si>
  <si>
    <t>Pérez Salas, Constanza</t>
  </si>
  <si>
    <t>Asesora de Economia y Finanzas del MINDEF</t>
  </si>
  <si>
    <t>García Barria, Mauricio</t>
  </si>
  <si>
    <t>Barria</t>
  </si>
  <si>
    <t>Jefe Div. Presupuesto y Finanzas SUBSECFA</t>
  </si>
  <si>
    <t>Flores Cabrales, Miguel</t>
  </si>
  <si>
    <t xml:space="preserve">Miguel </t>
  </si>
  <si>
    <t>Cabrales</t>
  </si>
  <si>
    <t>Jefe Unidad Administración de Capacidades Estratégicas de la Defensa dela SUBSECFA</t>
  </si>
  <si>
    <t>CIVILES</t>
  </si>
  <si>
    <t>Tampier Brockhaus, Gonzalo</t>
  </si>
  <si>
    <t>Tampier</t>
  </si>
  <si>
    <t>Brockhaus</t>
  </si>
  <si>
    <t>Director de Desarrrollo e Innovación Universidad Austral - Comité CORFO</t>
  </si>
  <si>
    <t>Capitán de Navío (R)</t>
  </si>
  <si>
    <t>Rojas Pimentel, Sergio</t>
  </si>
  <si>
    <t xml:space="preserve">Rojas </t>
  </si>
  <si>
    <t>Pimentel</t>
  </si>
  <si>
    <t>Secretario Consejo Superior ASMAR</t>
  </si>
  <si>
    <t>Subprefecto</t>
  </si>
  <si>
    <t>Troncoso Fonseca, Bernardo</t>
  </si>
  <si>
    <t>Bernardo</t>
  </si>
  <si>
    <t>Fonseca</t>
  </si>
  <si>
    <t>Jefe Cuartel Investigaciones Talcahuano</t>
  </si>
  <si>
    <t>MILITARES</t>
  </si>
  <si>
    <t>Teniente Coronel</t>
  </si>
  <si>
    <t>Pérez Silva, Javier</t>
  </si>
  <si>
    <t>Coronel</t>
  </si>
  <si>
    <t>Aguilar Saavedra, Miguel Eduardo</t>
  </si>
  <si>
    <t>Miguel Eduardo</t>
  </si>
  <si>
    <t>Aguilar</t>
  </si>
  <si>
    <t>Prefecto de la Prefectura de Carabineros Talcahuano</t>
  </si>
  <si>
    <t>Capitán de Navío</t>
  </si>
  <si>
    <t>Pereyra Barbieri, Roberto</t>
  </si>
  <si>
    <t xml:space="preserve">Pereyra </t>
  </si>
  <si>
    <t>Barbieri</t>
  </si>
  <si>
    <t>Comandante del Comando Anfibio y de Transportes Navales</t>
  </si>
  <si>
    <t>García Orellana, Oscar</t>
  </si>
  <si>
    <t>Orellana</t>
  </si>
  <si>
    <t>Subdirector DIPRIDA</t>
  </si>
  <si>
    <t>Tesser Díaz, Enzo</t>
  </si>
  <si>
    <t>Enzo</t>
  </si>
  <si>
    <t>Tesser</t>
  </si>
  <si>
    <t>Jefe Depto. CN DIPRIDA</t>
  </si>
  <si>
    <t>Sepulveda Morales, Carlos</t>
  </si>
  <si>
    <t>Jefe Proyecto Escotillón DIPRIDA</t>
  </si>
  <si>
    <t>Pérez-Canto Navarro, Alfonso</t>
  </si>
  <si>
    <t>Pérez-Canto</t>
  </si>
  <si>
    <t>Navarro</t>
  </si>
  <si>
    <t>DIPRIDA</t>
  </si>
  <si>
    <t>Capitán de Corbeta</t>
  </si>
  <si>
    <t>Fisher Silva, Matías</t>
  </si>
  <si>
    <t>Fisher</t>
  </si>
  <si>
    <t>Peñaranda Pedemonte, Rodrigo</t>
  </si>
  <si>
    <t>Peñaranda</t>
  </si>
  <si>
    <t>Pedemonte</t>
  </si>
  <si>
    <t>Ex DIPRIDA</t>
  </si>
  <si>
    <t>Oxley Lizana, José Miguel</t>
  </si>
  <si>
    <t>Jefe Estado Mayor de la Segunda Zona Naval y Comandante de la Base Naval Talcahuano</t>
  </si>
  <si>
    <t>Pulleghini Flores, Alessandro</t>
  </si>
  <si>
    <t>Alessandro</t>
  </si>
  <si>
    <t>Pulleghini</t>
  </si>
  <si>
    <t>Edecán SEPRE</t>
  </si>
  <si>
    <t>Berg Aldoney, Pablo</t>
  </si>
  <si>
    <t>Berg</t>
  </si>
  <si>
    <t>Aldoney</t>
  </si>
  <si>
    <t>AYUDORALM</t>
  </si>
  <si>
    <t>Capitán de NavÍo IM</t>
  </si>
  <si>
    <t>Negrete Cristi, César</t>
  </si>
  <si>
    <t>Negrete</t>
  </si>
  <si>
    <t>Cristi</t>
  </si>
  <si>
    <t>Oficial Enlace Armada de las SSFFAA</t>
  </si>
  <si>
    <t>Marambio Taylor, Christian</t>
  </si>
  <si>
    <t>Marambio</t>
  </si>
  <si>
    <t>Taylor</t>
  </si>
  <si>
    <t>Edecan Presidente del Senado</t>
  </si>
  <si>
    <t>Opazo Rojas, Joaquín</t>
  </si>
  <si>
    <t xml:space="preserve">Joaquín </t>
  </si>
  <si>
    <t>Rojas</t>
  </si>
  <si>
    <t>Ayudor MINDEF</t>
  </si>
  <si>
    <t>González Otero, Luis</t>
  </si>
  <si>
    <t xml:space="preserve">Luis </t>
  </si>
  <si>
    <t>Otero</t>
  </si>
  <si>
    <t>Ayudor VA peruano</t>
  </si>
  <si>
    <t>Teniente Primero</t>
  </si>
  <si>
    <t>Ganga Marcadé, Nicolás</t>
  </si>
  <si>
    <t>Ganga</t>
  </si>
  <si>
    <t>Marcadé</t>
  </si>
  <si>
    <t>Ayudor SEZONA</t>
  </si>
  <si>
    <t>Jimenez San Martín, Ignacio</t>
  </si>
  <si>
    <t>Jimenez</t>
  </si>
  <si>
    <t>San Martín</t>
  </si>
  <si>
    <t>Ayudor SUBSECDEF</t>
  </si>
  <si>
    <t>Teniente Segundo</t>
  </si>
  <si>
    <t>Severino Salamanca, Daniela</t>
  </si>
  <si>
    <t>Severino</t>
  </si>
  <si>
    <t>Salamanca</t>
  </si>
  <si>
    <t>Ayudor FUERSUB</t>
  </si>
  <si>
    <t>Suboficial Mayor</t>
  </si>
  <si>
    <t>Ramos Santander, Guillermo</t>
  </si>
  <si>
    <t>Guillermo</t>
  </si>
  <si>
    <t>Condestable Mayor de la Armada</t>
  </si>
  <si>
    <t>Sepulveda Zenteno, Javier</t>
  </si>
  <si>
    <t>Zenteno</t>
  </si>
  <si>
    <t>Condestable Mayor de la Segunda Zona Naval</t>
  </si>
  <si>
    <t>Coronel (Av.)</t>
  </si>
  <si>
    <t>Rauwolf , Christian</t>
  </si>
  <si>
    <t>Rauwolf</t>
  </si>
  <si>
    <t>Agregado de Defensa de Alemania</t>
  </si>
  <si>
    <t>Capitán de Navio IM</t>
  </si>
  <si>
    <t>Brahm Teke, Cristian</t>
  </si>
  <si>
    <t xml:space="preserve">Brahm </t>
  </si>
  <si>
    <t>Teke</t>
  </si>
  <si>
    <t xml:space="preserve">Oficial enlace Agregados Navales </t>
  </si>
  <si>
    <t>Corvalán , Daniel</t>
  </si>
  <si>
    <t>Corvalán</t>
  </si>
  <si>
    <t>Agregado Naval de Argentina</t>
  </si>
  <si>
    <t>Tojal Do Vale, Carlos</t>
  </si>
  <si>
    <t>Tojal</t>
  </si>
  <si>
    <t>Do Vale</t>
  </si>
  <si>
    <t>Agregado de Defensa y Naval Brasil</t>
  </si>
  <si>
    <t>Desormeaux , Chantal</t>
  </si>
  <si>
    <t>Chantal</t>
  </si>
  <si>
    <t>Desormeaux</t>
  </si>
  <si>
    <t>Agregado de Defensa de Canadá</t>
  </si>
  <si>
    <t>Coronel Superior</t>
  </si>
  <si>
    <t>Wang , Hui</t>
  </si>
  <si>
    <t>Hui</t>
  </si>
  <si>
    <t>Wang</t>
  </si>
  <si>
    <t>Agregado de Defensa de la República Popular China.</t>
  </si>
  <si>
    <t>Chen , Chen</t>
  </si>
  <si>
    <t>Chen</t>
  </si>
  <si>
    <t>Agregado de Defensa Adjunto de la República Popular China.</t>
  </si>
  <si>
    <t>Araújo Fernández, Ranulfo</t>
  </si>
  <si>
    <t>Ranulfo</t>
  </si>
  <si>
    <t>Araújo</t>
  </si>
  <si>
    <t>Agregado Naval de Colombia</t>
  </si>
  <si>
    <t>Park , Byoung-Gun</t>
  </si>
  <si>
    <t>Byoung-Gun</t>
  </si>
  <si>
    <t>Park</t>
  </si>
  <si>
    <t>Agregado de Defensa de Corea</t>
  </si>
  <si>
    <t>Calderón Santamaría, Raul</t>
  </si>
  <si>
    <t>Calderón</t>
  </si>
  <si>
    <t>Santamaría</t>
  </si>
  <si>
    <t>Agregado Naval de Ecuador</t>
  </si>
  <si>
    <t>Ross , Tyler</t>
  </si>
  <si>
    <t>Tyler</t>
  </si>
  <si>
    <t>Agregado de Defensa y Naval de Estados Unidos</t>
  </si>
  <si>
    <t>Benavides Sierra, Juan Luis</t>
  </si>
  <si>
    <t>Juan Luis</t>
  </si>
  <si>
    <t>Benavides</t>
  </si>
  <si>
    <t>Sierra</t>
  </si>
  <si>
    <t>Agregado de Defensa, Militar, Naval y Aéreo de España</t>
  </si>
  <si>
    <t>Durbec , Numa</t>
  </si>
  <si>
    <t>Numa</t>
  </si>
  <si>
    <t>Durbec</t>
  </si>
  <si>
    <t>Agregado de Defensa y Naval de Francia</t>
  </si>
  <si>
    <t>Guy , Amit</t>
  </si>
  <si>
    <t>Amit</t>
  </si>
  <si>
    <t>Guy</t>
  </si>
  <si>
    <t>Agregado de Defensa de Israel</t>
  </si>
  <si>
    <t>Tanda , Francesco</t>
  </si>
  <si>
    <t>Francesco</t>
  </si>
  <si>
    <t>Tanda</t>
  </si>
  <si>
    <t>Agregado de Defensa de Italia</t>
  </si>
  <si>
    <t>Narita , Kengo</t>
  </si>
  <si>
    <t>Kengo</t>
  </si>
  <si>
    <t>Narita</t>
  </si>
  <si>
    <t>Agregado de Defensa de Japón</t>
  </si>
  <si>
    <t>Pasquel Meléndez, Victor</t>
  </si>
  <si>
    <t>Pasquel</t>
  </si>
  <si>
    <t>Meléndez</t>
  </si>
  <si>
    <t>Agregado Naval de México</t>
  </si>
  <si>
    <t>Álvarez Rivas, Jorge</t>
  </si>
  <si>
    <t>Agregado de Defensa Adjunto y Naval de Perú</t>
  </si>
  <si>
    <t>White , Jason</t>
  </si>
  <si>
    <t>Jason</t>
  </si>
  <si>
    <t>White</t>
  </si>
  <si>
    <t>Agregado de Defensa, Militar, Naval y Aéreo del Reino Unido</t>
  </si>
  <si>
    <t>Caballero , Carlos</t>
  </si>
  <si>
    <t xml:space="preserve">Carlos </t>
  </si>
  <si>
    <t>Caballero</t>
  </si>
  <si>
    <t>Agregado de Defensa República Dominicana</t>
  </si>
  <si>
    <t>Rusyaev , Nikolay</t>
  </si>
  <si>
    <t>Nikolay</t>
  </si>
  <si>
    <t>Rusyaev</t>
  </si>
  <si>
    <t>Agregado de Defensa Rusia</t>
  </si>
  <si>
    <t>Aydin , Yalcin</t>
  </si>
  <si>
    <t>Yalcin</t>
  </si>
  <si>
    <t>Aydin</t>
  </si>
  <si>
    <t>Agregado de Defensa, Militar, Naval y Aéreo de Turquía</t>
  </si>
  <si>
    <t>Matsiuk , Andrii</t>
  </si>
  <si>
    <t>Andrii</t>
  </si>
  <si>
    <t>Matsiuk</t>
  </si>
  <si>
    <t>Agregado de Defensa Ucrania</t>
  </si>
  <si>
    <t>Ghiorsi Lambruschini, Andrés</t>
  </si>
  <si>
    <t>Ghiorsi</t>
  </si>
  <si>
    <t>Lambruschini</t>
  </si>
  <si>
    <t>Agregado de Defensa de Uruguay</t>
  </si>
  <si>
    <t>Primer Coronel</t>
  </si>
  <si>
    <t>Thai Duong , Nguyen</t>
  </si>
  <si>
    <t>Nguyen</t>
  </si>
  <si>
    <t>Thai Duong</t>
  </si>
  <si>
    <t>Agregado de Defensa de Vietnam</t>
  </si>
  <si>
    <t>MANDOS SEZONA</t>
  </si>
  <si>
    <t>Capitán de Navío SN</t>
  </si>
  <si>
    <t>González Garfias, Cristián</t>
  </si>
  <si>
    <t xml:space="preserve">Cristián </t>
  </si>
  <si>
    <t xml:space="preserve">González   </t>
  </si>
  <si>
    <t>Garfias</t>
  </si>
  <si>
    <t>Director del Hospital Naval "Almirante Adriazola" de Talcahuano</t>
  </si>
  <si>
    <t>Álvarez Saavedra, Daniel</t>
  </si>
  <si>
    <t xml:space="preserve">Daniel </t>
  </si>
  <si>
    <t xml:space="preserve">Álvarez  </t>
  </si>
  <si>
    <t>Jefe Militar y Jefe Departamento de la Dirección de Recuperación de Unidades de la Armada en Talcahuano</t>
  </si>
  <si>
    <t>Ortega Gutiérrez, Roberto</t>
  </si>
  <si>
    <t xml:space="preserve">Roberto </t>
  </si>
  <si>
    <t xml:space="preserve">Ortega  </t>
  </si>
  <si>
    <t>Jefe del Arsenal Naval de Talcahuano</t>
  </si>
  <si>
    <t>González Toloza, Leonardo</t>
  </si>
  <si>
    <t xml:space="preserve"> González  </t>
  </si>
  <si>
    <t>Toloza</t>
  </si>
  <si>
    <t>Jefe del Estado Mayor de la Comandancia en Jefe de la Fuerza de Submarinos</t>
  </si>
  <si>
    <t>Agüero Miranda, Rodrigo</t>
  </si>
  <si>
    <t xml:space="preserve">Rodrigo </t>
  </si>
  <si>
    <t xml:space="preserve">Agüero </t>
  </si>
  <si>
    <t>Comandante de la FF-07 "Almirante Lynch"</t>
  </si>
  <si>
    <t>Abarca Mackay, Francisco</t>
  </si>
  <si>
    <t xml:space="preserve">Francisco </t>
  </si>
  <si>
    <t xml:space="preserve">Abarca </t>
  </si>
  <si>
    <t>Mackay</t>
  </si>
  <si>
    <t>Comandante del LSDH "Sargento Aldea"</t>
  </si>
  <si>
    <t>Benavente Zamorano, Osvaldo</t>
  </si>
  <si>
    <t xml:space="preserve">Osvaldo </t>
  </si>
  <si>
    <t xml:space="preserve">Benavente </t>
  </si>
  <si>
    <t>Jefe de la Inspectoría de la Dirección Ingeniería de Sistemas Navales en Talcahuano</t>
  </si>
  <si>
    <t>Capitán de Navío LT</t>
  </si>
  <si>
    <t>Aninat González, Arturo</t>
  </si>
  <si>
    <t xml:space="preserve">Arturo </t>
  </si>
  <si>
    <t xml:space="preserve">Aninat </t>
  </si>
  <si>
    <t>Gobernador Marítimo de Talcahuano</t>
  </si>
  <si>
    <t>Gorigoitía Ortiz, Felipe</t>
  </si>
  <si>
    <t xml:space="preserve">Felipe </t>
  </si>
  <si>
    <t xml:space="preserve">Gorigoitía </t>
  </si>
  <si>
    <t>Ortiz</t>
  </si>
  <si>
    <t>Director de la Escuela de Grumetes "A.N.C."</t>
  </si>
  <si>
    <t>Capitán de Navío IM</t>
  </si>
  <si>
    <t>Nova Cabrera, Pedro</t>
  </si>
  <si>
    <t xml:space="preserve">Pedro </t>
  </si>
  <si>
    <t xml:space="preserve">Nova </t>
  </si>
  <si>
    <t xml:space="preserve">Comandante de la Base IM "Tumbes" </t>
  </si>
  <si>
    <t>Capitán de Fragata RL</t>
  </si>
  <si>
    <t>Molina González, Juan Carlos</t>
  </si>
  <si>
    <t xml:space="preserve">Juan Carlos </t>
  </si>
  <si>
    <t xml:space="preserve">Molina </t>
  </si>
  <si>
    <t xml:space="preserve">Jefe del Servicio Religioso de la Segunda Zona Naval </t>
  </si>
  <si>
    <t>Ibarra Orchard, Jorge</t>
  </si>
  <si>
    <t xml:space="preserve"> Ibarra </t>
  </si>
  <si>
    <t>Orchard</t>
  </si>
  <si>
    <t>Comandante del SS "O'Higgins"</t>
  </si>
  <si>
    <t>González Escobar, Ramón</t>
  </si>
  <si>
    <t xml:space="preserve">Ramón </t>
  </si>
  <si>
    <t xml:space="preserve">González  </t>
  </si>
  <si>
    <t xml:space="preserve">Comandante de la FF-06 "Almirante Condell" </t>
  </si>
  <si>
    <t>Zañartu</t>
  </si>
  <si>
    <t>Jacob</t>
  </si>
  <si>
    <t>Jefe Estado Mayor Jefatura Defensa Nacional Provincia Arauco Bio Bío</t>
  </si>
  <si>
    <t>Brito Carvajal, Juan Pablo</t>
  </si>
  <si>
    <t xml:space="preserve">Juan Pablo </t>
  </si>
  <si>
    <t xml:space="preserve">Brito </t>
  </si>
  <si>
    <t>Segundo Comandante de la Base Naval Talcahuano</t>
  </si>
  <si>
    <t>López Ortiz, Esteban</t>
  </si>
  <si>
    <t xml:space="preserve">Esteban </t>
  </si>
  <si>
    <t xml:space="preserve">López </t>
  </si>
  <si>
    <t>Comandante de la FF-18 "Almirante Riveros"</t>
  </si>
  <si>
    <t>González Smith, Andrés</t>
  </si>
  <si>
    <t xml:space="preserve">González </t>
  </si>
  <si>
    <t>Smith</t>
  </si>
  <si>
    <t>Comandante del SS "Carrera"</t>
  </si>
  <si>
    <t>Pino Domínguez, Carlos</t>
  </si>
  <si>
    <t xml:space="preserve">Pino </t>
  </si>
  <si>
    <t>Domínguez</t>
  </si>
  <si>
    <t>Comandante del ATF "Janequeo"</t>
  </si>
  <si>
    <t>Capitán de Fragata AB</t>
  </si>
  <si>
    <t>Ojeda Burgos, Luis</t>
  </si>
  <si>
    <t xml:space="preserve">Ojeda </t>
  </si>
  <si>
    <t>Jefe del Centro de Abastecimiento Talcahuano</t>
  </si>
  <si>
    <t>Capitán de Fragata OM</t>
  </si>
  <si>
    <t>Herrera Stuardo, Roberto</t>
  </si>
  <si>
    <t xml:space="preserve">Herrera </t>
  </si>
  <si>
    <t>Stuardo</t>
  </si>
  <si>
    <t xml:space="preserve">Jefe del Departamento de Obras y Construcciones Segunda Zona Naval </t>
  </si>
  <si>
    <t>Capitán de Fragata OM IM</t>
  </si>
  <si>
    <t>Cajales Castro, Agustín</t>
  </si>
  <si>
    <t xml:space="preserve">Agustín </t>
  </si>
  <si>
    <t xml:space="preserve">Cajales  </t>
  </si>
  <si>
    <t>Jefe de la Guarnición IM "Orden y Seguridad" Talcahuano</t>
  </si>
  <si>
    <t>Capitán de Fragata SD</t>
  </si>
  <si>
    <t>Muga Vallejos, Cristóbal</t>
  </si>
  <si>
    <t xml:space="preserve">Cristóbal </t>
  </si>
  <si>
    <t xml:space="preserve">Muga </t>
  </si>
  <si>
    <t>Vallejos</t>
  </si>
  <si>
    <t xml:space="preserve">Director de la Central Odontológica de la Segunda Zona Naval </t>
  </si>
  <si>
    <t>Ugarte Benavides, Pablo</t>
  </si>
  <si>
    <t xml:space="preserve">Pablo </t>
  </si>
  <si>
    <t xml:space="preserve">Ugarte </t>
  </si>
  <si>
    <t>Comandante OPV "Piloto Pardo"</t>
  </si>
  <si>
    <t>Álvarez Mc-Lean, Gonzalo</t>
  </si>
  <si>
    <t xml:space="preserve">Gonzalo </t>
  </si>
  <si>
    <t xml:space="preserve">Álvarez </t>
  </si>
  <si>
    <t xml:space="preserve">Mc-Lean </t>
  </si>
  <si>
    <t>Comandante del SS "Thomson"</t>
  </si>
  <si>
    <t>Otazo Casanova, Germán</t>
  </si>
  <si>
    <t xml:space="preserve">Germán </t>
  </si>
  <si>
    <t xml:space="preserve">Otazo </t>
  </si>
  <si>
    <t>Casanova</t>
  </si>
  <si>
    <t>Comandante del SS "Simpson"</t>
  </si>
  <si>
    <t>Cabrera Erwenne, Jonathan</t>
  </si>
  <si>
    <t xml:space="preserve">Jonathan </t>
  </si>
  <si>
    <t xml:space="preserve">Cabrera  </t>
  </si>
  <si>
    <t>Erwenne</t>
  </si>
  <si>
    <t>Director de la Escuela de Submarinos "Almirante Allard"</t>
  </si>
  <si>
    <t>Kruuse Jarpa, Cristóbal</t>
  </si>
  <si>
    <t xml:space="preserve">Kruuse </t>
  </si>
  <si>
    <t>Comandante del Grupo Aeronaval de Talcahuano</t>
  </si>
  <si>
    <t>Capitán de Fragata IM</t>
  </si>
  <si>
    <t>Ibacache Morales, Franco</t>
  </si>
  <si>
    <t>Franco</t>
  </si>
  <si>
    <t xml:space="preserve"> Ibacache  </t>
  </si>
  <si>
    <t>Comandante del Batallón IM N° 31 "Aldea"</t>
  </si>
  <si>
    <t>Gaete Sepúlveda, Roberto</t>
  </si>
  <si>
    <t xml:space="preserve">Gaete </t>
  </si>
  <si>
    <t>Comandante de la Base de Submarinos</t>
  </si>
  <si>
    <t>Ochoa Quiñones, Nicolás</t>
  </si>
  <si>
    <t xml:space="preserve">Nicolás </t>
  </si>
  <si>
    <t xml:space="preserve">Ochoa </t>
  </si>
  <si>
    <t>Jefe del Centro de Entrenamiento Básico del Cuerpo IM</t>
  </si>
  <si>
    <t>Carvajal Baeza, Mauricio</t>
  </si>
  <si>
    <t xml:space="preserve"> Carvajal </t>
  </si>
  <si>
    <t>Baeza</t>
  </si>
  <si>
    <t>Jefe del Departamento de Bienestar Social Talcahuano</t>
  </si>
  <si>
    <t>Sampedro Covarrubias, Álvaro</t>
  </si>
  <si>
    <t xml:space="preserve">Álvaro </t>
  </si>
  <si>
    <t xml:space="preserve">Sampedro </t>
  </si>
  <si>
    <t>Covarrubias</t>
  </si>
  <si>
    <t>Comandante de la LST "Chacabuco"</t>
  </si>
  <si>
    <t>Beytía de la Maza, Raimundo</t>
  </si>
  <si>
    <t xml:space="preserve">Raimundo </t>
  </si>
  <si>
    <t xml:space="preserve">Beytía </t>
  </si>
  <si>
    <t>de la Maza</t>
  </si>
  <si>
    <t>Comandante de la LST "Rancagua"</t>
  </si>
  <si>
    <t>Boré Bacigaluppi, Gabriel</t>
  </si>
  <si>
    <t xml:space="preserve">Gabriel </t>
  </si>
  <si>
    <t xml:space="preserve">Boré </t>
  </si>
  <si>
    <t>Bacigaluppi</t>
  </si>
  <si>
    <t>Jefe de Estado Mayor del Comando Anfibio y de Transportes Navales</t>
  </si>
  <si>
    <t>Chassin-Trubert Correa, Andre</t>
  </si>
  <si>
    <t xml:space="preserve">Andre </t>
  </si>
  <si>
    <t xml:space="preserve">Chassin-Trubert </t>
  </si>
  <si>
    <t xml:space="preserve">Jefe ITO Construcciones </t>
  </si>
  <si>
    <t>Putz Sanhueza, Cristhian</t>
  </si>
  <si>
    <t xml:space="preserve">Cristhian </t>
  </si>
  <si>
    <t xml:space="preserve">Putz </t>
  </si>
  <si>
    <t>Comandante de la ATF "Galvarino"</t>
  </si>
  <si>
    <t>Morales Valenzuela, Eduardo</t>
  </si>
  <si>
    <t xml:space="preserve">Eduardo </t>
  </si>
  <si>
    <t xml:space="preserve">Morales  </t>
  </si>
  <si>
    <t>Jefe del Subcentro de Telecomunicaciones Navales Talcahuano</t>
  </si>
  <si>
    <t>Capitán de Corbeta LT</t>
  </si>
  <si>
    <t>Ovalle Lagos, Camila</t>
  </si>
  <si>
    <t xml:space="preserve"> Ovalle </t>
  </si>
  <si>
    <t>Capitán de Puerto de Talcahuano</t>
  </si>
  <si>
    <t>PREMIADOS</t>
  </si>
  <si>
    <t>Riquelme Galaz, Oscar</t>
  </si>
  <si>
    <t xml:space="preserve"> Riquelme </t>
  </si>
  <si>
    <t>Galaz</t>
  </si>
  <si>
    <t>Jefe de Buque</t>
  </si>
  <si>
    <t>Solari Gallardo, Francisco</t>
  </si>
  <si>
    <t xml:space="preserve">Solari  </t>
  </si>
  <si>
    <t>Gallardo</t>
  </si>
  <si>
    <t xml:space="preserve">Carenador </t>
  </si>
  <si>
    <t>Reyes López, José</t>
  </si>
  <si>
    <t xml:space="preserve">José </t>
  </si>
  <si>
    <t xml:space="preserve">Reyes </t>
  </si>
  <si>
    <t>Mecánico de Sistemas de Cañerías</t>
  </si>
  <si>
    <t>Aravena Obreque, Jaime</t>
  </si>
  <si>
    <t xml:space="preserve">Jaime </t>
  </si>
  <si>
    <t xml:space="preserve">Aravena  </t>
  </si>
  <si>
    <t>Obreque</t>
  </si>
  <si>
    <t xml:space="preserve">Electricista Generación y Distribución </t>
  </si>
  <si>
    <t>Gutiérrez Vega, Iván</t>
  </si>
  <si>
    <t xml:space="preserve">Gutiérrez </t>
  </si>
  <si>
    <t>Vega</t>
  </si>
  <si>
    <t>Leigton Palma, John</t>
  </si>
  <si>
    <t xml:space="preserve">John </t>
  </si>
  <si>
    <t xml:space="preserve">Leigton  </t>
  </si>
  <si>
    <t>Palma</t>
  </si>
  <si>
    <t>Supervisor Primera Línea</t>
  </si>
  <si>
    <t>Monjes Parra, Mario</t>
  </si>
  <si>
    <t xml:space="preserve">Mario </t>
  </si>
  <si>
    <t xml:space="preserve">Monjes </t>
  </si>
  <si>
    <t>Alarcón Segura, Francisca</t>
  </si>
  <si>
    <t xml:space="preserve"> Alarcón </t>
  </si>
  <si>
    <t>Segura</t>
  </si>
  <si>
    <t>Comprador Internacional</t>
  </si>
  <si>
    <t xml:space="preserve">INVITADOS ASMAR </t>
  </si>
  <si>
    <t>Krakman , Karen</t>
  </si>
  <si>
    <t>Karen</t>
  </si>
  <si>
    <t>Krakman</t>
  </si>
  <si>
    <t>Consul Países Bajos Concepción</t>
  </si>
  <si>
    <t>Fisher , Alvaro</t>
  </si>
  <si>
    <t>Presidente del Consejo Nacional de Innovación para el Desarrollo (CNID)</t>
  </si>
  <si>
    <t>Fuster Roa, Marcelo</t>
  </si>
  <si>
    <t>Fuster</t>
  </si>
  <si>
    <t>Roa</t>
  </si>
  <si>
    <t>Gerente General Corporativo ASIMET A.G. - Comité CORFO</t>
  </si>
  <si>
    <t>García , Fernando</t>
  </si>
  <si>
    <t>Presidente ASIMET A.G.</t>
  </si>
  <si>
    <t>Alcazar , Gustavo</t>
  </si>
  <si>
    <t>Alcazar</t>
  </si>
  <si>
    <t>Presidente Comité Regional ASIMET BioBio</t>
  </si>
  <si>
    <t>Bilbao , Alejandra</t>
  </si>
  <si>
    <t>Alejandra</t>
  </si>
  <si>
    <t>Bilbao</t>
  </si>
  <si>
    <t>Jefa Servicios Gremiales ASIMET</t>
  </si>
  <si>
    <t>Grandela Murasso, Andrés</t>
  </si>
  <si>
    <t>Grandela</t>
  </si>
  <si>
    <t>Murasso</t>
  </si>
  <si>
    <t>Gerente Zonal Banco Edwards</t>
  </si>
  <si>
    <t>Donoso Smith, Camilo</t>
  </si>
  <si>
    <t>Camilo</t>
  </si>
  <si>
    <t>Gerente Sucursal Las Salinas de Banco Edwards</t>
  </si>
  <si>
    <t>Lagos Olavarrieta, Julio</t>
  </si>
  <si>
    <t>Olavarrieta</t>
  </si>
  <si>
    <t>Gerente Area Banca Privada y Red Edwards</t>
  </si>
  <si>
    <t>Landaeta Torres, Marisol</t>
  </si>
  <si>
    <t>Marisol</t>
  </si>
  <si>
    <t>Landaeta</t>
  </si>
  <si>
    <t>Gerente de Oficina Banco Edwards Base Naval Talcahuano</t>
  </si>
  <si>
    <t>Heusser Vitali, Fernando</t>
  </si>
  <si>
    <t>Heusser</t>
  </si>
  <si>
    <t>Vitali</t>
  </si>
  <si>
    <t>Head of Large Corporates GTB. Banco Santander</t>
  </si>
  <si>
    <t>Schuster Bentjerodt, María Soledad</t>
  </si>
  <si>
    <t>Schuster</t>
  </si>
  <si>
    <t>Bentjerodt</t>
  </si>
  <si>
    <t>Associate Sales Cash &amp; Lending, Santander Global Transaction Banking. Banco Santander</t>
  </si>
  <si>
    <t>Dalmazzo Bonet, Alberto</t>
  </si>
  <si>
    <t xml:space="preserve">Alberto </t>
  </si>
  <si>
    <t>Dalmazzo</t>
  </si>
  <si>
    <t>Bonet</t>
  </si>
  <si>
    <t>Gerente Negocios Moneda Extranjera Banco de Chile</t>
  </si>
  <si>
    <t>Bau Díaz, Carlos</t>
  </si>
  <si>
    <t>Bau</t>
  </si>
  <si>
    <t>Sub Gerente Negocios Moneda Extranjera Banco de Chile</t>
  </si>
  <si>
    <t>Arellano Salas, Hernán</t>
  </si>
  <si>
    <t>Hernán</t>
  </si>
  <si>
    <t>Arellano</t>
  </si>
  <si>
    <t>Gerente División Corporativa Banco Chile</t>
  </si>
  <si>
    <t>Trucco Argomedo, Andrés</t>
  </si>
  <si>
    <t>Trucco</t>
  </si>
  <si>
    <t>Argomedo</t>
  </si>
  <si>
    <t>Gerente Corporaciones &amp; DCM Finanzas Corporativas Banco BICE</t>
  </si>
  <si>
    <t>Prieto Fernández de Castro, Gregorio</t>
  </si>
  <si>
    <t>Gregorio</t>
  </si>
  <si>
    <t>Prieto</t>
  </si>
  <si>
    <t>Fernández de Castro</t>
  </si>
  <si>
    <t>Gerente de Altos Patrimonios Banco BICE</t>
  </si>
  <si>
    <t>Matte Larraín, Bernardo</t>
  </si>
  <si>
    <t>Matte</t>
  </si>
  <si>
    <t>Vicepresidente Banco BICE</t>
  </si>
  <si>
    <t>Villalta Díaz, Marcelo</t>
  </si>
  <si>
    <t>Villalta</t>
  </si>
  <si>
    <t>Subgerente GGEE e Instituciones Banco ITAÚ</t>
  </si>
  <si>
    <t>Valverde Henriquez, Cristian</t>
  </si>
  <si>
    <t>Valverde</t>
  </si>
  <si>
    <t>Henriquez</t>
  </si>
  <si>
    <t>Ejecutivo GGEE e Instituciones Banco ITAÚ</t>
  </si>
  <si>
    <t>Cáceres Vargas, Eugenio</t>
  </si>
  <si>
    <t>Cáceres</t>
  </si>
  <si>
    <t>Gerente Regional Grandes Empresas Banco BCI</t>
  </si>
  <si>
    <t>Martínez Reinares, Cristian</t>
  </si>
  <si>
    <t>Reinares</t>
  </si>
  <si>
    <t>Subgerente Banco Mayorista Valparaíso Banco BCI</t>
  </si>
  <si>
    <t>Manzor Manzor, Patricia</t>
  </si>
  <si>
    <t>Manzor</t>
  </si>
  <si>
    <t>Subgerente Instituciones y Empresas Públicas BancoEstado</t>
  </si>
  <si>
    <t>Durán Cabezas, David</t>
  </si>
  <si>
    <t>Durán</t>
  </si>
  <si>
    <t>Cabezas</t>
  </si>
  <si>
    <t>Gerente Banca Institucional Banco Estado</t>
  </si>
  <si>
    <t>FISCALIA</t>
  </si>
  <si>
    <t>Muñoz , Felipe</t>
  </si>
  <si>
    <t>Jefe División Jurídica SUBSECFA</t>
  </si>
  <si>
    <t>Coronado , Ricardo</t>
  </si>
  <si>
    <t>Jefe División Jurídica SUBSECDEF</t>
  </si>
  <si>
    <t>Jaque , Marcos</t>
  </si>
  <si>
    <t>Jaque</t>
  </si>
  <si>
    <t>Jefe División Asuntos Institucionales SUBSECFA</t>
  </si>
  <si>
    <t>ADUANA</t>
  </si>
  <si>
    <t>Méndez Seguel, Francisco</t>
  </si>
  <si>
    <t>Méndez</t>
  </si>
  <si>
    <t>Seguel</t>
  </si>
  <si>
    <t>Jefe Departamento de Fiscalización - Aduana</t>
  </si>
  <si>
    <t>Eade Silva, Cristian</t>
  </si>
  <si>
    <t>Eade</t>
  </si>
  <si>
    <t>Fiscalizador - Aduanas</t>
  </si>
  <si>
    <t>Martínez Alarcón, Mario</t>
  </si>
  <si>
    <t>Alarcón</t>
  </si>
  <si>
    <t>SEGUROS</t>
  </si>
  <si>
    <t>Foley , Peter</t>
  </si>
  <si>
    <t>Foley</t>
  </si>
  <si>
    <t>Gerente General Lockton Seguros</t>
  </si>
  <si>
    <t>Ramirez M., Ivan</t>
  </si>
  <si>
    <t>Ivan</t>
  </si>
  <si>
    <t>M.</t>
  </si>
  <si>
    <t>Ejecutivo de Cuenta Lockton Seguros</t>
  </si>
  <si>
    <t>Martínez Fernández, Patricio</t>
  </si>
  <si>
    <t>Gerente General Mutual de Seguros de Chile</t>
  </si>
  <si>
    <t>Osorio Bañados, Jorge</t>
  </si>
  <si>
    <t>Bañados</t>
  </si>
  <si>
    <t>Gerente Técnico de la Mutual de Seguros de Chile</t>
  </si>
  <si>
    <t>AUDITORIA</t>
  </si>
  <si>
    <t>González López, René</t>
  </si>
  <si>
    <t>René</t>
  </si>
  <si>
    <t>Socio Lider Oficinas Regionales en Deloitte Chile</t>
  </si>
  <si>
    <t>Osorio Rodriguez, María Paz</t>
  </si>
  <si>
    <t>Senior Manager Deloitte Concepción</t>
  </si>
  <si>
    <t>Bagnara , Manuel</t>
  </si>
  <si>
    <t>Bagnara</t>
  </si>
  <si>
    <t>Gerente General en ARMASUR A.G. - Comité CORFO</t>
  </si>
  <si>
    <t>Tejada Curti, Ricardo</t>
  </si>
  <si>
    <t>Tejada</t>
  </si>
  <si>
    <t>Curti</t>
  </si>
  <si>
    <t>Gerente Asociación Nacional de Armadores A.G.</t>
  </si>
  <si>
    <t>Ladrix Osses, Carlos Alberto</t>
  </si>
  <si>
    <t>Carlos Alberto</t>
  </si>
  <si>
    <t>Ladrix</t>
  </si>
  <si>
    <t>Osses</t>
  </si>
  <si>
    <t>Subdirector de Investigación Aplicada de la ANID</t>
  </si>
  <si>
    <t>Lamoliatte , Andrés</t>
  </si>
  <si>
    <t>Lamoliatte</t>
  </si>
  <si>
    <t>Ministerio de RR.EE. Comité CORFO</t>
  </si>
  <si>
    <t>Rey Sommer, Patricio</t>
  </si>
  <si>
    <t>Rey</t>
  </si>
  <si>
    <t>Sommer</t>
  </si>
  <si>
    <t>Presidente METRO</t>
  </si>
  <si>
    <t>Bravo Busta, Felipe</t>
  </si>
  <si>
    <t>Bravo</t>
  </si>
  <si>
    <t>Busta</t>
  </si>
  <si>
    <t>Gerente General METRO</t>
  </si>
  <si>
    <t>Terrazas Michell, Rodrigo</t>
  </si>
  <si>
    <t>Terrazas</t>
  </si>
  <si>
    <t>Michell</t>
  </si>
  <si>
    <t>Gerente de Ingeniería METRO</t>
  </si>
  <si>
    <t>Claude Bourdel, Jorge</t>
  </si>
  <si>
    <t>Claude</t>
  </si>
  <si>
    <t>Bourdel</t>
  </si>
  <si>
    <t>Presidente Directorio EFE</t>
  </si>
  <si>
    <t>Sabag Villalobos, Jorge</t>
  </si>
  <si>
    <t>Sabag</t>
  </si>
  <si>
    <t>Presidente Directorio EFE Sur</t>
  </si>
  <si>
    <t>Solorza Estevez, José</t>
  </si>
  <si>
    <t>Solorza</t>
  </si>
  <si>
    <t>Estevez</t>
  </si>
  <si>
    <t>Gerente General EFE</t>
  </si>
  <si>
    <t>Urzúa , Miguel</t>
  </si>
  <si>
    <t>Urzúa</t>
  </si>
  <si>
    <t>Gerente de Infraestructura EFE</t>
  </si>
  <si>
    <t>Salas , Juan Pablo</t>
  </si>
  <si>
    <t>Gerente General Astillero ASCON Socio fundador</t>
  </si>
  <si>
    <t>Aravena , Manuel</t>
  </si>
  <si>
    <t>Aravena</t>
  </si>
  <si>
    <t xml:space="preserve">Socio fundador Astillero ASCON </t>
  </si>
  <si>
    <t>Gavilán Ortiz, Milka</t>
  </si>
  <si>
    <t>Milka</t>
  </si>
  <si>
    <t>Gavilán</t>
  </si>
  <si>
    <t>Comité CORFO - Presidenta Sindicato ASMAR</t>
  </si>
  <si>
    <t>Fuica Berger, Andrés</t>
  </si>
  <si>
    <t>Fuica</t>
  </si>
  <si>
    <t>Berger</t>
  </si>
  <si>
    <t>Jefe de Gabinete - Vicepresidente Ejecutivo CORFO</t>
  </si>
  <si>
    <t>Cifuentes Espinoza, Héctor</t>
  </si>
  <si>
    <t>Asesor Técnico Comité CORFO</t>
  </si>
  <si>
    <t>Lema Medina, Francisca</t>
  </si>
  <si>
    <t>Lema</t>
  </si>
  <si>
    <t>Oficial Enlace de Comité CORFO</t>
  </si>
  <si>
    <t>Pacheco , Jorge</t>
  </si>
  <si>
    <t>COMPAS MARINE</t>
  </si>
  <si>
    <t>Vargas Covarrubias, Carlos</t>
  </si>
  <si>
    <t>Gerente Corporativo COMPAS MARINE</t>
  </si>
  <si>
    <t>Teniente segundo RN</t>
  </si>
  <si>
    <t>Pía</t>
  </si>
  <si>
    <t>Villanueva</t>
  </si>
  <si>
    <t>Bianchini</t>
  </si>
  <si>
    <t>Cientifica Universidad de Chile</t>
  </si>
  <si>
    <t>Siebert Cristi, Luis Ernesto</t>
  </si>
  <si>
    <t>Luis Ernesto</t>
  </si>
  <si>
    <t>Siebert</t>
  </si>
  <si>
    <t>Ex Gerente de Construcción Naval (T)</t>
  </si>
  <si>
    <t>Roepke Riveros, Reinaldo</t>
  </si>
  <si>
    <t>Reinaldo</t>
  </si>
  <si>
    <t>Roepke</t>
  </si>
  <si>
    <t>Riveros</t>
  </si>
  <si>
    <t>Ex Gerente Comercial Mercantes ASMAR(T)</t>
  </si>
  <si>
    <t>Buzeta Espinosa, Jorge</t>
  </si>
  <si>
    <t>Buzeta</t>
  </si>
  <si>
    <t>Ex Gerente Comercial Armada ASMAR(T)</t>
  </si>
  <si>
    <t>Varela Jenschke, Joaquin</t>
  </si>
  <si>
    <t xml:space="preserve">Varela </t>
  </si>
  <si>
    <t>Jenschke</t>
  </si>
  <si>
    <t>Ex Gerente Corporativo de Construcción Naval</t>
  </si>
  <si>
    <t>Silva , Rodrigo</t>
  </si>
  <si>
    <t>Gerente General COOPEUCH</t>
  </si>
  <si>
    <t>Negrete , Oliver</t>
  </si>
  <si>
    <t>Oliver</t>
  </si>
  <si>
    <t>Gerente Comercial COOPEUCH</t>
  </si>
  <si>
    <t>Roa , Oscar</t>
  </si>
  <si>
    <t>COOPEUCH</t>
  </si>
  <si>
    <t>González , Carlos</t>
  </si>
  <si>
    <t>Ramirez Cáceres, Mario</t>
  </si>
  <si>
    <t>Cifuentes Monsalve, Luis</t>
  </si>
  <si>
    <t>Monsalve</t>
  </si>
  <si>
    <t>Gerente Regional Región del BioBio COOPEUCH</t>
  </si>
  <si>
    <t>Moncada Mansilla, Carlos</t>
  </si>
  <si>
    <t>Moncada</t>
  </si>
  <si>
    <t>Mansilla</t>
  </si>
  <si>
    <t>Agente COOPEUCH Oficina Base Naval Talcahuano</t>
  </si>
  <si>
    <t>Concha Strappa, Diego</t>
  </si>
  <si>
    <t>Strappa</t>
  </si>
  <si>
    <t>Gerente de Sucursales COOPEUCH</t>
  </si>
  <si>
    <t>Zavala Mujica, Tomás</t>
  </si>
  <si>
    <t>Gerente General Caja Los Andes</t>
  </si>
  <si>
    <t>Caro Jara, Marco Antonio</t>
  </si>
  <si>
    <t>Marco Antonio</t>
  </si>
  <si>
    <t>Caro</t>
  </si>
  <si>
    <t>Jara</t>
  </si>
  <si>
    <t>Gerente de Clientes y Empresas Caja Los Andes</t>
  </si>
  <si>
    <t>Vera Villarroel, Fernando</t>
  </si>
  <si>
    <t xml:space="preserve">Vera </t>
  </si>
  <si>
    <t>Villarroel</t>
  </si>
  <si>
    <t>Segment Manager FAOS Caja Los Andes</t>
  </si>
  <si>
    <t>Soffia Salsilli, Francisco</t>
  </si>
  <si>
    <t>Soffia</t>
  </si>
  <si>
    <t>Salsilli</t>
  </si>
  <si>
    <t>Segment Manager Caja Los Andes</t>
  </si>
  <si>
    <t>Cardoen Cornejo, Carlos</t>
  </si>
  <si>
    <t>Cardoen</t>
  </si>
  <si>
    <t>Invitado Especial Director ASMAR</t>
  </si>
  <si>
    <t>Cardoen Aylwin, Rodrigo</t>
  </si>
  <si>
    <t>Aylwin</t>
  </si>
  <si>
    <t>Gantes Young, Cristian</t>
  </si>
  <si>
    <t>Gantes</t>
  </si>
  <si>
    <t>Young</t>
  </si>
  <si>
    <t>Rojas Pimentel, Jaime</t>
  </si>
  <si>
    <t>Capitán de Navío RN</t>
  </si>
  <si>
    <t>Tellez Román, Gonzalo</t>
  </si>
  <si>
    <t>Tellez</t>
  </si>
  <si>
    <t>Román</t>
  </si>
  <si>
    <t>Manzano Soko, Oscar</t>
  </si>
  <si>
    <t>Soko</t>
  </si>
  <si>
    <t>Fernández Morales, José Luis</t>
  </si>
  <si>
    <t>José Luis</t>
  </si>
  <si>
    <t>Piñeyro Guarda, Alejandro</t>
  </si>
  <si>
    <t>Piñeyro</t>
  </si>
  <si>
    <t>Guarda</t>
  </si>
  <si>
    <t>Cabezas Villablanca, Gastón</t>
  </si>
  <si>
    <t>Davanzo Hyslop, Jorge</t>
  </si>
  <si>
    <t>Davanzo</t>
  </si>
  <si>
    <t>Hyslop</t>
  </si>
  <si>
    <t>Capitán de Navío SD RN</t>
  </si>
  <si>
    <t>Corvalán Constantino, Juan Antonio</t>
  </si>
  <si>
    <t>Juan Antonio</t>
  </si>
  <si>
    <t>Constantino</t>
  </si>
  <si>
    <t>Wilson Lazo, Fernando</t>
  </si>
  <si>
    <t>Wilson</t>
  </si>
  <si>
    <t>Lazo</t>
  </si>
  <si>
    <t>Stone Roosevelt, Martin</t>
  </si>
  <si>
    <t>Stone</t>
  </si>
  <si>
    <t>Roosevelt</t>
  </si>
  <si>
    <t>Acevedo Donoso, Francisco</t>
  </si>
  <si>
    <t>Lillo Echeverría, Claudia</t>
  </si>
  <si>
    <t>Lillo</t>
  </si>
  <si>
    <t>Echeverría</t>
  </si>
  <si>
    <t>Vergara , Cristian</t>
  </si>
  <si>
    <t>Gerente General ESSBIO</t>
  </si>
  <si>
    <t>Schmohl , Peter</t>
  </si>
  <si>
    <t>Gerente Zonal ESSBIO</t>
  </si>
  <si>
    <t>Fernández , David</t>
  </si>
  <si>
    <t xml:space="preserve">David </t>
  </si>
  <si>
    <t>Gerente General CIDERE</t>
  </si>
  <si>
    <t>Donoso , Nelson</t>
  </si>
  <si>
    <t xml:space="preserve">Nelson </t>
  </si>
  <si>
    <t>Presidente IRADE</t>
  </si>
  <si>
    <t>Roa Astete, Bernardita</t>
  </si>
  <si>
    <t xml:space="preserve">Bernardita </t>
  </si>
  <si>
    <t>Astete</t>
  </si>
  <si>
    <t>Gerente General IRADE</t>
  </si>
  <si>
    <t>Skalweit , Rodolfo</t>
  </si>
  <si>
    <t xml:space="preserve">Rodolfo </t>
  </si>
  <si>
    <t>Skalweit</t>
  </si>
  <si>
    <t>Director Sociedad Inversiones Portuarias - CPT</t>
  </si>
  <si>
    <t>Cornelius , Carlos</t>
  </si>
  <si>
    <t>Cornelius</t>
  </si>
  <si>
    <t>CEO grupo empresas CPT</t>
  </si>
  <si>
    <t>Kummerlin Gottschald, Thomas</t>
  </si>
  <si>
    <t>Kummerlin</t>
  </si>
  <si>
    <t>Gottschald</t>
  </si>
  <si>
    <t>Gerente Reloncavi</t>
  </si>
  <si>
    <t>Gutierrez , Carlos</t>
  </si>
  <si>
    <t>Gutierrez</t>
  </si>
  <si>
    <t xml:space="preserve">Gerente Agental Ltda.  </t>
  </si>
  <si>
    <t>Ocares Brantes, José</t>
  </si>
  <si>
    <t>Ocares</t>
  </si>
  <si>
    <t>Brantes</t>
  </si>
  <si>
    <t>Gerente Operaciones Pesca BLUMAR</t>
  </si>
  <si>
    <t>Florás Guerraty, Alejandro</t>
  </si>
  <si>
    <t>Florás</t>
  </si>
  <si>
    <t>Guerraty</t>
  </si>
  <si>
    <t>Gerente Regional Camanchaca Pesca Sur S.A.</t>
  </si>
  <si>
    <t>Meonne Muñoz, Marcel</t>
  </si>
  <si>
    <t>Gerente General PacificBlu</t>
  </si>
  <si>
    <t>Salazar Zencovich, Claudio</t>
  </si>
  <si>
    <t xml:space="preserve">Claudio </t>
  </si>
  <si>
    <t>Zencovich</t>
  </si>
  <si>
    <t>Gerente General Alimentos Marinos S.A. ALIMAR</t>
  </si>
  <si>
    <t>Daroch Coelo, Andrés</t>
  </si>
  <si>
    <t>Daroch</t>
  </si>
  <si>
    <t>Coelo</t>
  </si>
  <si>
    <t>Gerente General Foodcorp Chile S.A.</t>
  </si>
  <si>
    <t>Ayala Burgemeister, Fernando</t>
  </si>
  <si>
    <t xml:space="preserve">Fernando </t>
  </si>
  <si>
    <t>Ayala</t>
  </si>
  <si>
    <t>Burgemeister</t>
  </si>
  <si>
    <t>Gerente de Negocios Seafood Orizon S.A.</t>
  </si>
  <si>
    <t>Silva Morales, Fernando</t>
  </si>
  <si>
    <t>Gerente de Operaciones Sociedad Pesquera Landes</t>
  </si>
  <si>
    <t>Gundelach Hernández, Simón</t>
  </si>
  <si>
    <t xml:space="preserve">Simón </t>
  </si>
  <si>
    <t>Gundelach</t>
  </si>
  <si>
    <t>Gerente General Lota Protein</t>
  </si>
  <si>
    <t>Eiriksson , Grimur</t>
  </si>
  <si>
    <t>Grimur</t>
  </si>
  <si>
    <t>Eiriksson</t>
  </si>
  <si>
    <t>Gerente Flota Pesquera Friosur S.A.</t>
  </si>
  <si>
    <t>Avendaño Veloso, Roberto</t>
  </si>
  <si>
    <t xml:space="preserve"> Veloso</t>
  </si>
  <si>
    <t>Gerente General de DTS</t>
  </si>
  <si>
    <t>Fuentes Palacios, Carola</t>
  </si>
  <si>
    <t>Carola</t>
  </si>
  <si>
    <t>Fuentes</t>
  </si>
  <si>
    <t>Palacios</t>
  </si>
  <si>
    <t>Gerente General de FISA</t>
  </si>
  <si>
    <t>Sotomayor , Francisco</t>
  </si>
  <si>
    <t>Sotomayor</t>
  </si>
  <si>
    <t>CEO GL Events Chile</t>
  </si>
  <si>
    <t>Capitán de Fragata (R)</t>
  </si>
  <si>
    <t>Lobo , Rodrigo</t>
  </si>
  <si>
    <t>Lobo</t>
  </si>
  <si>
    <t>Director de Relaciones Institucionales y Desarrollo de Negocios GL Events Chile</t>
  </si>
  <si>
    <t>Hurtado Z., Carolina</t>
  </si>
  <si>
    <t>Carolina</t>
  </si>
  <si>
    <t>Z.</t>
  </si>
  <si>
    <t>Gerente Comercial Unidad FISA Concepción</t>
  </si>
  <si>
    <t>Bachur Melcher, Christian</t>
  </si>
  <si>
    <t>Bachur</t>
  </si>
  <si>
    <t>Melcher</t>
  </si>
  <si>
    <t>Director Regional CGE</t>
  </si>
  <si>
    <t>Quiñilen Azocar, José</t>
  </si>
  <si>
    <t xml:space="preserve">Quiñilen </t>
  </si>
  <si>
    <t>Azocar</t>
  </si>
  <si>
    <t>Sindicato Celulosa Arauco</t>
  </si>
  <si>
    <t>Zambrano Pérez, Freddy</t>
  </si>
  <si>
    <t>Freddy</t>
  </si>
  <si>
    <t>Zambrano</t>
  </si>
  <si>
    <t>Sindicato Inchalam</t>
  </si>
  <si>
    <t>Vera González, Sergio</t>
  </si>
  <si>
    <t xml:space="preserve">Sergio </t>
  </si>
  <si>
    <t>Sindicato de Tripulantes Pesquero Biobio</t>
  </si>
  <si>
    <t>Rebolledo Moya, Gabriel</t>
  </si>
  <si>
    <t>Rebolledo</t>
  </si>
  <si>
    <t>Moya</t>
  </si>
  <si>
    <t>Unión Portuaria Biobio</t>
  </si>
  <si>
    <t>Cayul Aristondo, Eduardo</t>
  </si>
  <si>
    <t>Cayul</t>
  </si>
  <si>
    <t>Aristondo</t>
  </si>
  <si>
    <t>Sec. Ejec. de las Mesas Asesoras de la Industria Estratégica de la Defensa SUBSECDEF</t>
  </si>
  <si>
    <t>Heredia Contreras, Erika</t>
  </si>
  <si>
    <t>Erika</t>
  </si>
  <si>
    <t>FESTRAMET</t>
  </si>
  <si>
    <t>Montes Correa, Iván</t>
  </si>
  <si>
    <t>Iván</t>
  </si>
  <si>
    <t>Sindicato de trabajadores y trabajadoras ENAP-PEYROX</t>
  </si>
  <si>
    <t>Iglesias Hurtubia, Miguel</t>
  </si>
  <si>
    <t>Iglesias</t>
  </si>
  <si>
    <t>Hurtubia</t>
  </si>
  <si>
    <t>Gerente General de ENERGY ASSET</t>
  </si>
  <si>
    <t>PROVEEDORES</t>
  </si>
  <si>
    <t>Kossmann , Hans</t>
  </si>
  <si>
    <t>Kossmann</t>
  </si>
  <si>
    <t>Presidente Directorio ASENAV</t>
  </si>
  <si>
    <t>Rodríguez , Fernando</t>
  </si>
  <si>
    <t>Gerente General ASENAV</t>
  </si>
  <si>
    <t>Contreras , Ricardo</t>
  </si>
  <si>
    <t>Jefe de Proyecto ASENAV</t>
  </si>
  <si>
    <t>Schacht , Germán</t>
  </si>
  <si>
    <t>Germán</t>
  </si>
  <si>
    <t>Schacht</t>
  </si>
  <si>
    <t>Gerente Comercial y Marketing ASENAV</t>
  </si>
  <si>
    <t>Pearce , Heinz</t>
  </si>
  <si>
    <t>Heinz</t>
  </si>
  <si>
    <t>Pearce</t>
  </si>
  <si>
    <t>Board Advisor ASENAV</t>
  </si>
  <si>
    <t>Hederra Pinto, Francisco</t>
  </si>
  <si>
    <t>Hederra</t>
  </si>
  <si>
    <t>Pinto</t>
  </si>
  <si>
    <t>Gerente General SISDEF</t>
  </si>
  <si>
    <t>Calvanese , Francisco</t>
  </si>
  <si>
    <t>Calvanese</t>
  </si>
  <si>
    <t>Gerente Comercial SISDEF</t>
  </si>
  <si>
    <t>Garín , Gonzalo</t>
  </si>
  <si>
    <t>Garín</t>
  </si>
  <si>
    <t>Jefe de Proyecto SISDEF</t>
  </si>
  <si>
    <t>Swett Swett, José Miguel</t>
  </si>
  <si>
    <t>Swett</t>
  </si>
  <si>
    <t>Novoa , Carlos</t>
  </si>
  <si>
    <t>Ejecutivo Comercial SISDEF</t>
  </si>
  <si>
    <t>Vásquez , Katrina</t>
  </si>
  <si>
    <t>Katrina</t>
  </si>
  <si>
    <t>Jefe de Marketing SISDEF</t>
  </si>
  <si>
    <t>Flores , Tamara</t>
  </si>
  <si>
    <t>Tamara</t>
  </si>
  <si>
    <t>Gerente de Soluciones de Seguridad SISDEF</t>
  </si>
  <si>
    <t>Gallaher Hucke, John</t>
  </si>
  <si>
    <t>Gallaher</t>
  </si>
  <si>
    <t>Hucke</t>
  </si>
  <si>
    <t>Asesor Legal SISDEF</t>
  </si>
  <si>
    <t>Mutschler Castillo, Jorge</t>
  </si>
  <si>
    <t>Mutschler</t>
  </si>
  <si>
    <t>Castillo</t>
  </si>
  <si>
    <t>Gerente General Sociedad Comercial Equipos Industriales S.A. INDUELECTRO</t>
  </si>
  <si>
    <t>Mutschler , Roberta</t>
  </si>
  <si>
    <t>Roberta</t>
  </si>
  <si>
    <t>Subgerente General Sociedad Comercial Equipos Industriales S.A. INDUELECTRO</t>
  </si>
  <si>
    <t>Millan Orellana, Jorge</t>
  </si>
  <si>
    <t>Millan</t>
  </si>
  <si>
    <t>Jefe Sucursal Concepción INDUELECTRO</t>
  </si>
  <si>
    <t>Fauré Cañas, José Luis</t>
  </si>
  <si>
    <t>Fauré</t>
  </si>
  <si>
    <t>Cañas</t>
  </si>
  <si>
    <t>Gerente General CODELPA S.A.</t>
  </si>
  <si>
    <t>Iturriaga González, Pedro</t>
  </si>
  <si>
    <t>Iturriaga</t>
  </si>
  <si>
    <t>Gerente General PROINGAS S.A.</t>
  </si>
  <si>
    <t>Iturriaga Atala, Andrés</t>
  </si>
  <si>
    <t>Atala</t>
  </si>
  <si>
    <t>Gerente Comercial PROINGAS S.A.</t>
  </si>
  <si>
    <t>Rodriguez , Roberto</t>
  </si>
  <si>
    <t>Director General IBERCISA DECK Machinery S.A.</t>
  </si>
  <si>
    <t>Romero Vega, Manuel Ricardo</t>
  </si>
  <si>
    <t>Manuel Ricardo</t>
  </si>
  <si>
    <t>Jefe de Proyecto IBERCISA</t>
  </si>
  <si>
    <t>Chellew Daydi, Sidney</t>
  </si>
  <si>
    <t>Sidney</t>
  </si>
  <si>
    <t>Chellew</t>
  </si>
  <si>
    <t>Daydi</t>
  </si>
  <si>
    <t>Gerente General SOCIBER</t>
  </si>
  <si>
    <t>Irribarra Mendoza, Mario</t>
  </si>
  <si>
    <t>Irribarra</t>
  </si>
  <si>
    <t>Mendoza</t>
  </si>
  <si>
    <t>Jefe de Administración y Venta SOCIBER</t>
  </si>
  <si>
    <t>Veldstra , Rene</t>
  </si>
  <si>
    <t>Veldstra</t>
  </si>
  <si>
    <t>General Manager Project Management Navy Wärtsilä Marine</t>
  </si>
  <si>
    <t>Van Mourik , Gise</t>
  </si>
  <si>
    <t>Gise</t>
  </si>
  <si>
    <t>Van Mourik</t>
  </si>
  <si>
    <t>Gerente Ventas, Wärtsilä Marine</t>
  </si>
  <si>
    <t>Medina Donoso, Adolfo</t>
  </si>
  <si>
    <t>Adolfo</t>
  </si>
  <si>
    <t>Figueroa Ortiz, Carlos</t>
  </si>
  <si>
    <t>Gerente Sucursal COB Talcahuano (ASMAR)</t>
  </si>
  <si>
    <t>Oliva Barriga, César</t>
  </si>
  <si>
    <t>Oliva</t>
  </si>
  <si>
    <t>Barriga</t>
  </si>
  <si>
    <t>Gerente Sucursal COB Valdivia</t>
  </si>
  <si>
    <t>Mercado , Gonzalo</t>
  </si>
  <si>
    <t>Gerente Operaciones Remolcadores CPT</t>
  </si>
  <si>
    <t>Almendra , Iván</t>
  </si>
  <si>
    <t>Almendra</t>
  </si>
  <si>
    <t>Gerente Zona Sur B. Bosch</t>
  </si>
  <si>
    <t>Gamundi Fernández, Javier</t>
  </si>
  <si>
    <t>Gamundi</t>
  </si>
  <si>
    <t>Presidente FRIZONIA</t>
  </si>
  <si>
    <t>CEO  FRIZONIA Regrigeración, climatización .S.L.</t>
  </si>
  <si>
    <t>Fernández Goberna, Patricio</t>
  </si>
  <si>
    <t>Goberna</t>
  </si>
  <si>
    <t>Presidente Industrias Ferri S.A.</t>
  </si>
  <si>
    <t>Fernández Félix, Marisela</t>
  </si>
  <si>
    <t>Marisela</t>
  </si>
  <si>
    <t>Félix</t>
  </si>
  <si>
    <t>Desarrollo de Negocios Industrias Ferri S.A.</t>
  </si>
  <si>
    <t>Vacarezza Salas, Pedro</t>
  </si>
  <si>
    <t>Vacarezza</t>
  </si>
  <si>
    <t>Gerente de Ventas Empresas CODELPA S.A.</t>
  </si>
  <si>
    <t>Sánchez de Pablo , Ricardo</t>
  </si>
  <si>
    <t>Sánchez de Pablo</t>
  </si>
  <si>
    <t>Presidente SP Consultores y Servicios</t>
  </si>
  <si>
    <t>Sánchez de Pablo , Daniel</t>
  </si>
  <si>
    <t>Executive Vicepresident  SP Consultores y Servicios</t>
  </si>
  <si>
    <t>Llago Hermida, Antonio José</t>
  </si>
  <si>
    <t>Antonio José</t>
  </si>
  <si>
    <t>Llago</t>
  </si>
  <si>
    <t>Hermida</t>
  </si>
  <si>
    <t>CEO GABADI</t>
  </si>
  <si>
    <t>Guerrero Salgado, Pablo</t>
  </si>
  <si>
    <t>Salgado</t>
  </si>
  <si>
    <t>COO GABADI</t>
  </si>
  <si>
    <t>David Monsen, Atle</t>
  </si>
  <si>
    <t>Atle</t>
  </si>
  <si>
    <t>Monsen</t>
  </si>
  <si>
    <t>Sales and marketing KONGSBERG MARITIME AS</t>
  </si>
  <si>
    <t>Danchev Ivanov, Ivan</t>
  </si>
  <si>
    <t>Danchev</t>
  </si>
  <si>
    <t>Ivanov</t>
  </si>
  <si>
    <t>Project Manager KONGSBERG MARITIME AS</t>
  </si>
  <si>
    <t>Catanzato , Benedetto</t>
  </si>
  <si>
    <t>Benedetto</t>
  </si>
  <si>
    <t>Catanzato</t>
  </si>
  <si>
    <t>CEO MELCAL SpA</t>
  </si>
  <si>
    <t>Apolo , Daniele</t>
  </si>
  <si>
    <t>Daniele</t>
  </si>
  <si>
    <t>Apolo</t>
  </si>
  <si>
    <t>Project Manager MELCAL SpA</t>
  </si>
  <si>
    <t>Ullbro , Björn</t>
  </si>
  <si>
    <t>Björn</t>
  </si>
  <si>
    <t>Ullbro</t>
  </si>
  <si>
    <t>CEO de EVAC Group</t>
  </si>
  <si>
    <t>Chen , Li</t>
  </si>
  <si>
    <t>Li</t>
  </si>
  <si>
    <t>Project Manager de EVAC Group</t>
  </si>
  <si>
    <t>Lange , Dirk</t>
  </si>
  <si>
    <t>Dirk</t>
  </si>
  <si>
    <t>Lange</t>
  </si>
  <si>
    <t>Senior Project Manager Damen Marine Components</t>
  </si>
  <si>
    <t>Virgilio Zimmmermann, Enzo</t>
  </si>
  <si>
    <t>Virgilio</t>
  </si>
  <si>
    <t>Zimmmermann</t>
  </si>
  <si>
    <t>Commercial Project Manager KARL DOSE GmbH</t>
  </si>
  <si>
    <t>Zimmermann , Tobias</t>
  </si>
  <si>
    <t>Tobias</t>
  </si>
  <si>
    <t>Zimmermann</t>
  </si>
  <si>
    <t>Technical Project Manager KARL DOSE GmbH</t>
  </si>
  <si>
    <t>Parker Parker, Leif</t>
  </si>
  <si>
    <t>Leif</t>
  </si>
  <si>
    <t>Parker</t>
  </si>
  <si>
    <t>Managing Director KARL DOSE GmbH</t>
  </si>
  <si>
    <t>Muñoz Cabrera, Esteban</t>
  </si>
  <si>
    <t>Esteban</t>
  </si>
  <si>
    <t>Representante Legal  HECARES</t>
  </si>
  <si>
    <t>Sarmento , Fernanda</t>
  </si>
  <si>
    <t>Fernanda</t>
  </si>
  <si>
    <t>Sarmento</t>
  </si>
  <si>
    <t>DNV Area Manager - Maritime Sputh América</t>
  </si>
  <si>
    <t>Ferreira , Maximinio</t>
  </si>
  <si>
    <t>Maximinio</t>
  </si>
  <si>
    <t>Ferreira</t>
  </si>
  <si>
    <t>DNV</t>
  </si>
  <si>
    <t>Ekdahl , Hans</t>
  </si>
  <si>
    <t>Ekdahl</t>
  </si>
  <si>
    <t>DNV Chile Maritime Station Manager DNV</t>
  </si>
  <si>
    <t>Muller , Ernesto</t>
  </si>
  <si>
    <t>Ernesto</t>
  </si>
  <si>
    <t>Muller</t>
  </si>
  <si>
    <t>Project Manager Expert Surveyor DNV</t>
  </si>
  <si>
    <t>Warnck , Markus</t>
  </si>
  <si>
    <t>Markus</t>
  </si>
  <si>
    <t>Warnck</t>
  </si>
  <si>
    <t>Head of Competence Center Marine MINIMAX Fire Solutions</t>
  </si>
  <si>
    <t>Hupka , Kai</t>
  </si>
  <si>
    <t>Kai</t>
  </si>
  <si>
    <t>Hupka</t>
  </si>
  <si>
    <t>Project Manager MINIMAX Fire Solutions</t>
  </si>
  <si>
    <t>Manzoliz , Ricardo</t>
  </si>
  <si>
    <t>Manzoliz</t>
  </si>
  <si>
    <t>Gerente General Astillero SITECNA</t>
  </si>
  <si>
    <t>Mendoza , Jorge</t>
  </si>
  <si>
    <t>Gerente División Naval Astillero DETROIT</t>
  </si>
  <si>
    <t>Espinoza Birr, Walter</t>
  </si>
  <si>
    <t>Walter</t>
  </si>
  <si>
    <t>Birr</t>
  </si>
  <si>
    <t>Agente VARD Marine Brasil</t>
  </si>
  <si>
    <t>Barria Saravia, Hernán</t>
  </si>
  <si>
    <t>Saravia</t>
  </si>
  <si>
    <t xml:space="preserve">Representante en Chile VARD Marine </t>
  </si>
  <si>
    <t>Cook , Mark</t>
  </si>
  <si>
    <t>Mark</t>
  </si>
  <si>
    <t>Cook</t>
  </si>
  <si>
    <t>Chief Technical Officer VARD Marine</t>
  </si>
  <si>
    <t>Meza , Felipe</t>
  </si>
  <si>
    <t>Meza</t>
  </si>
  <si>
    <t>Gerente Armatorial, Remolcadores ULTRATUG</t>
  </si>
  <si>
    <t>Andrade Rigazzi, Ignacio</t>
  </si>
  <si>
    <t>Rigazzi</t>
  </si>
  <si>
    <t>MCG Hidraúlica SpA</t>
  </si>
  <si>
    <t>Cifuentes Buono-core, Cristian</t>
  </si>
  <si>
    <t>Buono-core</t>
  </si>
  <si>
    <t>Gerente General SAAM Towage</t>
  </si>
  <si>
    <t>Capitám de Fragata (R.)</t>
  </si>
  <si>
    <t>Preuss Levancini, Eduardo</t>
  </si>
  <si>
    <t>Preuss</t>
  </si>
  <si>
    <t>Levancini</t>
  </si>
  <si>
    <t>Gerente de Operaciones SAAM Towage</t>
  </si>
  <si>
    <t>Howard , Felipe</t>
  </si>
  <si>
    <t>Howard</t>
  </si>
  <si>
    <t>Gerente General HUMBOLDT</t>
  </si>
  <si>
    <t>Fernández Mizgier, Alvaro</t>
  </si>
  <si>
    <t>Mizgier</t>
  </si>
  <si>
    <t>Naviera Canales Australes SpA</t>
  </si>
  <si>
    <t>De La Cueva , Juan</t>
  </si>
  <si>
    <t>Juan</t>
  </si>
  <si>
    <t>De La Cueva</t>
  </si>
  <si>
    <t>Director Comercial NAVANTIA</t>
  </si>
  <si>
    <t>Almte.</t>
  </si>
  <si>
    <t>Romero Caramelo, Javier</t>
  </si>
  <si>
    <t>Caramelo</t>
  </si>
  <si>
    <t>Director de Gabinete Presidente- Líder de la Delegacion de NAVANTIA</t>
  </si>
  <si>
    <t>López , Aaron</t>
  </si>
  <si>
    <t>Aaron</t>
  </si>
  <si>
    <t>Ex Country Manager NAVANTIA</t>
  </si>
  <si>
    <t>Domínguez , Ricardo</t>
  </si>
  <si>
    <t>Presidente NAVANTIA</t>
  </si>
  <si>
    <t>Dobarro Rubido, Eduardo</t>
  </si>
  <si>
    <t>Dobarro</t>
  </si>
  <si>
    <t>Rubido</t>
  </si>
  <si>
    <t>Vicepresidente Negocio de Fragatas y Buques de Intervención NAVANTIA</t>
  </si>
  <si>
    <t>Menéndez Gómez, Pablo</t>
  </si>
  <si>
    <t>Menéndez</t>
  </si>
  <si>
    <t>Director Comercial América, NAVANTIA</t>
  </si>
  <si>
    <t>Mateo , Gonzalo</t>
  </si>
  <si>
    <t>Mateo</t>
  </si>
  <si>
    <t>Director NAVANTIA</t>
  </si>
  <si>
    <t>Johnson Aranda, Cristian</t>
  </si>
  <si>
    <t>Johnson</t>
  </si>
  <si>
    <t>Aranda</t>
  </si>
  <si>
    <t>Gerente General Consultoria Naval e Industrial</t>
  </si>
  <si>
    <t>Fernández , Pablo</t>
  </si>
  <si>
    <t>Director Corporativo Grupo Fernandez Jove</t>
  </si>
  <si>
    <t>Navarro , Luis</t>
  </si>
  <si>
    <t>Director Comercial Fernández Jove Comercial e Ingenieria S.L.</t>
  </si>
  <si>
    <t>Álvarez Ordoñez, Federico</t>
  </si>
  <si>
    <t>Ordoñez</t>
  </si>
  <si>
    <t>Gerente Comercial División Marina GHENOVA</t>
  </si>
  <si>
    <t>Campoy Zuasti, Carlos</t>
  </si>
  <si>
    <t>Campoy</t>
  </si>
  <si>
    <t>Zuasti</t>
  </si>
  <si>
    <t>Director y Dueno de Oficina Técnica ABANCE</t>
  </si>
  <si>
    <t>Spikin , Juan Ignacio</t>
  </si>
  <si>
    <t>Juan Ignacio</t>
  </si>
  <si>
    <t>Spikin</t>
  </si>
  <si>
    <t>Gerente Operaciones Astillero CALBUCO</t>
  </si>
  <si>
    <t>Bacigalupo Falcón, Héctor</t>
  </si>
  <si>
    <t>Bacigalupo</t>
  </si>
  <si>
    <t>Falcón</t>
  </si>
  <si>
    <t>Gerente General SONAPESCA</t>
  </si>
  <si>
    <t xml:space="preserve">ASMAR </t>
  </si>
  <si>
    <t>Callejas Quiróz, Juan</t>
  </si>
  <si>
    <t>Callejas</t>
  </si>
  <si>
    <t>Quiróz</t>
  </si>
  <si>
    <t>Administrador ASMAR(M)</t>
  </si>
  <si>
    <t>Illanes Guerra, Sebastián</t>
  </si>
  <si>
    <t>Illanes</t>
  </si>
  <si>
    <t>Guerra</t>
  </si>
  <si>
    <t>Administrador ASMAR(V)</t>
  </si>
  <si>
    <t>Castillo Vallejos, Rafael</t>
  </si>
  <si>
    <t>Admistrador ASMAR (T)</t>
  </si>
  <si>
    <t>ASMAR DIRECCIÓN</t>
  </si>
  <si>
    <t>Makray Baylaucq, Luis</t>
  </si>
  <si>
    <t>Makray</t>
  </si>
  <si>
    <t>Baylaucq</t>
  </si>
  <si>
    <t>Subdirector ASMAR</t>
  </si>
  <si>
    <t>Terrazas Michell, Jorge</t>
  </si>
  <si>
    <t>Secretario General</t>
  </si>
  <si>
    <t>Niemann Figari, Pablo</t>
  </si>
  <si>
    <t>Niemann</t>
  </si>
  <si>
    <t>Figari</t>
  </si>
  <si>
    <t>Gerente de Asuntos Corporativos</t>
  </si>
  <si>
    <t>Sotomayor Bustamante, Jaime</t>
  </si>
  <si>
    <t>Gerente Comercial Corporativo</t>
  </si>
  <si>
    <t>Cabrera Crespo, Guido</t>
  </si>
  <si>
    <t>Guido</t>
  </si>
  <si>
    <t>Crespo</t>
  </si>
  <si>
    <t>Auditor Corporativo</t>
  </si>
  <si>
    <t>Cereceda Valenzuela, Claudio</t>
  </si>
  <si>
    <t>Kohler Gary, Luis</t>
  </si>
  <si>
    <t>Kohler</t>
  </si>
  <si>
    <t>Gary</t>
  </si>
  <si>
    <t>Gerente Corp. Operaciones</t>
  </si>
  <si>
    <t>Ramos Perez, Cristian</t>
  </si>
  <si>
    <t>Perez</t>
  </si>
  <si>
    <t>Gerente Corp. Planificación y Desarrollo</t>
  </si>
  <si>
    <t>Gómez García, Francisco</t>
  </si>
  <si>
    <t>Gerente Corporativo de Finanzas (S)</t>
  </si>
  <si>
    <t>Stagno Canziani, Giancarlo</t>
  </si>
  <si>
    <t>Giancarlo</t>
  </si>
  <si>
    <t>Stagno</t>
  </si>
  <si>
    <t>Canziani</t>
  </si>
  <si>
    <t>Gerente Corporativo de Personas</t>
  </si>
  <si>
    <t>Gonzalez Bustos, Sandra</t>
  </si>
  <si>
    <t>Sandra</t>
  </si>
  <si>
    <t>Jefe Corporativo RR.PP. Y Comunicaciones</t>
  </si>
  <si>
    <t>Luttges Mathieu, Guillermo</t>
  </si>
  <si>
    <t>Luttges</t>
  </si>
  <si>
    <t>Mathieu</t>
  </si>
  <si>
    <t>Gerente Corporativo  de Construcción Naval</t>
  </si>
  <si>
    <t>Cornejo Sepúlveda, Orlando</t>
  </si>
  <si>
    <t>Orlando</t>
  </si>
  <si>
    <t>Jefe Corporativo Unidad de SS</t>
  </si>
  <si>
    <t>Quintanal Quinteros, Carmen</t>
  </si>
  <si>
    <t>Carmen</t>
  </si>
  <si>
    <t>Quintanal</t>
  </si>
  <si>
    <t>Quinteros</t>
  </si>
  <si>
    <t>Asistente Ejecutiva Fiscalía</t>
  </si>
  <si>
    <t>Salinas García, Londa</t>
  </si>
  <si>
    <t xml:space="preserve">Londa </t>
  </si>
  <si>
    <t>Salinas</t>
  </si>
  <si>
    <t>Jefa de Adquisiciones y Contratos</t>
  </si>
  <si>
    <t>Rojas Verdugo, Mónica</t>
  </si>
  <si>
    <t>Verdugo</t>
  </si>
  <si>
    <t>Jefa Corporativo de Unidad de Inversiones y Desarrollo</t>
  </si>
  <si>
    <t>Toro Quezada, Ana</t>
  </si>
  <si>
    <t xml:space="preserve">Ana </t>
  </si>
  <si>
    <t>Toro</t>
  </si>
  <si>
    <t>Quezada</t>
  </si>
  <si>
    <t>Analista Control de Gestión Finanzas</t>
  </si>
  <si>
    <t>Vicuña Bastías, Hilda</t>
  </si>
  <si>
    <t xml:space="preserve">Hilda </t>
  </si>
  <si>
    <t>Vicuña</t>
  </si>
  <si>
    <t>Bastías</t>
  </si>
  <si>
    <t>Contador Corporativo Serv. de Bienestar</t>
  </si>
  <si>
    <t>Cordero Pulgar, Katya</t>
  </si>
  <si>
    <t>Katya</t>
  </si>
  <si>
    <t>Cordero</t>
  </si>
  <si>
    <t>Pulgar</t>
  </si>
  <si>
    <t xml:space="preserve">Asistente Ejecutiva Gerencia Corp. Planif. Des. </t>
  </si>
  <si>
    <t>Montenegro Kellet, Ana María</t>
  </si>
  <si>
    <t>Ana María</t>
  </si>
  <si>
    <t>Montenegro</t>
  </si>
  <si>
    <t>Kellet</t>
  </si>
  <si>
    <t>Asistente Ejecutiva Gerencia Corporativa C.N.</t>
  </si>
  <si>
    <t>Soto , Eduardo</t>
  </si>
  <si>
    <t>Encargado Servicios Generales ASMAR (D)</t>
  </si>
  <si>
    <t>Díaz González, Danilo</t>
  </si>
  <si>
    <t>Danilo</t>
  </si>
  <si>
    <t xml:space="preserve">Díaz </t>
  </si>
  <si>
    <t>Encargado Secretaría ASMAR (D)</t>
  </si>
  <si>
    <t>Zurita Cisternas, Ricardo</t>
  </si>
  <si>
    <t>Zurita</t>
  </si>
  <si>
    <t>Cisternas</t>
  </si>
  <si>
    <t>Jefe Corporativo de Unidad de Contabilidad y Asuntos Tributarios</t>
  </si>
  <si>
    <t>Cárdenas Velasquez, René</t>
  </si>
  <si>
    <t>Cárdenas</t>
  </si>
  <si>
    <t>Velasquez</t>
  </si>
  <si>
    <t>Jefe Departamento Presupuesto Corporativo</t>
  </si>
  <si>
    <t>Flores Jorquera, José</t>
  </si>
  <si>
    <t>Jorquera</t>
  </si>
  <si>
    <t>Jefe Unidad Control de Gestión</t>
  </si>
  <si>
    <t>ASMARVALP</t>
  </si>
  <si>
    <t>Ansoleaga Bengoechea, Juan Luis</t>
  </si>
  <si>
    <t xml:space="preserve">Juan Luis </t>
  </si>
  <si>
    <t>Ansoleaga</t>
  </si>
  <si>
    <t>Bengoechea</t>
  </si>
  <si>
    <t xml:space="preserve">Subgerente Comercial </t>
  </si>
  <si>
    <t>Saavedra Quintero, Julio</t>
  </si>
  <si>
    <t>Quintero</t>
  </si>
  <si>
    <t>Jefe Proyecto</t>
  </si>
  <si>
    <t>Rojas Adonis, Sebastián</t>
  </si>
  <si>
    <t>Adonis</t>
  </si>
  <si>
    <t>Pedreros Valenzuela, Carola</t>
  </si>
  <si>
    <t>Pedreros</t>
  </si>
  <si>
    <t>Asistente Ejecutiva Administrador</t>
  </si>
  <si>
    <t>Medina Romero, José</t>
  </si>
  <si>
    <t>SPL Estructuras</t>
  </si>
  <si>
    <t>Pérez Parra, Carlos</t>
  </si>
  <si>
    <t>Jefe Depto. Electricidad</t>
  </si>
  <si>
    <t>Mena Apablaza, Christopher</t>
  </si>
  <si>
    <t>Christopher</t>
  </si>
  <si>
    <t>Mena</t>
  </si>
  <si>
    <t>Apablaza</t>
  </si>
  <si>
    <t>Preparador Electricidad</t>
  </si>
  <si>
    <t>Gaete Gonzalez, Benjamín</t>
  </si>
  <si>
    <t>Benjamín</t>
  </si>
  <si>
    <t>Gaete</t>
  </si>
  <si>
    <t>Mecánico Bombas</t>
  </si>
  <si>
    <t>Becerra Astudillo, Evelyn</t>
  </si>
  <si>
    <t>Evelyn</t>
  </si>
  <si>
    <t>Becerra</t>
  </si>
  <si>
    <t>Astudillo</t>
  </si>
  <si>
    <t>Díaz Suazo, Nancy</t>
  </si>
  <si>
    <t>Nancy</t>
  </si>
  <si>
    <t>Suazo</t>
  </si>
  <si>
    <t>Jefe Depto. Personas</t>
  </si>
  <si>
    <t>Díaz Seguel, René</t>
  </si>
  <si>
    <t>Pastor Evangélico ASMAR(T)</t>
  </si>
  <si>
    <t>ASMARTALC</t>
  </si>
  <si>
    <t>König Scheihing, Alejandro</t>
  </si>
  <si>
    <t xml:space="preserve">Alejandro </t>
  </si>
  <si>
    <t>König</t>
  </si>
  <si>
    <t>Scheihing</t>
  </si>
  <si>
    <t>Ingeniero Senior Administrador</t>
  </si>
  <si>
    <t>Varela Ruiz, Diego</t>
  </si>
  <si>
    <t>Gerente Ventas Armada</t>
  </si>
  <si>
    <t>Bugueño Nazer, Juan Carlos</t>
  </si>
  <si>
    <t>Bugueño</t>
  </si>
  <si>
    <t>Nazer</t>
  </si>
  <si>
    <t>Gerente Comercial Buques Mercantes y Pesqueros</t>
  </si>
  <si>
    <t>Munita Greene, Juan José</t>
  </si>
  <si>
    <t xml:space="preserve">Juan José </t>
  </si>
  <si>
    <t>Munita</t>
  </si>
  <si>
    <t>Greene</t>
  </si>
  <si>
    <t>Gerente Construcción Naval</t>
  </si>
  <si>
    <t>Leon Del Pedregal, Felipe</t>
  </si>
  <si>
    <t>Leon</t>
  </si>
  <si>
    <t>Del Pedregal</t>
  </si>
  <si>
    <t>Gerente de Investigacion, Desarrollo e Inversiones</t>
  </si>
  <si>
    <t>Soto Tirapegui, Loreto</t>
  </si>
  <si>
    <t xml:space="preserve">Loreto </t>
  </si>
  <si>
    <t>Tirapegui</t>
  </si>
  <si>
    <t>Gerente Gestion</t>
  </si>
  <si>
    <t>Lefian Mujica, Felipe</t>
  </si>
  <si>
    <t>Lefian</t>
  </si>
  <si>
    <t>Gerente Logística</t>
  </si>
  <si>
    <t>Ferrada Córdova, José</t>
  </si>
  <si>
    <t>Ferrada</t>
  </si>
  <si>
    <t>Córdova</t>
  </si>
  <si>
    <t>Gerente Operaciones</t>
  </si>
  <si>
    <t>Espinoza Llanos, Julio</t>
  </si>
  <si>
    <t>Llanos</t>
  </si>
  <si>
    <t>Gerente Reparaciones</t>
  </si>
  <si>
    <t>Tapia Araneda, Gerardo</t>
  </si>
  <si>
    <t>Gerardo</t>
  </si>
  <si>
    <t>Araneda</t>
  </si>
  <si>
    <t>Gerente RRHH</t>
  </si>
  <si>
    <t>Retamal Valenzuela, Armando</t>
  </si>
  <si>
    <t>Armando</t>
  </si>
  <si>
    <t>Retamal</t>
  </si>
  <si>
    <t>Presidente Sindicato de Funcionarios(as)</t>
  </si>
  <si>
    <t>Hidalgo Venegas, Rosita</t>
  </si>
  <si>
    <t>Rosita</t>
  </si>
  <si>
    <t>Hidalgo</t>
  </si>
  <si>
    <t>Venegas</t>
  </si>
  <si>
    <t>Presidente Sindicato de Profesionales</t>
  </si>
  <si>
    <t>Del Pino Gecele, Paula</t>
  </si>
  <si>
    <t xml:space="preserve">Paula </t>
  </si>
  <si>
    <t>Del Pino</t>
  </si>
  <si>
    <t>Gecele</t>
  </si>
  <si>
    <t>Presidente Sindicato de Trabajadores</t>
  </si>
  <si>
    <t>Ringele Valenzuela, Juan Carlos</t>
  </si>
  <si>
    <t>Ringele</t>
  </si>
  <si>
    <t>Presidente Sindicato Inter Empresas de Supervisores</t>
  </si>
  <si>
    <t>Rojas Acuña, Patricio</t>
  </si>
  <si>
    <t>Acuña</t>
  </si>
  <si>
    <t>Sindicato de Empleados. Operador de Producción. Taller de aceros y pintura</t>
  </si>
  <si>
    <t>Cisternas Suarez, Manuel</t>
  </si>
  <si>
    <t>Suarez</t>
  </si>
  <si>
    <t>Condestable Mayor ASMAR T</t>
  </si>
  <si>
    <t>Aguayo Bravo, Susana</t>
  </si>
  <si>
    <t>Susana</t>
  </si>
  <si>
    <t>Aguayo</t>
  </si>
  <si>
    <t>Jefe Sección Almacenamiento</t>
  </si>
  <si>
    <t>Dominguez Carvajal, Hugo</t>
  </si>
  <si>
    <t>Hugo</t>
  </si>
  <si>
    <t>Dominguez</t>
  </si>
  <si>
    <t xml:space="preserve">Jefe de Departamento Integración e Ingeniería de Sistemas </t>
  </si>
  <si>
    <t>Obando Aguayo, Ricardo</t>
  </si>
  <si>
    <t>Obando</t>
  </si>
  <si>
    <t>Jefe de Departamento de Sistemas de Ingeniería</t>
  </si>
  <si>
    <t>Benavente Ringele, Juan Pablo</t>
  </si>
  <si>
    <t>Benavente</t>
  </si>
  <si>
    <t>Jefe de Departamento Investigación y Desarrollo</t>
  </si>
  <si>
    <t>Zapata Machmar, Jorge</t>
  </si>
  <si>
    <t>Machmar</t>
  </si>
  <si>
    <t>Jefe de Proyecto Senior CN</t>
  </si>
  <si>
    <t>Proust Cotton, Andrés</t>
  </si>
  <si>
    <t xml:space="preserve">Proust </t>
  </si>
  <si>
    <t>Cotton</t>
  </si>
  <si>
    <t>Jefe de Taller de Maquinaria Naval</t>
  </si>
  <si>
    <t>Peralta Vargas, Ignacio</t>
  </si>
  <si>
    <t>Peralta</t>
  </si>
  <si>
    <t>Jefe de Taller Mecánica de Armamentos</t>
  </si>
  <si>
    <t>Rivera Bruna, Santiago</t>
  </si>
  <si>
    <t xml:space="preserve">Santiago </t>
  </si>
  <si>
    <t>Bruna</t>
  </si>
  <si>
    <t>Jefe Depto Servicios</t>
  </si>
  <si>
    <t>De Barbieri Boero, Gianfranco</t>
  </si>
  <si>
    <t>Gianfranco</t>
  </si>
  <si>
    <t>De Barbieri</t>
  </si>
  <si>
    <t>Boero</t>
  </si>
  <si>
    <t>Jefe Depto. Abastecimiento</t>
  </si>
  <si>
    <t>Momberg Rivas, Gunther</t>
  </si>
  <si>
    <t>Gunther</t>
  </si>
  <si>
    <t>Momberg</t>
  </si>
  <si>
    <t>Jefe Depto. Asesoría Legal</t>
  </si>
  <si>
    <t>Alvarez Flores, Carlos</t>
  </si>
  <si>
    <t xml:space="preserve">Flores </t>
  </si>
  <si>
    <t>Jefe Depto. Contabilidad</t>
  </si>
  <si>
    <t>Ulloa González, Jhony</t>
  </si>
  <si>
    <t>Jhony</t>
  </si>
  <si>
    <t>Jefe Depto. Diseño C.N.</t>
  </si>
  <si>
    <t>Navarrete Yáñez, Jorge</t>
  </si>
  <si>
    <t>Navarrete</t>
  </si>
  <si>
    <t xml:space="preserve">Yáñez </t>
  </si>
  <si>
    <t>Jefe Depto. Mantención</t>
  </si>
  <si>
    <t>Silva Henríquez, Marina</t>
  </si>
  <si>
    <t>Marina</t>
  </si>
  <si>
    <t>Henríquez</t>
  </si>
  <si>
    <t>Moraga Zambrano, Mario</t>
  </si>
  <si>
    <t>Moraga</t>
  </si>
  <si>
    <t>Jefe Depto. Planificación de Reparaciones</t>
  </si>
  <si>
    <t>Toro Yagui, Gustavo</t>
  </si>
  <si>
    <t>Yagui</t>
  </si>
  <si>
    <t>Jefe Depto. Planificación y Control de Gestión de CN</t>
  </si>
  <si>
    <t>Parra Vera, Gabriel</t>
  </si>
  <si>
    <t>Jefe Depto. Producción C.N.</t>
  </si>
  <si>
    <t>Huerta Castillo, Edgardo</t>
  </si>
  <si>
    <t xml:space="preserve">Edgardo </t>
  </si>
  <si>
    <t>Huerta</t>
  </si>
  <si>
    <t>Jefe Depto. Seguridad, Salud Ocupacional y Medio Ambiente</t>
  </si>
  <si>
    <t>Avendaño Valenzuela, Edison</t>
  </si>
  <si>
    <t>Edison</t>
  </si>
  <si>
    <t>Jefe Depto. Subcontratos Suplente</t>
  </si>
  <si>
    <t>López Soto, Sebastián</t>
  </si>
  <si>
    <t>Jefe Proyecto C.N.</t>
  </si>
  <si>
    <t>Pereira Reyes, Guido</t>
  </si>
  <si>
    <t>Pereira</t>
  </si>
  <si>
    <t>Jefe Taller Aceros C.N.</t>
  </si>
  <si>
    <t>Maldonado Marín, Mario</t>
  </si>
  <si>
    <t>Maldonado</t>
  </si>
  <si>
    <t>Jefe Taller Calderas y Cañerías</t>
  </si>
  <si>
    <t>Burboa Caamaño, Víctor</t>
  </si>
  <si>
    <t>Víctor</t>
  </si>
  <si>
    <t>Burboa</t>
  </si>
  <si>
    <t>Caamaño</t>
  </si>
  <si>
    <t>Jefe Taller Cañerías y Estructuras Menores</t>
  </si>
  <si>
    <t>Saez Carrasco, Nelson</t>
  </si>
  <si>
    <t>Saez</t>
  </si>
  <si>
    <t>Jefe Taller Electricidad</t>
  </si>
  <si>
    <t>Figueroa Moraga, Carlos</t>
  </si>
  <si>
    <t>Jefe Taller Electrónica</t>
  </si>
  <si>
    <t>Pérez Escobar, Daniel</t>
  </si>
  <si>
    <t>Jefe Taller Estructuras</t>
  </si>
  <si>
    <t>Bragg , Jeffrey</t>
  </si>
  <si>
    <t>Jeffrey</t>
  </si>
  <si>
    <t>Bragg</t>
  </si>
  <si>
    <t>Jefe  de Departamento de Ventas Armada Submarinos</t>
  </si>
  <si>
    <t>Quezada Miranda, René</t>
  </si>
  <si>
    <t xml:space="preserve">René </t>
  </si>
  <si>
    <t>Jefe de Departamento Casco y Dique</t>
  </si>
  <si>
    <t>Rojas Mendeleweski, Anibal</t>
  </si>
  <si>
    <t>Anibal</t>
  </si>
  <si>
    <t>Mendeleweski</t>
  </si>
  <si>
    <t>Jefe de Departamento de Armamento</t>
  </si>
  <si>
    <t>Saez Ferrada, Alejandro</t>
  </si>
  <si>
    <t>Jefe de Departamento de Bienestar</t>
  </si>
  <si>
    <t>Díaz , Sergio</t>
  </si>
  <si>
    <t>Jefe de Departamento de Proyectos CN</t>
  </si>
  <si>
    <t>Morales Fuentes, Benjamín</t>
  </si>
  <si>
    <t>Jefe de Departamento de Relaciones Laborales</t>
  </si>
  <si>
    <t>Cabrera Ogalde, Juan Carlos</t>
  </si>
  <si>
    <t>Ogalde</t>
  </si>
  <si>
    <t>Jefe de Departamento de Ventas Armada Superficie y RR.TT.</t>
  </si>
  <si>
    <t>Montalva , Ana Marpia</t>
  </si>
  <si>
    <t>Ana Marpia</t>
  </si>
  <si>
    <t>Jefe Unidad Corporativa de Desarrollo Software</t>
  </si>
  <si>
    <t>Ruiz Montalva, Ricardo</t>
  </si>
  <si>
    <t xml:space="preserve">Ricardo </t>
  </si>
  <si>
    <t>Jefe Unidad Corporativa de Servicios Tecnología de la Información</t>
  </si>
  <si>
    <t>Flores Valdebenito, Marcelo</t>
  </si>
  <si>
    <t>Subgerente Comercial Buques Mercantes</t>
  </si>
  <si>
    <t>Muñoz Bustos, Leonardo</t>
  </si>
  <si>
    <t>Subgerente Comercial Buques Pesqueros</t>
  </si>
  <si>
    <t>Jara Guerrero, Boris</t>
  </si>
  <si>
    <t>Boris</t>
  </si>
  <si>
    <t>Jefe de Departamento Presupuesto Operación</t>
  </si>
  <si>
    <t>Grant Del Río, Alejandro</t>
  </si>
  <si>
    <t>Grant</t>
  </si>
  <si>
    <t>Del Río</t>
  </si>
  <si>
    <t>Jefe de Departamento de Tesorería</t>
  </si>
  <si>
    <t>Mella D'Appollonio, Pedro</t>
  </si>
  <si>
    <t>Mella</t>
  </si>
  <si>
    <t>D'Appollonio</t>
  </si>
  <si>
    <t>Jefe Unidad Corporativa de Auditoría interna</t>
  </si>
  <si>
    <t>Groz , Miguel</t>
  </si>
  <si>
    <t>Groz</t>
  </si>
  <si>
    <t>Ingeniero Senior C-320</t>
  </si>
  <si>
    <t>Chaparro Fariña, José</t>
  </si>
  <si>
    <t>Chaparro</t>
  </si>
  <si>
    <t>Fariña</t>
  </si>
  <si>
    <t>Ingeniero Senior CN C-451</t>
  </si>
  <si>
    <t>Leal , Samuel</t>
  </si>
  <si>
    <t>Samuel</t>
  </si>
  <si>
    <t>Leal</t>
  </si>
  <si>
    <t>Tornel , Manuel</t>
  </si>
  <si>
    <t xml:space="preserve">Manuel </t>
  </si>
  <si>
    <t>Tornel</t>
  </si>
  <si>
    <t>Urcullu , Cristian</t>
  </si>
  <si>
    <t>Urcullu</t>
  </si>
  <si>
    <t>Chamorro Fuentes, Jaime</t>
  </si>
  <si>
    <t>Ingeniero Senior CN C-455</t>
  </si>
  <si>
    <t>Silva Muñoz, Avelino</t>
  </si>
  <si>
    <t>Avelino</t>
  </si>
  <si>
    <t>Bazán , Ricardo</t>
  </si>
  <si>
    <t>Bazán</t>
  </si>
  <si>
    <t>Ingeniero Senior Reparaciones</t>
  </si>
  <si>
    <t>Molina Garcés, Marco Polo</t>
  </si>
  <si>
    <t>Marco Polo</t>
  </si>
  <si>
    <t>Garcés</t>
  </si>
  <si>
    <t>Jefe Unidad Corporativa de Seguridad de la información</t>
  </si>
  <si>
    <t>Kauer Tapia, Harold</t>
  </si>
  <si>
    <t>Harold</t>
  </si>
  <si>
    <t>Kauer</t>
  </si>
  <si>
    <t>Jefe de Proyecto Corporativo Senior</t>
  </si>
  <si>
    <t>Nuñez Araya, Paula</t>
  </si>
  <si>
    <t>Nuñez</t>
  </si>
  <si>
    <t>Ogalde Gomez, Jorge</t>
  </si>
  <si>
    <t>Gomez</t>
  </si>
  <si>
    <t>Belmar , Rodrigo</t>
  </si>
  <si>
    <t>Belmar</t>
  </si>
  <si>
    <t>Jefe Taller de combustión interna</t>
  </si>
  <si>
    <t>Jefe Taller de Diques</t>
  </si>
  <si>
    <t>Caviedes , Karla</t>
  </si>
  <si>
    <t>Karla</t>
  </si>
  <si>
    <t>Caviedes</t>
  </si>
  <si>
    <t>Jefe Proyecto Armada C-420</t>
  </si>
  <si>
    <t>Chamorro Fuentes, Carlos</t>
  </si>
  <si>
    <t>Jefe Taller Habitabilidad y Electricidad</t>
  </si>
  <si>
    <t>ASMARMAG</t>
  </si>
  <si>
    <t>Figari , Claudio</t>
  </si>
  <si>
    <t>Poblete , Carlos</t>
  </si>
  <si>
    <t>Poblete</t>
  </si>
  <si>
    <t xml:space="preserve">Presidente del Sindicato N°2 </t>
  </si>
  <si>
    <t>Venegas , Jaime</t>
  </si>
  <si>
    <t>Presidente del Sindicato N°1</t>
  </si>
  <si>
    <t>Jessop , John</t>
  </si>
  <si>
    <t>Jessop</t>
  </si>
  <si>
    <t>Subgerente de Logística</t>
  </si>
  <si>
    <t>Córdova , Gonzalo</t>
  </si>
  <si>
    <t>Subgerente de Personas</t>
  </si>
  <si>
    <t>Garrido Gajardo, Sebastián</t>
  </si>
  <si>
    <t xml:space="preserve">Sebastián </t>
  </si>
  <si>
    <t xml:space="preserve">Garrido </t>
  </si>
  <si>
    <t xml:space="preserve">Gajardo          </t>
  </si>
  <si>
    <t>Mora Riquelme, Luis</t>
  </si>
  <si>
    <t>Mora</t>
  </si>
  <si>
    <t>Jefe Depto. Comercial Armada</t>
  </si>
  <si>
    <t>Vásquez Leiva, Mauricio</t>
  </si>
  <si>
    <t>Jefe Depto. Planificación y Gestión</t>
  </si>
  <si>
    <t>CONTROL ASISTENCIA - GENERAL / VIP / 3 TRIBUNAS</t>
  </si>
  <si>
    <t>RESUMEN DISTRIBUCIÓN VIP</t>
  </si>
  <si>
    <t>VIP a distribuir</t>
  </si>
  <si>
    <t>Indicador</t>
  </si>
  <si>
    <t>Cantidad</t>
  </si>
  <si>
    <t>Referencia</t>
  </si>
  <si>
    <t>TOTAL BASE</t>
  </si>
  <si>
    <t>Capacidad VIP</t>
  </si>
  <si>
    <t>Total invitados</t>
  </si>
  <si>
    <t>Asignados</t>
  </si>
  <si>
    <t>Confirmados SI</t>
  </si>
  <si>
    <t>Pendiente</t>
  </si>
  <si>
    <t>No asisten</t>
  </si>
  <si>
    <t>Pendientes</t>
  </si>
  <si>
    <t>Distribuye</t>
  </si>
  <si>
    <t>AST. distinto de NO</t>
  </si>
  <si>
    <t>VIP distribuye</t>
  </si>
  <si>
    <t>Solo TRIBUNA = VIP</t>
  </si>
  <si>
    <t>Plano 149 asientos</t>
  </si>
  <si>
    <t>VIP sin asignar</t>
  </si>
  <si>
    <t>Exceso sobre 149</t>
  </si>
  <si>
    <t>RESUMEN POR FUENTE</t>
  </si>
  <si>
    <t>TOTAL</t>
  </si>
  <si>
    <t>ASMAR</t>
  </si>
  <si>
    <t>INVITADOS ASMAR</t>
  </si>
  <si>
    <t>DISTRIBUCIÓN VIP</t>
  </si>
  <si>
    <t>Criterio: TRIBUNA BASE = VIP y AST. distinto de NO, independiente de la FUENTE. Filas A/B/C centro 23. Fila D con reservas y sin sillas.</t>
  </si>
  <si>
    <t>Total VIP a distribuir</t>
  </si>
  <si>
    <t>Capacidad VIP válida</t>
  </si>
  <si>
    <t>Pendiente por asignar</t>
  </si>
  <si>
    <t>Centro Filas A/B/C</t>
  </si>
  <si>
    <t>23</t>
  </si>
  <si>
    <t>Fila D</t>
  </si>
  <si>
    <t>D11-D17 reservado | D18-D27 sin silla | D28-D35 reservado</t>
  </si>
  <si>
    <t>FILA A</t>
  </si>
  <si>
    <t>A1
Sebastián Keitel Bianchi
Circunscripción 10 Región Biobío</t>
  </si>
  <si>
    <t>A2
Camila Flores Oporto
Comisión de Defensa Nacional</t>
  </si>
  <si>
    <t>A3
Julio Anativia Zamora
Delegado Presidencial Región de Bio Bio</t>
  </si>
  <si>
    <t>A4
Sergio Giacaman García
Gobernador Región Bio Bio</t>
  </si>
  <si>
    <t>A5
Marcela Larrañaga Martin
Madrina</t>
  </si>
  <si>
    <t>A6
Eduardo Cerna Lozano
*Director General de la Policía de Investigaciones de Chile</t>
  </si>
  <si>
    <t>A7
Miguel Stange Muñoz
*Comandante en Jefe de la Fuerza Aérea de Chile (S)</t>
  </si>
  <si>
    <t>A8
Julio Leiva Molina
Ex - Comandante en Jefe de la Armada</t>
  </si>
  <si>
    <t>A9
Sone Kenko
Embajadora de Japón en Chile</t>
  </si>
  <si>
    <t>A10
Lotty Farah Andrade Abdo
Embajadora de Ecuador en Chile</t>
  </si>
  <si>
    <t>A11
Per Pollen Nilsen
Embajador de Noruega en Chile</t>
  </si>
  <si>
    <t>A12
Sebastián Guanumen Parra
Embajador de Colombia en Chile</t>
  </si>
  <si>
    <t>A13
Andrew James Barrit Martin
Embajador de Australia en Chile</t>
  </si>
  <si>
    <t>A14
Johanna Kotkajarvi
Embajadora de Finlandia en Chile</t>
  </si>
  <si>
    <t>A15
Adriana Delpiano Puelma
Ex Ministra de Defensa Nacional</t>
  </si>
  <si>
    <t>A16
Francisco Undurruga Gazitúa
Ministro de las Culturas, las Artes y el Patrimonio</t>
  </si>
  <si>
    <t>A17
Claudio Alvarado Andrade
Biministro del Interior y Secretario General de Gobierno</t>
  </si>
  <si>
    <t>A18
Ricardo Lagos Escobar
Ex Presidente de la República</t>
  </si>
  <si>
    <t>A19
Gabriel Boric Font
Ex Presidente de la República</t>
  </si>
  <si>
    <t>A20
María Cecilia Morel Montes
Ex - Primera Dama</t>
  </si>
  <si>
    <t>A21
Fernando Cabrera Salazar
*Comandante en Jefe de la Armada</t>
  </si>
  <si>
    <t>A22
María Pía Adriasola Barroihet
Esposa del Presidente de la República</t>
  </si>
  <si>
    <t>A23
José Antonio Kast Rist
* Presidente de la República</t>
  </si>
  <si>
    <t>A24
Fernando Barros Tocornal
*Ministro de Defensa Nacional</t>
  </si>
  <si>
    <t>A25
Roxana Mery Casella
Esposa del Comandante en Jefe de la Armada</t>
  </si>
  <si>
    <t>A26
Iván Moreira Barros
*Presidenta del Senado (Representante).</t>
  </si>
  <si>
    <t>A27
Michelle Bachelet Jeria
Ex Presidenta de la República</t>
  </si>
  <si>
    <t>A28
Eduardo Frei Ruiz-tagle
Ex Presidente de la República</t>
  </si>
  <si>
    <t>A29
Catalina Parot Donoso
Ministra de Bienes Nacionales</t>
  </si>
  <si>
    <t>A30
Maya Fernández Allende
Ex Ministra de Defensa Nacional</t>
  </si>
  <si>
    <t>A31
Niu Qingbao
Embajador de la República Popular China en Chile</t>
  </si>
  <si>
    <t>A32
Valeria Biagiotti
Embajadora de Italia en Chile</t>
  </si>
  <si>
    <t>A33
Ahmet Ihsan Kiziltan
Embajadora de Turquia en Chile</t>
  </si>
  <si>
    <t>A34
Karolina Linda Guay Guay
Embajadora de Canadá en Chile</t>
  </si>
  <si>
    <t>A35
Elke Schaapveld E/v Merks
Embajadora de los Países Bajos en Chile</t>
  </si>
  <si>
    <t>A36
Laura Oroz Ulibarri
Embajadora de España en Chile</t>
  </si>
  <si>
    <t>A37
Peleg Lewi
Embajadora de Israel en Chile</t>
  </si>
  <si>
    <t>A38
Pedro Varela Sabando
*Comandante en Jefe del Ejército</t>
  </si>
  <si>
    <t>A39
Marcelo Araya Zapata
*General Director de Carabineros de Chile</t>
  </si>
  <si>
    <t>A40
Rodolfo Codina Díaz
Ex - Comandante en Jefe de la Armada</t>
  </si>
  <si>
    <t>A41
Leonardo Romanini Gutiérrez
Jefe del Estado Mayor Conjunto de las Fuerzas Armadas</t>
  </si>
  <si>
    <t>A42
Jorge Flies Añon
Gobernador Región de Magallanes</t>
  </si>
  <si>
    <t>A43
Pedro Araya Guerrero
Comisión de Defensa Nacional</t>
  </si>
  <si>
    <t>A44
Gastón Saavedra Chandía
Comisión de Defensa Nacional</t>
  </si>
  <si>
    <t>A45
Enrique Van Rysselberghe Herrera
Circunscripción 10 Región Biobío</t>
  </si>
  <si>
    <t>FILA B</t>
  </si>
  <si>
    <t>B1
José Pablo Gómez
Dirección de Presupuesto</t>
  </si>
  <si>
    <t>B2
Carla Coronado
Asesora Ministerio Consejo Directivo de Construcción Naval</t>
  </si>
  <si>
    <t>B3
Elizabeth Zapata González
Directora Desarrollo Tecnológico Corfo y Directora Ejecutiva Comité de Construcción Naval</t>
  </si>
  <si>
    <t>B4
Catalina Ugarte Millán
Jefe Gabinete Precidencial</t>
  </si>
  <si>
    <t>B5
Rafael Araos Bralic
Subsecretaria de Ciencia, Tecnología, Conocimiento e Innovación</t>
  </si>
  <si>
    <t>B6
Rodrigo Álvarez Aguirre
*Subsecretario de Defensa</t>
  </si>
  <si>
    <t>B7
Cristóbal Urruticoechea Ríos
Diputado Distrito 21</t>
  </si>
  <si>
    <t>B8
Joanna Pérez Olea
Diputado Distrito 21</t>
  </si>
  <si>
    <t>B9
José Rivas Villalobos
Diputado Distrito 20</t>
  </si>
  <si>
    <t>B10
Álvaro Ortíz Vera
Diputado Distrito 20</t>
  </si>
  <si>
    <t>B11
Paz Charpentier Rajcevich
Diputado Distrito 20</t>
  </si>
  <si>
    <t>B12
Roberto Arroyo Muñoz
Diputado Distrito 20</t>
  </si>
  <si>
    <t>B13
Consuelo Veloso Ávila
Comisión de Futuro, Ciencia, Tecnología, Conocimiento e Innovación</t>
  </si>
  <si>
    <t>B14
Diego Schalper Sepúlveda
Comisión de Futuro, Ciencia, Tecnología, Conocimiento e Innovación</t>
  </si>
  <si>
    <t>B15
José Montalva Feuerhake
Comisión de Futuro, Ciencia, Tecnología, Conocimiento e Innovación</t>
  </si>
  <si>
    <t>B16
Patricio Briones Moller
Diputado Distrito 20</t>
  </si>
  <si>
    <t>B17
Daniel Valenzuela Salazar
Integrante de la Comisión de Defensa Nacional</t>
  </si>
  <si>
    <t>B18
Omar Sabat Guzmán
Integrante de la Comisión de Defensa Nacional</t>
  </si>
  <si>
    <t>B19
Hans Marowski Cuevas
Integrante de la Comisión de Defensa Nacional</t>
  </si>
  <si>
    <t>B20
Jorge Brito Hasbún
Integrante de la Comisión de Defensa Nacional</t>
  </si>
  <si>
    <t>B21
Álvaro Carter Fernández
Presidente de la Comisión de Defensa Nacional</t>
  </si>
  <si>
    <t>B22
Gustavo Sanhueza Dueñas
Circunsripción Zona Ñuble</t>
  </si>
  <si>
    <t>B23
Alfonso De Urresti Longton
Senador de la República</t>
  </si>
  <si>
    <t>B24
Loreto Carvajal Ambiado
Circunsripción Zona Ñuble</t>
  </si>
  <si>
    <t>B25
Marcos Barraza Gómez
Integrante de la Comisión de Defensa Nacional</t>
  </si>
  <si>
    <t>B26
Carlos Cuadrado Prats
Integrante de la Comisión de Defensa Nacional</t>
  </si>
  <si>
    <t>B27
Javier Olivares Avendaño
Integrante de la Comisión de Defensa Nacional</t>
  </si>
  <si>
    <t>B28
Luis Sánchez Ossa
Integrante de la Comisión de Defensa Nacional</t>
  </si>
  <si>
    <t>B29
Daniel Manouchehri Lobos
Presidente Comisión de Futuro, Ciencia, Tecnología, Conocimiento e Innovación</t>
  </si>
  <si>
    <t>B30
Cristóbal Martínez Ramírez
Comisión de Futuro, Ciencia, Tecnología, Conocimiento e Innovación</t>
  </si>
  <si>
    <t>B31
Cristian Neira Martínez
Comisión de Futuro, Ciencia, Tecnología, Conocimiento e Innovación</t>
  </si>
  <si>
    <t>B32
Daniela Serrano Salazar
Comisión de Futuro, Ciencia, Tecnología, Conocimiento e Innovación</t>
  </si>
  <si>
    <t>B33
Gael Yeomans Araya
Comisión de Futuro, Ciencia, Tecnología, Conocimiento e Innovación</t>
  </si>
  <si>
    <t>B34
Sergio Bobadilla Muñoz
Diputado Distrito 20</t>
  </si>
  <si>
    <t>B35
Francesca Muñoz González
Diputado Distrito 20</t>
  </si>
  <si>
    <t>B36
Marlene Pérez Cartes
Diputado Distrito 20</t>
  </si>
  <si>
    <t>B37
Lilian Betancurt Delgado
Diputado Distrito 21</t>
  </si>
  <si>
    <t>B38
Patricio Pinilla Valencia
Diputado Distrito 21</t>
  </si>
  <si>
    <t>B39
Flor Weisse Novoa
Diputado Distrito 21</t>
  </si>
  <si>
    <t>B40
Christian Bolívar Romero
*Subsecretario de las Fuerzas Armadas</t>
  </si>
  <si>
    <t>B41
Julio Cacho Morán
*Jefe del Estado Mayor de la Armada de Perú</t>
  </si>
  <si>
    <t>B42
José Ignacio Mujica Castro
Vicepresidente Corfo</t>
  </si>
  <si>
    <t>B43
Santiago Browne Hurtado
Gerente de Asuntos Estratégicos (s) de Corfo</t>
  </si>
  <si>
    <t>B44
Fernando Hentzschel
Gerente de Capacidades Tecnológicas Consejo Directivo de Construcción Naval</t>
  </si>
  <si>
    <t>B45
José Ignacio Llodrá Vial
Subdirector de Racionalización y Función Pública</t>
  </si>
  <si>
    <t>FILA C</t>
  </si>
  <si>
    <t>C1
Raúl Zamorano Goñi
Jefe del Estado Mayor General de la Armada</t>
  </si>
  <si>
    <t>C2
Claudia Chamorro Contreras
Jefe VIII Región Policial Bío Bío</t>
  </si>
  <si>
    <t>C3
Oscar Rivera Marin
Director Regional de Obras Portuarias</t>
  </si>
  <si>
    <t>C4
Claudio Andrade Otarola
Director Regional de la Agencia Nacional de Inteligencia</t>
  </si>
  <si>
    <t>C5
Pablo Zavala Fernández
Presidente de la Ilustrísima Corte de Apelaciones de Concepción</t>
  </si>
  <si>
    <t>C6
Claudio Radonich Jiménez
Alcalde de Punta Arenas</t>
  </si>
  <si>
    <t>C7
Carla Amtmann Fecci
Alcaldesa de Valdivia</t>
  </si>
  <si>
    <t>C8
Miguel Rivera Morales
Alcalde Ilustre Municipalidad de Hualpén</t>
  </si>
  <si>
    <t>C9
Rafael Cabrera Osorio
Cmdte. Apoyo a la Fuerza del Ejército</t>
  </si>
  <si>
    <t>C10
Claudio Bunster Weitzmann
Director Centro Estudios Cientificos CECs</t>
  </si>
  <si>
    <t>C11
Jorge Pires
Superintendente del Material Armada de Portugal</t>
  </si>
  <si>
    <t>C12
Henry Cleveland Cartes
Director Ejecutivo ENAER</t>
  </si>
  <si>
    <t>C13
Mario Farren Risopatrón
Presidente Banco Estado</t>
  </si>
  <si>
    <t>C14
Pedro Ramirez Glade
Seremi de Ciencia, Tecnologías, Conocimidento e Innovación</t>
  </si>
  <si>
    <t>C15
Vladimir Recabarren Esparza
Capellán Nacional Evangélico de la Armada</t>
  </si>
  <si>
    <t>C16
Constanza Pérez
Asesora Económica MINDEF</t>
  </si>
  <si>
    <t>C17
Francisco Alcorta
Asesor politico estrategico MINDEF</t>
  </si>
  <si>
    <t>C18
Vicente Leiva Larrañaga
Hijo Madrina</t>
  </si>
  <si>
    <t>C19
Matias Pérez Cruz
Gerenete Perezcruz</t>
  </si>
  <si>
    <t>C20
Constanza Leiva Larrañaga
T2 RNY</t>
  </si>
  <si>
    <t>C21
Pablo Lira
Jefe Gabinete Subsecretario de Defensa</t>
  </si>
  <si>
    <t>C22
Javier Coopman Corral
Jefe Gabinete Ministro de Defensa</t>
  </si>
  <si>
    <t>C23
Andrés López Lara
Director Instituto Antártico Chileno</t>
  </si>
  <si>
    <t>C24
Bárbara Carvajal Madariaga
Jefa de Gabinete Subsecretario para las FF.AA.</t>
  </si>
  <si>
    <t>C25
Alejandro Irarrázabal Alfonso
Jefe Asesor Presidencial</t>
  </si>
  <si>
    <t>C26
Marcela Paz Leiva Larrañaga
Hija Madrina</t>
  </si>
  <si>
    <t>C27
Eugenio Cornejo Locroix
Presidente Mutual de Seguros de Chile</t>
  </si>
  <si>
    <t>C28
Cecy Sirena Quijada Pérez
Esposa del Jefe estado mayor de la Armada de Perú.</t>
  </si>
  <si>
    <t>C29
Sebastian Jerez
Gerente General Farmacia Cruz Verde</t>
  </si>
  <si>
    <t>C30
José Fernando Jarpa Parada
Jefe del Servicio Religioso de la Armada</t>
  </si>
  <si>
    <t>C31
José Eduardo Piña Faúndez
Seremi Obras Públicas</t>
  </si>
  <si>
    <t>C32
Ronald Ruf Wilkomirsky
Seremi de Hacienda</t>
  </si>
  <si>
    <t>C33
Katherine Ampuero Martínez
Directora Regional Aduana de Talcahuano</t>
  </si>
  <si>
    <t>C34
Álvaro Vera Soto
Director FAMAE</t>
  </si>
  <si>
    <t>C35
Joao Costa
Director de los Navios Armada de Portugal</t>
  </si>
  <si>
    <t>C36
Gino Casassa Rogazinski
Director del INACH</t>
  </si>
  <si>
    <t>C37
Héctor Muñoz Uribe
Alcalde Ilustre Municipalidad de Concepción</t>
  </si>
  <si>
    <t>C38
Eduardo Saavedra Bustos
Alcalde Ilustre Municipalidad de Talcahuano</t>
  </si>
  <si>
    <t>C39
Rodrigo Wainraight Galilea
Alcalde de Puerto Montt</t>
  </si>
  <si>
    <t>C40
María Soledad Tapia Almonacid
Director Nacional Servicio Nacional de Pesca y Acuicultura SERNAPESCA</t>
  </si>
  <si>
    <t>C41
Marcela Cartagena Ramos
Fiscal Regional de Concepción</t>
  </si>
  <si>
    <t>C42
Alvaro Ananías Itaim
Presidernte de la Cámara de Producción y Comercio del Bio Bio</t>
  </si>
  <si>
    <t>C43
Carlos Basáez Valdebenito
Contralor Regional Bio Bio</t>
  </si>
  <si>
    <t>C44
Renzo Miccono Villablanca
Jefe VIII Zona de Carabineros BIOBÍO</t>
  </si>
  <si>
    <t>C45
Mauricio Arenas Menares
Directo General del Personal de la Armada</t>
  </si>
  <si>
    <t>FILA D</t>
  </si>
  <si>
    <t>D1
Cristian Lara Valenzuela
Director Universidad Técnica Federico Santa María Sede Concepción</t>
  </si>
  <si>
    <t>D2
Rene Valenzuea Azócar
Secretario General de la Armada</t>
  </si>
  <si>
    <t>D3
Alejandro Torres Horton
SUBMAYOR Consejo Superior ASMAR</t>
  </si>
  <si>
    <t>D4
Claudio Muñoz Cabrera
Contralor de la Armada</t>
  </si>
  <si>
    <t>D5
Daniel Opazo Riquelme
*Comandante General del Cuerpo de Infantería de Marina</t>
  </si>
  <si>
    <t>D6
Federico Saelzer Concha
*Comandante en Jefe de la Fuerza de Submarinos</t>
  </si>
  <si>
    <t>D7
José Agustín Pájaro Márquez
Director de Operaciones del Estado Mayor General de la Armada</t>
  </si>
  <si>
    <t>D8
José Miguel Hernández Jacir
Director de Astilleros y Maestranzas de la Armada</t>
  </si>
  <si>
    <t>D9
Juan Pablo Marín Fernández
Subjefe del Estado Mayor Conjunto</t>
  </si>
  <si>
    <t>D10
César Delgado Boffil
Director General de los Servicios de la Armada</t>
  </si>
  <si>
    <t>D11
RESERVADO</t>
  </si>
  <si>
    <t>D12
RESERVADO</t>
  </si>
  <si>
    <t>D13
RESERVADO</t>
  </si>
  <si>
    <t>D14
RESERVADO</t>
  </si>
  <si>
    <t>D15
RESERVADO</t>
  </si>
  <si>
    <t>D16
RESERVADO</t>
  </si>
  <si>
    <t>D17
RESERVADO</t>
  </si>
  <si>
    <t>D18
SIN SILLA</t>
  </si>
  <si>
    <t>D19
SIN SILLA</t>
  </si>
  <si>
    <t>D20
SIN SILLA</t>
  </si>
  <si>
    <t>D21
SIN SILLA</t>
  </si>
  <si>
    <t>D22
SIN SILLA</t>
  </si>
  <si>
    <t>D23
SIN SILLA</t>
  </si>
  <si>
    <t>D24
SIN SILLA</t>
  </si>
  <si>
    <t>D25
SIN SILLA</t>
  </si>
  <si>
    <t>D26
SIN SILLA</t>
  </si>
  <si>
    <t>D27
SIN SILLA</t>
  </si>
  <si>
    <t>D28
RESERVADO</t>
  </si>
  <si>
    <t>D29
RESERVADO</t>
  </si>
  <si>
    <t>D30
RESERVADO</t>
  </si>
  <si>
    <t>D31
RESERVADO</t>
  </si>
  <si>
    <t>D32
RESERVADO</t>
  </si>
  <si>
    <t>D33
RESERVADO</t>
  </si>
  <si>
    <t>D34
RESERVADO</t>
  </si>
  <si>
    <t>D35
RESERVADO</t>
  </si>
  <si>
    <t>D36
Arturo Oxley Lizana
Director General del Territorio Marítimo y de Marina Mercante</t>
  </si>
  <si>
    <t>D37
Daniel Muñoz Miranda
*Comandante de Operaciones Navales</t>
  </si>
  <si>
    <t>D38
Oscar Manzano Sanguineti
Director de Recuperaciones de Unidades de la Armada</t>
  </si>
  <si>
    <t>D39
Edgardo Acevedo Pérez
*Comandante en Jefe de la Segunda Zona Naval</t>
  </si>
  <si>
    <t>D40
Claudia Arrieta Figueroa
Esposa Comandante en Jefe de la Fuerza de Submarinos</t>
  </si>
  <si>
    <t>D41
Alberto Guerrero García
Director de Programas, Investigación y Desarrollo de la Armada</t>
  </si>
  <si>
    <t>D42
Marcel Fort Santander
Director de finanzaas de la Armada.</t>
  </si>
  <si>
    <t>D43
J. Cristobal Mendez Tapia
DIRISNAV Consejo Superior ASMAR</t>
  </si>
  <si>
    <t>D44
Jorge Vidal Berrocal
DABA Consejo Superior ASMAR</t>
  </si>
  <si>
    <t>D45
Thomas Klischies Nevermann
Director DUOC UC Sede San Andrés de Concepción</t>
  </si>
  <si>
    <t>LISTADO VIP</t>
  </si>
  <si>
    <t>Listado completo ordenado por precedencia; la distribución se visualiza en la pestaña DISTRIBUCION VIP.</t>
  </si>
  <si>
    <t>FILA MAESTRO</t>
  </si>
  <si>
    <t>José Antonio Kast Rist</t>
  </si>
  <si>
    <t>María Pía Adriasola Barroihet</t>
  </si>
  <si>
    <t>Fernando Barros Tocornal</t>
  </si>
  <si>
    <t>Fernando Cabrera Salazar</t>
  </si>
  <si>
    <t>Roxana Mery Casella</t>
  </si>
  <si>
    <t>María Cecilia Morel Montes</t>
  </si>
  <si>
    <t>Iván Moreira Barros</t>
  </si>
  <si>
    <t>Gabriel Boric Font</t>
  </si>
  <si>
    <t>Michelle Bachelet Jeria</t>
  </si>
  <si>
    <t>Ricardo Lagos Escobar</t>
  </si>
  <si>
    <t>Eduardo Frei Ruiz-tagle</t>
  </si>
  <si>
    <t>Claudio Alvarado Andrade</t>
  </si>
  <si>
    <t>Catalina Parot Donoso</t>
  </si>
  <si>
    <t>Francisco Undurruga Gazitúa</t>
  </si>
  <si>
    <t>Maya Fernández Allende</t>
  </si>
  <si>
    <t>Adriana Delpiano Puelma</t>
  </si>
  <si>
    <t>Niu Qingbao</t>
  </si>
  <si>
    <t>Johanna Kotkajarvi</t>
  </si>
  <si>
    <t>Valeria Biagiotti</t>
  </si>
  <si>
    <t>Andrew James Barrit Martin</t>
  </si>
  <si>
    <t>Ahmet Ihsan Kiziltan</t>
  </si>
  <si>
    <t>Sebastián Guanumen Parra</t>
  </si>
  <si>
    <t>Karolina Linda Guay Guay</t>
  </si>
  <si>
    <t>Per Pollen Nilsen</t>
  </si>
  <si>
    <t>Elke Schaapveld E/v Merks</t>
  </si>
  <si>
    <t>Lotty Farah Andrade Abdo</t>
  </si>
  <si>
    <t>Laura Oroz Ulibarri</t>
  </si>
  <si>
    <t>Sone Kenko</t>
  </si>
  <si>
    <t>Peleg Lewi</t>
  </si>
  <si>
    <t>Julio Leiva Molina</t>
  </si>
  <si>
    <t>Pedro Varela Sabando</t>
  </si>
  <si>
    <t>Miguel Stange Muñoz</t>
  </si>
  <si>
    <t>Marcelo Araya Zapata</t>
  </si>
  <si>
    <t>Eduardo Cerna Lozano</t>
  </si>
  <si>
    <t>Rodolfo Codina Díaz</t>
  </si>
  <si>
    <t>Marcela Larrañaga Martin</t>
  </si>
  <si>
    <t>Leonardo Romanini Gutiérrez</t>
  </si>
  <si>
    <t>Sergio Giacaman García</t>
  </si>
  <si>
    <t>Jorge Flies Añon</t>
  </si>
  <si>
    <t>Julio Anativia Zamora</t>
  </si>
  <si>
    <t>Pedro Araya Guerrero</t>
  </si>
  <si>
    <t>Camila Flores Oporto</t>
  </si>
  <si>
    <t>Gastón Saavedra Chandía</t>
  </si>
  <si>
    <t>Sebastián Keitel Bianchi</t>
  </si>
  <si>
    <t>Enrique Van Rysselberghe Herrera</t>
  </si>
  <si>
    <t>Alfonso De Urresti Longton</t>
  </si>
  <si>
    <t>Gustavo Sanhueza Dueñas</t>
  </si>
  <si>
    <t>Loreto Carvajal Ambiado</t>
  </si>
  <si>
    <t>Álvaro Carter Fernández</t>
  </si>
  <si>
    <t>Marcos Barraza Gómez</t>
  </si>
  <si>
    <t>Jorge Brito Hasbún</t>
  </si>
  <si>
    <t>Carlos Cuadrado Prats</t>
  </si>
  <si>
    <t>Hans Marowski Cuevas</t>
  </si>
  <si>
    <t>Javier Olivares Avendaño</t>
  </si>
  <si>
    <t>Omar Sabat Guzmán</t>
  </si>
  <si>
    <t>Luis Sánchez Ossa</t>
  </si>
  <si>
    <t>Daniel Valenzuela Salazar</t>
  </si>
  <si>
    <t>Daniel Manouchehri Lobos</t>
  </si>
  <si>
    <t>Patricio Briones Moller</t>
  </si>
  <si>
    <t>Cristóbal Martínez Ramírez</t>
  </si>
  <si>
    <t>José Montalva Feuerhake</t>
  </si>
  <si>
    <t>Cristian Neira Martínez</t>
  </si>
  <si>
    <t>Diego Schalper Sepúlveda</t>
  </si>
  <si>
    <t>Daniela Serrano Salazar</t>
  </si>
  <si>
    <t>Consuelo Veloso Ávila</t>
  </si>
  <si>
    <t>Gael Yeomans Araya</t>
  </si>
  <si>
    <t>Roberto Arroyo Muñoz</t>
  </si>
  <si>
    <t>Sergio Bobadilla Muñoz</t>
  </si>
  <si>
    <t>Paz Charpentier Rajcevich</t>
  </si>
  <si>
    <t>Francesca Muñoz González</t>
  </si>
  <si>
    <t>Álvaro Ortíz Vera</t>
  </si>
  <si>
    <t>Marlene Pérez Cartes</t>
  </si>
  <si>
    <t>José Rivas Villalobos</t>
  </si>
  <si>
    <t>Lilian Betancurt Delgado</t>
  </si>
  <si>
    <t>Joanna Pérez Olea</t>
  </si>
  <si>
    <t>Patricio Pinilla Valencia</t>
  </si>
  <si>
    <t>Cristóbal Urruticoechea Ríos</t>
  </si>
  <si>
    <t>Flor Weisse Novoa</t>
  </si>
  <si>
    <t>Rodrigo Álvarez Aguirre</t>
  </si>
  <si>
    <t>Christian Bolívar Romero</t>
  </si>
  <si>
    <t>Rafael Araos Bralic</t>
  </si>
  <si>
    <t>Julio Cacho Morán</t>
  </si>
  <si>
    <t>Catalina Ugarte Millán</t>
  </si>
  <si>
    <t>José Ignacio Mujica Castro</t>
  </si>
  <si>
    <t>Elizabeth Zapata González</t>
  </si>
  <si>
    <t>Santiago Browne Hurtado</t>
  </si>
  <si>
    <t>Carla Coronado</t>
  </si>
  <si>
    <t>Fernando Hentzschel</t>
  </si>
  <si>
    <t>José Pablo Gómez</t>
  </si>
  <si>
    <t>José Ignacio Llodrá Vial</t>
  </si>
  <si>
    <t>Andrés López Lara</t>
  </si>
  <si>
    <t>Javier Coopman Corral</t>
  </si>
  <si>
    <t>Bárbara Carvajal Madariaga</t>
  </si>
  <si>
    <t>Pablo Lira</t>
  </si>
  <si>
    <t>Alejandro Irarrázabal Alfonso</t>
  </si>
  <si>
    <t>Constanza Leiva Larrañaga</t>
  </si>
  <si>
    <t>Marcela Paz Leiva Larrañaga</t>
  </si>
  <si>
    <t>Matias Pérez Cruz</t>
  </si>
  <si>
    <t>Eugenio Cornejo Locroix</t>
  </si>
  <si>
    <t>Vicente Leiva Larrañaga</t>
  </si>
  <si>
    <t>Cecy Sirena Quijada Pérez</t>
  </si>
  <si>
    <t>Francisco Alcorta</t>
  </si>
  <si>
    <t>Sebastian Jerez</t>
  </si>
  <si>
    <t>Constanza Pérez</t>
  </si>
  <si>
    <t>José Fernando Jarpa Parada</t>
  </si>
  <si>
    <t>Vladimir Recabarren Esparza</t>
  </si>
  <si>
    <t>José Eduardo Piña Faúndez</t>
  </si>
  <si>
    <t>Pedro Ramirez Glade</t>
  </si>
  <si>
    <t>Ronald Ruf Wilkomirsky</t>
  </si>
  <si>
    <t>Mario Farren Risopatrón</t>
  </si>
  <si>
    <t>Katherine Ampuero Martínez</t>
  </si>
  <si>
    <t>Henry Cleveland Cartes</t>
  </si>
  <si>
    <t>Álvaro Vera Soto</t>
  </si>
  <si>
    <t>Jorge Pires</t>
  </si>
  <si>
    <t>Joao Costa</t>
  </si>
  <si>
    <t>Claudio Bunster Weitzmann</t>
  </si>
  <si>
    <t>Gino Casassa Rogazinski</t>
  </si>
  <si>
    <t>Rafael Cabrera Osorio</t>
  </si>
  <si>
    <t>Héctor Muñoz Uribe</t>
  </si>
  <si>
    <t>Miguel Rivera Morales</t>
  </si>
  <si>
    <t>Eduardo Saavedra Bustos</t>
  </si>
  <si>
    <t>Carla Amtmann Fecci</t>
  </si>
  <si>
    <t>Rodrigo Wainraight Galilea</t>
  </si>
  <si>
    <t>Claudio Radonich Jiménez</t>
  </si>
  <si>
    <t>María Soledad Tapia Almonacid</t>
  </si>
  <si>
    <t>Pablo Zavala Fernández</t>
  </si>
  <si>
    <t>Marcela Cartagena Ramos</t>
  </si>
  <si>
    <t>Claudio Andrade Otarola</t>
  </si>
  <si>
    <t>Alvaro Ananías Itaim</t>
  </si>
  <si>
    <t>Oscar Rivera Marin</t>
  </si>
  <si>
    <t>Carlos Basáez Valdebenito</t>
  </si>
  <si>
    <t>Claudia Chamorro Contreras</t>
  </si>
  <si>
    <t>Renzo Miccono Villablanca</t>
  </si>
  <si>
    <t>Raúl Zamorano Goñi</t>
  </si>
  <si>
    <t>Mauricio Arenas Menares</t>
  </si>
  <si>
    <t>César Delgado Boffil</t>
  </si>
  <si>
    <t>Arturo Oxley Lizana</t>
  </si>
  <si>
    <t>Juan Pablo Marín Fernández</t>
  </si>
  <si>
    <t>Daniel Muñoz Miranda</t>
  </si>
  <si>
    <t>José Miguel Hernández Jacir</t>
  </si>
  <si>
    <t>Oscar Manzano Sanguineti</t>
  </si>
  <si>
    <t>José Agustín Pájaro Márquez</t>
  </si>
  <si>
    <t>Edgardo Acevedo Pérez</t>
  </si>
  <si>
    <t>Federico Saelzer Concha</t>
  </si>
  <si>
    <t>Claudia Arrieta Figueroa</t>
  </si>
  <si>
    <t>Daniel Opazo Riquelme</t>
  </si>
  <si>
    <t>Alberto Guerrero García</t>
  </si>
  <si>
    <t>Claudio Muñoz Cabrera</t>
  </si>
  <si>
    <t>Marcel Fort Santander</t>
  </si>
  <si>
    <t>Alejandro Torres Horton</t>
  </si>
  <si>
    <t>J. Cristobal Mendez Tapia</t>
  </si>
  <si>
    <t>Rene Valenzuea Azócar</t>
  </si>
  <si>
    <t>Jorge Vidal Berrocal</t>
  </si>
  <si>
    <t>Cristian Lara Valenzuela</t>
  </si>
  <si>
    <t>Thomas Klischies Nevermann</t>
  </si>
  <si>
    <t>Egon Montecinos Montecinos</t>
  </si>
  <si>
    <t>Jacqueline Sepúlveda Carreño</t>
  </si>
  <si>
    <t>Benito Umaña Hermosilla</t>
  </si>
  <si>
    <t>Roger Sepulveda Carrasco</t>
  </si>
  <si>
    <t>Federico Valdés Lafontaine</t>
  </si>
  <si>
    <t>Cristhian Mellado Cid</t>
  </si>
  <si>
    <t>Claudio Concha Navalón</t>
  </si>
  <si>
    <t>Henry Monks Ruiz</t>
  </si>
  <si>
    <t>Carlos Gonzälez Correa</t>
  </si>
  <si>
    <t>Paz Hormazábal Poblete</t>
  </si>
  <si>
    <t>Holger Paulmann</t>
  </si>
  <si>
    <t>Mónica Álvarez P.</t>
  </si>
  <si>
    <t>Renzo Corona S.</t>
  </si>
  <si>
    <t>Joaquin Dagá Kunze</t>
  </si>
  <si>
    <t>Nelson Morais</t>
  </si>
  <si>
    <t>David Gonzalez Lorenzo</t>
  </si>
  <si>
    <t>Gonzalo Tampier Brockhaus</t>
  </si>
  <si>
    <t>Alessandro Pulleghini Flores</t>
  </si>
  <si>
    <t>Pablo Berg Aldoney</t>
  </si>
  <si>
    <t>César Negrete Cristi</t>
  </si>
  <si>
    <t>Christian Marambio Taylor</t>
  </si>
  <si>
    <t>Joaquín Opazo Rojas</t>
  </si>
  <si>
    <t>Luis González Otero</t>
  </si>
  <si>
    <t>Victor Pasquel Meléndez</t>
  </si>
  <si>
    <t>Karen Krakman</t>
  </si>
  <si>
    <t>Alvaro Fisher</t>
  </si>
  <si>
    <t>Marcelo Fuster Roa</t>
  </si>
  <si>
    <t>Fernando García</t>
  </si>
  <si>
    <t>Bernardo Matte Larraín</t>
  </si>
  <si>
    <t>Peter Foley</t>
  </si>
  <si>
    <t>Patricio Martínez Fernández</t>
  </si>
  <si>
    <t>Manuel Bagnara</t>
  </si>
  <si>
    <t>Jorge Sabag Villalobos</t>
  </si>
  <si>
    <t>Milka Gavilán Ortiz</t>
  </si>
  <si>
    <t>Rodrigo Silva</t>
  </si>
  <si>
    <t>Tomás Zavala Mujica</t>
  </si>
  <si>
    <t>Carlos Cardoen Cornejo</t>
  </si>
  <si>
    <t>Rodrigo Cardoen Aylwin</t>
  </si>
  <si>
    <t>Cristian Vergara</t>
  </si>
  <si>
    <t>Peter Schmohl</t>
  </si>
  <si>
    <t>David Fernández</t>
  </si>
  <si>
    <t>Nelson Donoso</t>
  </si>
  <si>
    <t>Bernardita Roa Astete</t>
  </si>
  <si>
    <t>Francisco Sotomayor</t>
  </si>
  <si>
    <t>Hans Kossmann</t>
  </si>
  <si>
    <t>Fernando Rodríguez</t>
  </si>
  <si>
    <t>Francisco Hederra Pinto</t>
  </si>
  <si>
    <t>Jorge Mutschler Castillo</t>
  </si>
  <si>
    <t>Roberta Mutschler</t>
  </si>
  <si>
    <t>José Luis Fauré Cañas</t>
  </si>
  <si>
    <t>Pedro Iturriaga González</t>
  </si>
  <si>
    <t>Roberto Rodriguez</t>
  </si>
  <si>
    <t>Sidney Chellew Daydi</t>
  </si>
  <si>
    <t>Gise Van Mourik</t>
  </si>
  <si>
    <t>Iván Almendra</t>
  </si>
  <si>
    <t>Javier Gamundi Fernández</t>
  </si>
  <si>
    <t>Carlos González</t>
  </si>
  <si>
    <t>Patricio Fernández Goberna</t>
  </si>
  <si>
    <t>Daniel Sánchez de Pablo</t>
  </si>
  <si>
    <t>Antonio José Llago Hermida</t>
  </si>
  <si>
    <t>Pablo Guerrero Salgado</t>
  </si>
  <si>
    <t>Atle David Monsen</t>
  </si>
  <si>
    <t>Ivan Danchev Ivanov</t>
  </si>
  <si>
    <t>Benedetto Catanzato</t>
  </si>
  <si>
    <t>Daniele Apolo</t>
  </si>
  <si>
    <t>Björn Ullbro</t>
  </si>
  <si>
    <t>Li Chen</t>
  </si>
  <si>
    <t>Dirk Lange</t>
  </si>
  <si>
    <t>Tobias Zimmermann</t>
  </si>
  <si>
    <t>Kai Hupka</t>
  </si>
  <si>
    <t>Walter Espinoza Birr</t>
  </si>
  <si>
    <t>Felipe Howard</t>
  </si>
  <si>
    <t>Juan De La Cueva</t>
  </si>
  <si>
    <t>Javier Romero Caramelo</t>
  </si>
  <si>
    <t>Aaron López</t>
  </si>
  <si>
    <t>Ricardo Domínguez</t>
  </si>
  <si>
    <t>Eduardo Dobarro Rubido</t>
  </si>
  <si>
    <t>Pablo Menéndez Gómez</t>
  </si>
  <si>
    <t>Gonzalo Mateo</t>
  </si>
  <si>
    <t>Pablo Fernández</t>
  </si>
  <si>
    <t>Federico Álvarez Ordoñez</t>
  </si>
  <si>
    <t>Héctor Bacigalupo Falcón</t>
  </si>
  <si>
    <t>Rafael Castillo Vallejos</t>
  </si>
  <si>
    <t>Guillermo Luttges Mathieu</t>
  </si>
  <si>
    <t>VIP PENDIENTE POR ASIGNAR</t>
  </si>
  <si>
    <t>Invitados VIP que no alcanzan asiento disponible.</t>
  </si>
  <si>
    <t>LISTAS Y PARÁMETROS</t>
  </si>
  <si>
    <t>ASISTENCIA</t>
  </si>
  <si>
    <t>TRIBUNAS</t>
  </si>
  <si>
    <t>FUENTES</t>
  </si>
  <si>
    <t>FUENTES OPA</t>
  </si>
  <si>
    <t>CAPACIDAD VIP</t>
  </si>
  <si>
    <t>149 asientos</t>
  </si>
  <si>
    <t>Centro A21</t>
  </si>
  <si>
    <t>Solo tribuna VIP</t>
  </si>
  <si>
    <t>si</t>
  </si>
  <si>
    <t>Leiva Bustamante, Alfonso</t>
  </si>
  <si>
    <t>Sobrino JLM</t>
  </si>
  <si>
    <t>Vinko</t>
  </si>
  <si>
    <t>Yap</t>
  </si>
  <si>
    <t>Hip</t>
  </si>
  <si>
    <t>Yap Hip, Vinko</t>
  </si>
  <si>
    <t>Subgerente Operaciones Huachipato</t>
  </si>
  <si>
    <t>Ludwig</t>
  </si>
  <si>
    <t>Villanueva Bianchini, Pía</t>
  </si>
  <si>
    <t>James</t>
  </si>
  <si>
    <t>Argo</t>
  </si>
  <si>
    <t>Argo, James</t>
  </si>
  <si>
    <t>Huber</t>
  </si>
  <si>
    <t>Mas Huber, Eduardo</t>
  </si>
  <si>
    <t>Dueño Astillero SITECNA</t>
  </si>
  <si>
    <t>Tavra</t>
  </si>
  <si>
    <t>Chamy</t>
  </si>
  <si>
    <t>R.</t>
  </si>
  <si>
    <t>Director Ejecutivo CORFO BioBio</t>
  </si>
  <si>
    <t>Capitan de Fragata IM</t>
  </si>
  <si>
    <t>GBA (R.)</t>
  </si>
  <si>
    <t>* Ex - Primera Dama</t>
  </si>
  <si>
    <t>Jefe Gabinete Presidencial</t>
  </si>
  <si>
    <t>Capitán de Fragata (R.)</t>
  </si>
  <si>
    <t>A</t>
  </si>
  <si>
    <t>B</t>
  </si>
  <si>
    <t>C</t>
  </si>
  <si>
    <t>D</t>
  </si>
  <si>
    <t>Nelly</t>
  </si>
  <si>
    <t>Directora General Relaciones Institucionales Universidad del Bio Bio</t>
  </si>
  <si>
    <t>E</t>
  </si>
  <si>
    <t>Oficial jefe de ronda Regimiento Chacabuco</t>
  </si>
  <si>
    <t>Worm</t>
  </si>
  <si>
    <t>DRUA</t>
  </si>
  <si>
    <t>Marileo</t>
  </si>
  <si>
    <t>Lavín</t>
  </si>
  <si>
    <t>Delegado Presidencial Provincial de Arauco</t>
  </si>
  <si>
    <t>Pinuer</t>
  </si>
  <si>
    <t>Director Regional de CONAF</t>
  </si>
  <si>
    <t>Seremi de Economía</t>
  </si>
  <si>
    <t>Seremi de Trabajo</t>
  </si>
  <si>
    <t>Seremi de Transporte</t>
  </si>
  <si>
    <t xml:space="preserve">LATERAL </t>
  </si>
  <si>
    <t>Fierro</t>
  </si>
  <si>
    <t>Page</t>
  </si>
  <si>
    <t>Bastias</t>
  </si>
  <si>
    <t>Campos</t>
  </si>
  <si>
    <t>Coa</t>
  </si>
  <si>
    <t>SUBOFICIAL</t>
  </si>
  <si>
    <t>S1</t>
  </si>
  <si>
    <t>Seremi de Gobierno</t>
  </si>
  <si>
    <t>Sra. MINDEF</t>
  </si>
  <si>
    <t>Melkonian</t>
  </si>
  <si>
    <t>Id</t>
  </si>
  <si>
    <t>OFABAS CJA</t>
  </si>
  <si>
    <t>Director General del Personal de la Armada</t>
  </si>
  <si>
    <t>Gerente Perezcruz</t>
  </si>
  <si>
    <t>Cabrero</t>
  </si>
  <si>
    <t>Ponce</t>
  </si>
  <si>
    <t xml:space="preserve">Christian </t>
  </si>
  <si>
    <t xml:space="preserve">Hernán </t>
  </si>
  <si>
    <t>Jefe de Comunicaciones Ministra de  Ciencia, Tecnología, Conocimiento e Innovación</t>
  </si>
  <si>
    <t>Farías</t>
  </si>
  <si>
    <t>Director de la Academia de Historia Naval y Maritima de Chile</t>
  </si>
  <si>
    <t>Téllez</t>
  </si>
  <si>
    <t>Poduje</t>
  </si>
  <si>
    <t>Ministro de Vivienda y Urbanismo</t>
  </si>
  <si>
    <t>Capdeville</t>
  </si>
  <si>
    <t>Delegado Presidencial Región de Magallanes</t>
  </si>
  <si>
    <t>Directora Regional del Bio Bio de SERNAPESCA</t>
  </si>
  <si>
    <t>Faletto</t>
  </si>
  <si>
    <t>Jefe de Gabinete Delegado Presidencial Provincial de Arauco</t>
  </si>
  <si>
    <t>Periodista del Delegado Presidencial Provincial de Arauco</t>
  </si>
  <si>
    <t>Irenia</t>
  </si>
  <si>
    <t>General de Division</t>
  </si>
  <si>
    <t>Solari</t>
  </si>
  <si>
    <t>Váldes</t>
  </si>
  <si>
    <t>Representante Comandante en Jefe del Ejército</t>
  </si>
  <si>
    <t>Sub Gerente Zonal Costa Norte ESSBIO</t>
  </si>
  <si>
    <t>Zepeda</t>
  </si>
  <si>
    <t>Pilar</t>
  </si>
  <si>
    <t>Chávez</t>
  </si>
  <si>
    <t>Esposa SEZONA</t>
  </si>
  <si>
    <t>Capitán de Corbeta RN</t>
  </si>
  <si>
    <t>Ingeniero de diseño</t>
  </si>
  <si>
    <t>daneck</t>
  </si>
  <si>
    <t>Secretario Almirante</t>
  </si>
  <si>
    <t>Aros</t>
  </si>
  <si>
    <t>Representante ASIMET Comité CORFO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</si>
</sst>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</font>
    <font>
      <sz val="11"/>
      <color theme="10"/>
      <name val="Calibri"/>
      <family val="2"/>
    </font>
    <font>
      <sz val="11"/>
      <color theme="1"/>
      <name val="Calibri"/>
      <family val="2"/>
    </font>
    <font>
      <sz val="13"/>
      <color theme="1"/>
      <name val="Calibri"/>
      <family val="2"/>
    </font>
    <font>
      <b/>
      <sz val="13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</font>
    <font>
      <b/>
      <sz val="15"/>
      <name val="Calibri"/>
      <family val="2"/>
    </font>
    <font>
      <b/>
      <sz val="10"/>
      <color rgb="FFFFFFFF"/>
      <name val="Calibri"/>
      <family val="2"/>
    </font>
    <font>
      <b/>
      <sz val="11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9F3E3"/>
      </patternFill>
    </fill>
    <fill>
      <patternFill patternType="solid">
        <fgColor theme="8" tint="0.79979857783745845"/>
        <bgColor indexed="65"/>
      </patternFill>
    </fill>
    <fill>
      <patternFill patternType="solid">
        <fgColor rgb="FFCCCCFF"/>
      </patternFill>
    </fill>
    <fill>
      <patternFill patternType="solid">
        <fgColor rgb="FFE8F3EA"/>
      </patternFill>
    </fill>
    <fill>
      <patternFill patternType="solid">
        <fgColor rgb="FFCCFF33"/>
      </patternFill>
    </fill>
    <fill>
      <patternFill patternType="solid">
        <fgColor rgb="FFFFFFCC"/>
      </patternFill>
    </fill>
    <fill>
      <patternFill patternType="solid">
        <fgColor rgb="FFEAF3F8"/>
      </patternFill>
    </fill>
    <fill>
      <patternFill patternType="solid">
        <fgColor rgb="FFF3EFE6"/>
      </patternFill>
    </fill>
    <fill>
      <patternFill patternType="solid">
        <fgColor rgb="FFE7F0E2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D9D9D9"/>
      </patternFill>
    </fill>
    <fill>
      <patternFill patternType="solid">
        <fgColor rgb="FFEE6D58"/>
        <bgColor indexed="64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0" xfId="0" applyFont="1"/>
    <xf numFmtId="1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1" fontId="6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center" vertical="center" wrapText="1"/>
    </xf>
    <xf numFmtId="0" fontId="5" fillId="18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21" borderId="4" xfId="0" applyFont="1" applyFill="1" applyBorder="1" applyAlignment="1">
      <alignment horizontal="center" vertical="center" wrapText="1"/>
    </xf>
    <xf numFmtId="0" fontId="11" fillId="22" borderId="4" xfId="0" applyFont="1" applyFill="1" applyBorder="1" applyAlignment="1">
      <alignment horizontal="center" vertical="center" wrapText="1"/>
    </xf>
    <xf numFmtId="0" fontId="11" fillId="23" borderId="4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12" fillId="0" borderId="0" xfId="0" applyFont="1"/>
    <xf numFmtId="0" fontId="9" fillId="0" borderId="0" xfId="0" applyFont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19" borderId="0" xfId="0" applyFill="1"/>
    <xf numFmtId="0" fontId="13" fillId="19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19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0" borderId="4" xfId="0" applyFill="1" applyBorder="1" applyAlignment="1">
      <alignment horizontal="center" vertical="center" wrapText="1"/>
    </xf>
    <xf numFmtId="0" fontId="5" fillId="18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0" fontId="14" fillId="24" borderId="2" xfId="0" applyFont="1" applyFill="1" applyBorder="1" applyAlignment="1">
      <alignment horizontal="center" vertical="center" wrapText="1"/>
    </xf>
    <xf numFmtId="0" fontId="6" fillId="24" borderId="2" xfId="0" applyFont="1" applyFill="1" applyBorder="1" applyAlignment="1">
      <alignment horizontal="left" vertical="center" wrapText="1"/>
    </xf>
    <xf numFmtId="0" fontId="0" fillId="0" borderId="7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0" fillId="0" borderId="6" xfId="0" applyBorder="1"/>
    <xf numFmtId="0" fontId="6" fillId="14" borderId="0" xfId="0" applyFont="1" applyFill="1" applyAlignment="1">
      <alignment horizontal="left" vertical="center" wrapText="1"/>
    </xf>
    <xf numFmtId="1" fontId="6" fillId="3" borderId="0" xfId="0" applyNumberFormat="1" applyFont="1" applyFill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16" borderId="0" xfId="0" applyFont="1" applyFill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1" fontId="6" fillId="5" borderId="0" xfId="0" applyNumberFormat="1" applyFont="1" applyFill="1" applyAlignment="1">
      <alignment horizontal="center" vertical="center" wrapText="1"/>
    </xf>
    <xf numFmtId="0" fontId="6" fillId="16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4" fillId="6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3">
    <cellStyle name="Hipervínculo" xfId="1" xr:uid="{00000000-0005-0000-0000-000001000000}"/>
    <cellStyle name="Normal" xfId="0" builtinId="0"/>
    <cellStyle name="Normal 2" xfId="2" xr:uid="{00000000-0005-0000-0000-000002000000}"/>
  </cellStyles>
  <dxfs count="31">
    <dxf>
      <fill>
        <patternFill>
          <bgColor rgb="FFD9EAD3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D9EAD3"/>
      <rgbColor rgb="FF993366"/>
      <rgbColor rgb="FFFFFFCC"/>
      <rgbColor rgb="FFDBEEF4"/>
      <rgbColor rgb="FF660066"/>
      <rgbColor rgb="FFF3EFE6"/>
      <rgbColor rgb="FF0066CC"/>
      <rgbColor rgb="FFCCCCFF"/>
      <rgbColor rgb="FF000080"/>
      <rgbColor rgb="FFFF00FF"/>
      <rgbColor rgb="FFCCFF33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FF2CC"/>
      <rgbColor rgb="FFD9D9D9"/>
      <rgbColor rgb="FFFFC7CE"/>
      <rgbColor rgb="FFDDEBF7"/>
      <rgbColor rgb="FFF4CCCC"/>
      <rgbColor rgb="FF3366FF"/>
      <rgbColor rgb="FFEAF2F8"/>
      <rgbColor rgb="FFF9F3E3"/>
      <rgbColor rgb="FFE7F0E2"/>
      <rgbColor rgb="FFEAF3F8"/>
      <rgbColor rgb="FFFF6600"/>
      <rgbColor rgb="FF666666"/>
      <rgbColor rgb="FFE8F3EA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E6D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H1272"/>
  <sheetViews>
    <sheetView tabSelected="1" topLeftCell="A725" zoomScale="60" zoomScaleNormal="60" workbookViewId="0">
      <selection activeCell="L1" sqref="L1"/>
    </sheetView>
  </sheetViews>
  <sheetFormatPr baseColWidth="10" defaultColWidth="14" defaultRowHeight="17" x14ac:dyDescent="0.4"/>
  <cols>
    <col min="1" max="1" width="8" style="1" customWidth="1"/>
    <col min="2" max="2" width="12" style="2" customWidth="1"/>
    <col min="3" max="3" width="18" style="2" customWidth="1"/>
    <col min="4" max="4" width="26.7265625" style="2" bestFit="1" customWidth="1"/>
    <col min="5" max="5" width="14" style="2" customWidth="1"/>
    <col min="6" max="6" width="28" style="2" hidden="1" customWidth="1"/>
    <col min="7" max="7" width="18" style="2" customWidth="1"/>
    <col min="8" max="9" width="18" customWidth="1"/>
    <col min="10" max="10" width="14" style="3" customWidth="1"/>
    <col min="11" max="11" width="109.453125" style="4" bestFit="1" customWidth="1"/>
    <col min="12" max="13" width="28" style="2" customWidth="1"/>
    <col min="14" max="14" width="14" style="4" customWidth="1"/>
    <col min="15" max="16" width="12" customWidth="1"/>
    <col min="17" max="17" width="25.1796875" bestFit="1" customWidth="1"/>
    <col min="18" max="18" width="14" style="4" customWidth="1"/>
    <col min="19" max="16384" width="14" style="4"/>
  </cols>
  <sheetData>
    <row r="1" spans="1:17" ht="18" customHeight="1" x14ac:dyDescent="0.4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15</v>
      </c>
      <c r="N1" s="38" t="s">
        <v>12</v>
      </c>
      <c r="O1" s="38" t="s">
        <v>13</v>
      </c>
      <c r="P1" s="38" t="s">
        <v>14</v>
      </c>
      <c r="Q1" s="57" t="s">
        <v>15</v>
      </c>
    </row>
    <row r="2" spans="1:17" ht="18" hidden="1" customHeight="1" x14ac:dyDescent="0.4">
      <c r="A2" s="7">
        <f t="shared" ref="A2:A29" si="0">IF(COUNTA(C2:K2)=0,"",ROW()-1)</f>
        <v>1</v>
      </c>
      <c r="B2" s="7">
        <f t="shared" ref="B2:B29" si="1">IF($F2&lt;&gt;"",$A2,"")</f>
        <v>1</v>
      </c>
      <c r="C2" s="8" t="s">
        <v>16</v>
      </c>
      <c r="D2" s="8" t="s">
        <v>17</v>
      </c>
      <c r="E2" s="9" t="str">
        <f t="shared" ref="E2:E29" si="2">IF(UPPER($J2)="NO","",$N2)</f>
        <v>VIP</v>
      </c>
      <c r="F2" s="8" t="s">
        <v>18</v>
      </c>
      <c r="G2" s="8" t="s">
        <v>19</v>
      </c>
      <c r="H2" s="8" t="s">
        <v>20</v>
      </c>
      <c r="I2" s="8" t="s">
        <v>21</v>
      </c>
      <c r="J2" s="61" t="s">
        <v>22</v>
      </c>
      <c r="K2" s="8" t="s">
        <v>23</v>
      </c>
      <c r="L2" s="8"/>
      <c r="M2" s="8"/>
      <c r="N2" s="9" t="s">
        <v>24</v>
      </c>
      <c r="O2" s="9" t="str">
        <f t="shared" ref="O2:O29" si="3">IF(AND(UPPER($N2)="VIP",UPPER($J2)&lt;&gt;"NO",$F2&lt;&gt;""),"SI","NO")</f>
        <v>SI</v>
      </c>
      <c r="P2" s="9" t="str">
        <f t="shared" ref="P2:P29" si="4">IF(UPPER($J2)="SI","🟢",IF(UPPER($J2)="NO","🔴","🟡"))</f>
        <v>🟢</v>
      </c>
      <c r="Q2" s="58" t="s">
        <v>25</v>
      </c>
    </row>
    <row r="3" spans="1:17" ht="18" hidden="1" customHeight="1" x14ac:dyDescent="0.4">
      <c r="A3" s="10">
        <f t="shared" si="0"/>
        <v>2</v>
      </c>
      <c r="B3" s="10">
        <f t="shared" si="1"/>
        <v>2</v>
      </c>
      <c r="C3" s="11" t="s">
        <v>16</v>
      </c>
      <c r="D3" s="11" t="s">
        <v>26</v>
      </c>
      <c r="E3" s="12" t="str">
        <f t="shared" si="2"/>
        <v>VIP</v>
      </c>
      <c r="F3" s="11" t="s">
        <v>27</v>
      </c>
      <c r="G3" s="11" t="s">
        <v>28</v>
      </c>
      <c r="H3" s="11" t="s">
        <v>29</v>
      </c>
      <c r="I3" s="11" t="s">
        <v>30</v>
      </c>
      <c r="J3" s="61" t="s">
        <v>22</v>
      </c>
      <c r="K3" s="11" t="s">
        <v>31</v>
      </c>
      <c r="L3" s="11"/>
      <c r="M3" s="11"/>
      <c r="N3" s="12" t="s">
        <v>24</v>
      </c>
      <c r="O3" s="12" t="str">
        <f t="shared" si="3"/>
        <v>SI</v>
      </c>
      <c r="P3" s="12" t="str">
        <f t="shared" si="4"/>
        <v>🟢</v>
      </c>
      <c r="Q3" s="59" t="s">
        <v>39</v>
      </c>
    </row>
    <row r="4" spans="1:17" ht="18" hidden="1" customHeight="1" x14ac:dyDescent="0.4">
      <c r="A4" s="7">
        <f t="shared" si="0"/>
        <v>3</v>
      </c>
      <c r="B4" s="7">
        <f t="shared" si="1"/>
        <v>3</v>
      </c>
      <c r="C4" s="8" t="s">
        <v>16</v>
      </c>
      <c r="D4" s="8" t="s">
        <v>33</v>
      </c>
      <c r="E4" s="9" t="str">
        <f t="shared" si="2"/>
        <v>VIP</v>
      </c>
      <c r="F4" s="8" t="s">
        <v>34</v>
      </c>
      <c r="G4" s="8" t="s">
        <v>35</v>
      </c>
      <c r="H4" s="8" t="s">
        <v>36</v>
      </c>
      <c r="I4" s="8" t="s">
        <v>37</v>
      </c>
      <c r="J4" s="61" t="s">
        <v>22</v>
      </c>
      <c r="K4" s="8" t="s">
        <v>38</v>
      </c>
      <c r="L4" s="8"/>
      <c r="M4" s="8"/>
      <c r="N4" s="9" t="s">
        <v>24</v>
      </c>
      <c r="O4" s="9" t="str">
        <f t="shared" si="3"/>
        <v>SI</v>
      </c>
      <c r="P4" s="9" t="str">
        <f t="shared" si="4"/>
        <v>🟢</v>
      </c>
      <c r="Q4" s="58" t="s">
        <v>32</v>
      </c>
    </row>
    <row r="5" spans="1:17" ht="18" hidden="1" customHeight="1" x14ac:dyDescent="0.4">
      <c r="A5" s="7"/>
      <c r="B5" s="7"/>
      <c r="C5" s="8"/>
      <c r="D5" s="8"/>
      <c r="E5" s="9" t="s">
        <v>24</v>
      </c>
      <c r="F5" s="8"/>
      <c r="G5" s="8" t="s">
        <v>690</v>
      </c>
      <c r="H5" s="8" t="s">
        <v>954</v>
      </c>
      <c r="I5" s="8"/>
      <c r="J5" s="61" t="s">
        <v>22</v>
      </c>
      <c r="K5" s="8" t="s">
        <v>3345</v>
      </c>
      <c r="L5" s="8"/>
      <c r="M5" s="8"/>
      <c r="N5" s="9"/>
      <c r="O5" s="9"/>
      <c r="P5" s="9"/>
      <c r="Q5" s="58"/>
    </row>
    <row r="6" spans="1:17" ht="18" hidden="1" customHeight="1" x14ac:dyDescent="0.4">
      <c r="A6" s="10">
        <f t="shared" si="0"/>
        <v>5</v>
      </c>
      <c r="B6" s="10">
        <f t="shared" si="1"/>
        <v>5</v>
      </c>
      <c r="C6" s="11" t="s">
        <v>16</v>
      </c>
      <c r="D6" s="11" t="s">
        <v>40</v>
      </c>
      <c r="E6" s="12" t="str">
        <f t="shared" si="2"/>
        <v>VIP</v>
      </c>
      <c r="F6" s="11" t="s">
        <v>41</v>
      </c>
      <c r="G6" s="11" t="s">
        <v>35</v>
      </c>
      <c r="H6" s="11" t="s">
        <v>42</v>
      </c>
      <c r="I6" s="11" t="s">
        <v>43</v>
      </c>
      <c r="J6" s="61" t="s">
        <v>22</v>
      </c>
      <c r="K6" s="11" t="s">
        <v>44</v>
      </c>
      <c r="L6" s="11"/>
      <c r="M6" s="11"/>
      <c r="N6" s="12" t="s">
        <v>24</v>
      </c>
      <c r="O6" s="12" t="str">
        <f t="shared" si="3"/>
        <v>SI</v>
      </c>
      <c r="P6" s="12" t="str">
        <f t="shared" si="4"/>
        <v>🟢</v>
      </c>
      <c r="Q6" s="59" t="s">
        <v>45</v>
      </c>
    </row>
    <row r="7" spans="1:17" ht="18" hidden="1" customHeight="1" x14ac:dyDescent="0.4">
      <c r="A7" s="7">
        <f t="shared" si="0"/>
        <v>6</v>
      </c>
      <c r="B7" s="7">
        <f t="shared" si="1"/>
        <v>6</v>
      </c>
      <c r="C7" s="8" t="s">
        <v>16</v>
      </c>
      <c r="D7" s="8" t="s">
        <v>46</v>
      </c>
      <c r="E7" s="9" t="str">
        <f t="shared" si="2"/>
        <v>VIP</v>
      </c>
      <c r="F7" s="8" t="s">
        <v>47</v>
      </c>
      <c r="G7" s="8" t="s">
        <v>48</v>
      </c>
      <c r="H7" s="8" t="s">
        <v>49</v>
      </c>
      <c r="I7" s="8" t="s">
        <v>50</v>
      </c>
      <c r="J7" s="61" t="s">
        <v>22</v>
      </c>
      <c r="K7" s="8" t="s">
        <v>51</v>
      </c>
      <c r="L7" s="8"/>
      <c r="M7" s="8"/>
      <c r="N7" s="9" t="s">
        <v>24</v>
      </c>
      <c r="O7" s="9" t="str">
        <f t="shared" si="3"/>
        <v>SI</v>
      </c>
      <c r="P7" s="9" t="str">
        <f t="shared" si="4"/>
        <v>🟢</v>
      </c>
      <c r="Q7" s="58" t="s">
        <v>52</v>
      </c>
    </row>
    <row r="8" spans="1:17" ht="18" hidden="1" customHeight="1" x14ac:dyDescent="0.4">
      <c r="A8" s="10">
        <f t="shared" si="0"/>
        <v>7</v>
      </c>
      <c r="B8" s="10">
        <f t="shared" si="1"/>
        <v>7</v>
      </c>
      <c r="C8" s="11" t="s">
        <v>16</v>
      </c>
      <c r="D8" s="11" t="s">
        <v>46</v>
      </c>
      <c r="E8" s="12" t="str">
        <f t="shared" si="2"/>
        <v/>
      </c>
      <c r="F8" s="11" t="s">
        <v>53</v>
      </c>
      <c r="G8" s="11" t="s">
        <v>54</v>
      </c>
      <c r="H8" s="11" t="s">
        <v>55</v>
      </c>
      <c r="I8" s="11" t="s">
        <v>56</v>
      </c>
      <c r="J8" s="62" t="s">
        <v>71</v>
      </c>
      <c r="K8" s="11" t="s">
        <v>3315</v>
      </c>
      <c r="L8" s="11"/>
      <c r="M8" s="11"/>
      <c r="N8" s="12" t="s">
        <v>24</v>
      </c>
      <c r="O8" s="12" t="str">
        <f t="shared" si="3"/>
        <v>NO</v>
      </c>
      <c r="P8" s="12" t="str">
        <f t="shared" si="4"/>
        <v>🔴</v>
      </c>
      <c r="Q8" s="59" t="s">
        <v>59</v>
      </c>
    </row>
    <row r="9" spans="1:17" ht="18" hidden="1" customHeight="1" x14ac:dyDescent="0.4">
      <c r="A9" s="7">
        <f t="shared" si="0"/>
        <v>8</v>
      </c>
      <c r="B9" s="7">
        <f t="shared" si="1"/>
        <v>8</v>
      </c>
      <c r="C9" s="8" t="s">
        <v>16</v>
      </c>
      <c r="D9" s="8" t="s">
        <v>60</v>
      </c>
      <c r="E9" s="9" t="str">
        <f t="shared" si="2"/>
        <v>VIP</v>
      </c>
      <c r="F9" s="8" t="s">
        <v>61</v>
      </c>
      <c r="G9" s="8" t="s">
        <v>62</v>
      </c>
      <c r="H9" s="8" t="s">
        <v>63</v>
      </c>
      <c r="I9" s="8" t="s">
        <v>36</v>
      </c>
      <c r="J9" s="61" t="s">
        <v>22</v>
      </c>
      <c r="K9" s="8" t="s">
        <v>64</v>
      </c>
      <c r="L9" s="8"/>
      <c r="M9" s="8"/>
      <c r="N9" s="9" t="s">
        <v>24</v>
      </c>
      <c r="O9" s="9" t="str">
        <f t="shared" si="3"/>
        <v>SI</v>
      </c>
      <c r="P9" s="9" t="str">
        <f t="shared" si="4"/>
        <v>🟢</v>
      </c>
      <c r="Q9" s="58" t="s">
        <v>65</v>
      </c>
    </row>
    <row r="10" spans="1:17" ht="18" hidden="1" customHeight="1" x14ac:dyDescent="0.4">
      <c r="A10" s="10">
        <f t="shared" si="0"/>
        <v>9</v>
      </c>
      <c r="B10" s="10">
        <f t="shared" si="1"/>
        <v>9</v>
      </c>
      <c r="C10" s="11" t="s">
        <v>16</v>
      </c>
      <c r="D10" s="11" t="s">
        <v>66</v>
      </c>
      <c r="E10" s="12" t="str">
        <f t="shared" si="2"/>
        <v/>
      </c>
      <c r="F10" s="11" t="s">
        <v>67</v>
      </c>
      <c r="G10" s="11" t="s">
        <v>68</v>
      </c>
      <c r="H10" s="11" t="s">
        <v>69</v>
      </c>
      <c r="I10" s="11" t="s">
        <v>70</v>
      </c>
      <c r="J10" s="63" t="s">
        <v>71</v>
      </c>
      <c r="K10" s="11" t="s">
        <v>72</v>
      </c>
      <c r="L10" s="11"/>
      <c r="M10" s="11"/>
      <c r="N10" s="12" t="s">
        <v>24</v>
      </c>
      <c r="O10" s="12" t="str">
        <f t="shared" si="3"/>
        <v>NO</v>
      </c>
      <c r="P10" s="12" t="str">
        <f t="shared" si="4"/>
        <v>🔴</v>
      </c>
      <c r="Q10" s="59"/>
    </row>
    <row r="11" spans="1:17" ht="18" hidden="1" customHeight="1" x14ac:dyDescent="0.4">
      <c r="A11" s="7">
        <f t="shared" si="0"/>
        <v>10</v>
      </c>
      <c r="B11" s="7">
        <f t="shared" si="1"/>
        <v>10</v>
      </c>
      <c r="C11" s="8" t="s">
        <v>16</v>
      </c>
      <c r="D11" s="8" t="s">
        <v>17</v>
      </c>
      <c r="E11" s="9" t="str">
        <f t="shared" si="2"/>
        <v/>
      </c>
      <c r="F11" s="8" t="s">
        <v>73</v>
      </c>
      <c r="G11" s="8" t="s">
        <v>74</v>
      </c>
      <c r="H11" s="8" t="s">
        <v>75</v>
      </c>
      <c r="I11" s="8" t="s">
        <v>76</v>
      </c>
      <c r="J11" s="62" t="s">
        <v>71</v>
      </c>
      <c r="K11" s="8" t="s">
        <v>77</v>
      </c>
      <c r="L11" s="8"/>
      <c r="M11" s="8"/>
      <c r="N11" s="9" t="s">
        <v>24</v>
      </c>
      <c r="O11" s="9" t="str">
        <f t="shared" si="3"/>
        <v>NO</v>
      </c>
      <c r="P11" s="9" t="str">
        <f t="shared" si="4"/>
        <v>🔴</v>
      </c>
      <c r="Q11" s="58" t="s">
        <v>78</v>
      </c>
    </row>
    <row r="12" spans="1:17" ht="18" hidden="1" customHeight="1" x14ac:dyDescent="0.4">
      <c r="A12" s="10">
        <f t="shared" si="0"/>
        <v>11</v>
      </c>
      <c r="B12" s="10">
        <f t="shared" si="1"/>
        <v>11</v>
      </c>
      <c r="C12" s="11" t="s">
        <v>16</v>
      </c>
      <c r="D12" s="11" t="s">
        <v>17</v>
      </c>
      <c r="E12" s="12" t="str">
        <f t="shared" si="2"/>
        <v/>
      </c>
      <c r="F12" s="11" t="s">
        <v>79</v>
      </c>
      <c r="G12" s="11" t="s">
        <v>80</v>
      </c>
      <c r="H12" s="11" t="s">
        <v>81</v>
      </c>
      <c r="I12" s="11" t="s">
        <v>82</v>
      </c>
      <c r="J12" s="62" t="s">
        <v>71</v>
      </c>
      <c r="K12" s="11" t="s">
        <v>83</v>
      </c>
      <c r="L12" s="11"/>
      <c r="M12" s="11"/>
      <c r="N12" s="12" t="s">
        <v>24</v>
      </c>
      <c r="O12" s="12" t="str">
        <f t="shared" si="3"/>
        <v>NO</v>
      </c>
      <c r="P12" s="12" t="str">
        <f t="shared" si="4"/>
        <v>🔴</v>
      </c>
      <c r="Q12" s="59" t="s">
        <v>84</v>
      </c>
    </row>
    <row r="13" spans="1:17" ht="18" hidden="1" customHeight="1" x14ac:dyDescent="0.4">
      <c r="A13" s="7">
        <f t="shared" si="0"/>
        <v>12</v>
      </c>
      <c r="B13" s="7">
        <f t="shared" si="1"/>
        <v>12</v>
      </c>
      <c r="C13" s="8" t="s">
        <v>16</v>
      </c>
      <c r="D13" s="8" t="s">
        <v>17</v>
      </c>
      <c r="E13" s="9" t="str">
        <f t="shared" si="2"/>
        <v/>
      </c>
      <c r="F13" s="8" t="s">
        <v>85</v>
      </c>
      <c r="G13" s="8" t="s">
        <v>86</v>
      </c>
      <c r="H13" s="8" t="s">
        <v>87</v>
      </c>
      <c r="I13" s="8" t="s">
        <v>88</v>
      </c>
      <c r="J13" s="62" t="s">
        <v>71</v>
      </c>
      <c r="K13" s="8" t="s">
        <v>77</v>
      </c>
      <c r="L13" s="8"/>
      <c r="M13" s="8"/>
      <c r="N13" s="9" t="s">
        <v>24</v>
      </c>
      <c r="O13" s="9" t="str">
        <f t="shared" si="3"/>
        <v>NO</v>
      </c>
      <c r="P13" s="9" t="str">
        <f t="shared" si="4"/>
        <v>🔴</v>
      </c>
      <c r="Q13" s="58" t="s">
        <v>89</v>
      </c>
    </row>
    <row r="14" spans="1:17" ht="18" hidden="1" customHeight="1" x14ac:dyDescent="0.4">
      <c r="A14" s="10">
        <f t="shared" si="0"/>
        <v>13</v>
      </c>
      <c r="B14" s="10">
        <f t="shared" si="1"/>
        <v>13</v>
      </c>
      <c r="C14" s="11" t="s">
        <v>16</v>
      </c>
      <c r="D14" s="11" t="s">
        <v>17</v>
      </c>
      <c r="E14" s="12" t="str">
        <f t="shared" si="2"/>
        <v/>
      </c>
      <c r="F14" s="11" t="s">
        <v>90</v>
      </c>
      <c r="G14" s="11" t="s">
        <v>91</v>
      </c>
      <c r="H14" s="11" t="s">
        <v>92</v>
      </c>
      <c r="I14" s="11" t="s">
        <v>93</v>
      </c>
      <c r="J14" s="62" t="s">
        <v>71</v>
      </c>
      <c r="K14" s="11" t="s">
        <v>77</v>
      </c>
      <c r="L14" s="11"/>
      <c r="M14" s="11"/>
      <c r="N14" s="12" t="s">
        <v>24</v>
      </c>
      <c r="O14" s="12" t="str">
        <f t="shared" si="3"/>
        <v>NO</v>
      </c>
      <c r="P14" s="12" t="str">
        <f t="shared" si="4"/>
        <v>🔴</v>
      </c>
      <c r="Q14" s="59" t="s">
        <v>94</v>
      </c>
    </row>
    <row r="15" spans="1:17" ht="18" hidden="1" customHeight="1" x14ac:dyDescent="0.4">
      <c r="A15" s="7">
        <f t="shared" si="0"/>
        <v>14</v>
      </c>
      <c r="B15" s="7">
        <f t="shared" si="1"/>
        <v>14</v>
      </c>
      <c r="C15" s="8" t="s">
        <v>16</v>
      </c>
      <c r="D15" s="8" t="s">
        <v>95</v>
      </c>
      <c r="E15" s="9" t="str">
        <f t="shared" si="2"/>
        <v/>
      </c>
      <c r="F15" s="8" t="s">
        <v>96</v>
      </c>
      <c r="G15" s="8" t="s">
        <v>97</v>
      </c>
      <c r="H15" s="8" t="s">
        <v>98</v>
      </c>
      <c r="I15" s="8" t="s">
        <v>99</v>
      </c>
      <c r="J15" s="63" t="s">
        <v>71</v>
      </c>
      <c r="K15" s="8" t="s">
        <v>100</v>
      </c>
      <c r="L15" s="8"/>
      <c r="M15" s="8"/>
      <c r="N15" s="9" t="s">
        <v>24</v>
      </c>
      <c r="O15" s="9" t="str">
        <f t="shared" si="3"/>
        <v>NO</v>
      </c>
      <c r="P15" s="9" t="str">
        <f t="shared" si="4"/>
        <v>🔴</v>
      </c>
      <c r="Q15" s="58"/>
    </row>
    <row r="16" spans="1:17" ht="18" hidden="1" customHeight="1" x14ac:dyDescent="0.4">
      <c r="A16" s="10">
        <f t="shared" si="0"/>
        <v>15</v>
      </c>
      <c r="B16" s="10">
        <f t="shared" si="1"/>
        <v>15</v>
      </c>
      <c r="C16" s="11" t="s">
        <v>16</v>
      </c>
      <c r="D16" s="11" t="s">
        <v>101</v>
      </c>
      <c r="E16" s="12" t="str">
        <f t="shared" si="2"/>
        <v/>
      </c>
      <c r="F16" s="11" t="s">
        <v>102</v>
      </c>
      <c r="G16" s="11" t="s">
        <v>103</v>
      </c>
      <c r="H16" s="11" t="s">
        <v>104</v>
      </c>
      <c r="I16" s="11" t="s">
        <v>105</v>
      </c>
      <c r="J16" s="63" t="s">
        <v>71</v>
      </c>
      <c r="K16" s="11" t="s">
        <v>106</v>
      </c>
      <c r="L16" s="11"/>
      <c r="M16" s="11"/>
      <c r="N16" s="12" t="s">
        <v>24</v>
      </c>
      <c r="O16" s="12" t="str">
        <f t="shared" si="3"/>
        <v>NO</v>
      </c>
      <c r="P16" s="12" t="str">
        <f t="shared" si="4"/>
        <v>🔴</v>
      </c>
      <c r="Q16" s="59"/>
    </row>
    <row r="17" spans="1:17" ht="18" hidden="1" customHeight="1" x14ac:dyDescent="0.4">
      <c r="A17" s="7">
        <f t="shared" si="0"/>
        <v>16</v>
      </c>
      <c r="B17" s="7">
        <f t="shared" si="1"/>
        <v>16</v>
      </c>
      <c r="C17" s="8" t="s">
        <v>16</v>
      </c>
      <c r="D17" s="8" t="s">
        <v>107</v>
      </c>
      <c r="E17" s="9" t="str">
        <f t="shared" si="2"/>
        <v/>
      </c>
      <c r="F17" s="8" t="s">
        <v>108</v>
      </c>
      <c r="G17" s="8" t="s">
        <v>109</v>
      </c>
      <c r="H17" s="8" t="s">
        <v>110</v>
      </c>
      <c r="I17" s="8" t="s">
        <v>111</v>
      </c>
      <c r="J17" s="63" t="s">
        <v>71</v>
      </c>
      <c r="K17" s="8" t="s">
        <v>112</v>
      </c>
      <c r="L17" s="8"/>
      <c r="M17" s="8"/>
      <c r="N17" s="9" t="s">
        <v>24</v>
      </c>
      <c r="O17" s="9" t="str">
        <f t="shared" si="3"/>
        <v>NO</v>
      </c>
      <c r="P17" s="9" t="str">
        <f t="shared" si="4"/>
        <v>🔴</v>
      </c>
      <c r="Q17" s="58"/>
    </row>
    <row r="18" spans="1:17" ht="18" hidden="1" customHeight="1" x14ac:dyDescent="0.4">
      <c r="A18" s="10">
        <f t="shared" si="0"/>
        <v>17</v>
      </c>
      <c r="B18" s="10">
        <f t="shared" si="1"/>
        <v>17</v>
      </c>
      <c r="C18" s="11" t="s">
        <v>16</v>
      </c>
      <c r="D18" s="11" t="s">
        <v>33</v>
      </c>
      <c r="E18" s="12" t="str">
        <f t="shared" si="2"/>
        <v>VIP</v>
      </c>
      <c r="F18" s="11" t="s">
        <v>113</v>
      </c>
      <c r="G18" s="11" t="s">
        <v>114</v>
      </c>
      <c r="H18" s="11" t="s">
        <v>115</v>
      </c>
      <c r="I18" s="11" t="s">
        <v>116</v>
      </c>
      <c r="J18" s="62" t="s">
        <v>22</v>
      </c>
      <c r="K18" s="11" t="s">
        <v>117</v>
      </c>
      <c r="L18" s="11"/>
      <c r="M18" s="11"/>
      <c r="N18" s="12" t="s">
        <v>24</v>
      </c>
      <c r="O18" s="12" t="str">
        <f t="shared" si="3"/>
        <v>SI</v>
      </c>
      <c r="P18" s="12" t="str">
        <f t="shared" si="4"/>
        <v>🟢</v>
      </c>
      <c r="Q18" s="59" t="s">
        <v>118</v>
      </c>
    </row>
    <row r="19" spans="1:17" ht="18" hidden="1" customHeight="1" x14ac:dyDescent="0.4">
      <c r="A19" s="7">
        <f t="shared" si="0"/>
        <v>18</v>
      </c>
      <c r="B19" s="7">
        <f t="shared" si="1"/>
        <v>18</v>
      </c>
      <c r="C19" s="8" t="s">
        <v>16</v>
      </c>
      <c r="D19" s="8" t="s">
        <v>33</v>
      </c>
      <c r="E19" s="9" t="str">
        <f t="shared" si="2"/>
        <v/>
      </c>
      <c r="F19" s="8" t="s">
        <v>119</v>
      </c>
      <c r="G19" s="8" t="s">
        <v>120</v>
      </c>
      <c r="H19" s="8" t="s">
        <v>104</v>
      </c>
      <c r="I19" s="8" t="s">
        <v>121</v>
      </c>
      <c r="J19" s="63" t="s">
        <v>71</v>
      </c>
      <c r="K19" s="8" t="s">
        <v>122</v>
      </c>
      <c r="L19" s="8"/>
      <c r="M19" s="8"/>
      <c r="N19" s="9" t="s">
        <v>24</v>
      </c>
      <c r="O19" s="9" t="str">
        <f t="shared" si="3"/>
        <v>NO</v>
      </c>
      <c r="P19" s="9" t="str">
        <f t="shared" si="4"/>
        <v>🔴</v>
      </c>
      <c r="Q19" s="58"/>
    </row>
    <row r="20" spans="1:17" ht="18" hidden="1" customHeight="1" x14ac:dyDescent="0.4">
      <c r="A20" s="10">
        <f t="shared" si="0"/>
        <v>19</v>
      </c>
      <c r="B20" s="10">
        <f t="shared" si="1"/>
        <v>19</v>
      </c>
      <c r="C20" s="11" t="s">
        <v>16</v>
      </c>
      <c r="D20" s="11" t="s">
        <v>33</v>
      </c>
      <c r="E20" s="12" t="str">
        <f t="shared" si="2"/>
        <v/>
      </c>
      <c r="F20" s="11" t="s">
        <v>123</v>
      </c>
      <c r="G20" s="11" t="s">
        <v>68</v>
      </c>
      <c r="H20" s="11" t="s">
        <v>124</v>
      </c>
      <c r="I20" s="11" t="s">
        <v>125</v>
      </c>
      <c r="J20" s="63" t="s">
        <v>71</v>
      </c>
      <c r="K20" s="11" t="s">
        <v>126</v>
      </c>
      <c r="L20" s="11"/>
      <c r="M20" s="11"/>
      <c r="N20" s="12" t="s">
        <v>24</v>
      </c>
      <c r="O20" s="12" t="str">
        <f t="shared" si="3"/>
        <v>NO</v>
      </c>
      <c r="P20" s="12" t="str">
        <f t="shared" si="4"/>
        <v>🔴</v>
      </c>
      <c r="Q20" s="59"/>
    </row>
    <row r="21" spans="1:17" ht="18" hidden="1" customHeight="1" x14ac:dyDescent="0.4">
      <c r="A21" s="7">
        <f t="shared" si="0"/>
        <v>20</v>
      </c>
      <c r="B21" s="7">
        <f t="shared" si="1"/>
        <v>20</v>
      </c>
      <c r="C21" s="8" t="s">
        <v>16</v>
      </c>
      <c r="D21" s="8" t="s">
        <v>33</v>
      </c>
      <c r="E21" s="9" t="str">
        <f t="shared" si="2"/>
        <v/>
      </c>
      <c r="F21" s="8" t="s">
        <v>127</v>
      </c>
      <c r="G21" s="8" t="s">
        <v>128</v>
      </c>
      <c r="H21" s="8" t="s">
        <v>129</v>
      </c>
      <c r="I21" s="8" t="s">
        <v>130</v>
      </c>
      <c r="J21" s="63" t="s">
        <v>71</v>
      </c>
      <c r="K21" s="8" t="s">
        <v>131</v>
      </c>
      <c r="L21" s="8"/>
      <c r="M21" s="8"/>
      <c r="N21" s="9" t="s">
        <v>24</v>
      </c>
      <c r="O21" s="9" t="str">
        <f t="shared" si="3"/>
        <v>NO</v>
      </c>
      <c r="P21" s="9" t="str">
        <f t="shared" si="4"/>
        <v>🔴</v>
      </c>
      <c r="Q21" s="58"/>
    </row>
    <row r="22" spans="1:17" ht="18" hidden="1" customHeight="1" x14ac:dyDescent="0.4">
      <c r="A22" s="10">
        <f t="shared" si="0"/>
        <v>21</v>
      </c>
      <c r="B22" s="10">
        <f t="shared" si="1"/>
        <v>21</v>
      </c>
      <c r="C22" s="11" t="s">
        <v>16</v>
      </c>
      <c r="D22" s="11" t="s">
        <v>33</v>
      </c>
      <c r="E22" s="12" t="str">
        <f t="shared" si="2"/>
        <v/>
      </c>
      <c r="F22" s="11" t="s">
        <v>132</v>
      </c>
      <c r="G22" s="11" t="s">
        <v>133</v>
      </c>
      <c r="H22" s="11" t="s">
        <v>134</v>
      </c>
      <c r="I22" s="11" t="s">
        <v>135</v>
      </c>
      <c r="J22" s="63" t="s">
        <v>71</v>
      </c>
      <c r="K22" s="11" t="s">
        <v>136</v>
      </c>
      <c r="L22" s="11"/>
      <c r="M22" s="11"/>
      <c r="N22" s="12" t="s">
        <v>24</v>
      </c>
      <c r="O22" s="12" t="str">
        <f t="shared" si="3"/>
        <v>NO</v>
      </c>
      <c r="P22" s="12" t="str">
        <f t="shared" si="4"/>
        <v>🔴</v>
      </c>
      <c r="Q22" s="59"/>
    </row>
    <row r="23" spans="1:17" ht="18" hidden="1" customHeight="1" x14ac:dyDescent="0.4">
      <c r="A23" s="7">
        <f t="shared" si="0"/>
        <v>22</v>
      </c>
      <c r="B23" s="7">
        <f t="shared" si="1"/>
        <v>22</v>
      </c>
      <c r="C23" s="8" t="s">
        <v>16</v>
      </c>
      <c r="D23" s="8" t="s">
        <v>33</v>
      </c>
      <c r="E23" s="9" t="str">
        <f t="shared" si="2"/>
        <v/>
      </c>
      <c r="F23" s="8" t="s">
        <v>137</v>
      </c>
      <c r="G23" s="8" t="s">
        <v>138</v>
      </c>
      <c r="H23" s="8" t="s">
        <v>139</v>
      </c>
      <c r="I23" s="8" t="s">
        <v>140</v>
      </c>
      <c r="J23" s="63" t="s">
        <v>71</v>
      </c>
      <c r="K23" s="8" t="s">
        <v>141</v>
      </c>
      <c r="L23" s="8"/>
      <c r="M23" s="8"/>
      <c r="N23" s="9" t="s">
        <v>24</v>
      </c>
      <c r="O23" s="9" t="str">
        <f t="shared" si="3"/>
        <v>NO</v>
      </c>
      <c r="P23" s="9" t="str">
        <f t="shared" si="4"/>
        <v>🔴</v>
      </c>
      <c r="Q23" s="58"/>
    </row>
    <row r="24" spans="1:17" ht="18" hidden="1" customHeight="1" x14ac:dyDescent="0.4">
      <c r="A24" s="10">
        <f t="shared" si="0"/>
        <v>23</v>
      </c>
      <c r="B24" s="10">
        <f t="shared" si="1"/>
        <v>23</v>
      </c>
      <c r="C24" s="11" t="s">
        <v>16</v>
      </c>
      <c r="D24" s="11" t="s">
        <v>33</v>
      </c>
      <c r="E24" s="12" t="str">
        <f t="shared" si="2"/>
        <v/>
      </c>
      <c r="F24" s="11" t="s">
        <v>142</v>
      </c>
      <c r="G24" s="11" t="s">
        <v>143</v>
      </c>
      <c r="H24" s="11" t="s">
        <v>144</v>
      </c>
      <c r="I24" s="11" t="s">
        <v>145</v>
      </c>
      <c r="J24" s="62" t="s">
        <v>71</v>
      </c>
      <c r="K24" s="11" t="s">
        <v>146</v>
      </c>
      <c r="L24" s="11"/>
      <c r="M24" s="11"/>
      <c r="N24" s="12" t="s">
        <v>24</v>
      </c>
      <c r="O24" s="12" t="str">
        <f t="shared" si="3"/>
        <v>NO</v>
      </c>
      <c r="P24" s="12" t="str">
        <f t="shared" si="4"/>
        <v>🔴</v>
      </c>
      <c r="Q24" s="59" t="s">
        <v>147</v>
      </c>
    </row>
    <row r="25" spans="1:17" ht="18" hidden="1" customHeight="1" x14ac:dyDescent="0.4">
      <c r="A25" s="10"/>
      <c r="B25" s="10"/>
      <c r="C25" s="11" t="s">
        <v>16</v>
      </c>
      <c r="D25" s="11" t="s">
        <v>33</v>
      </c>
      <c r="E25" s="12" t="s">
        <v>24</v>
      </c>
      <c r="F25" s="11"/>
      <c r="G25" s="11" t="s">
        <v>62</v>
      </c>
      <c r="H25" s="11" t="s">
        <v>3359</v>
      </c>
      <c r="I25" s="11" t="s">
        <v>3361</v>
      </c>
      <c r="J25" s="62" t="s">
        <v>22</v>
      </c>
      <c r="K25" s="11" t="s">
        <v>3360</v>
      </c>
      <c r="L25" s="11"/>
      <c r="M25" s="11"/>
      <c r="N25" s="12"/>
      <c r="O25" s="12"/>
      <c r="P25" s="12" t="str">
        <f t="shared" si="4"/>
        <v>🟢</v>
      </c>
      <c r="Q25" s="59"/>
    </row>
    <row r="26" spans="1:17" ht="18" hidden="1" customHeight="1" x14ac:dyDescent="0.4">
      <c r="A26" s="7">
        <f t="shared" si="0"/>
        <v>25</v>
      </c>
      <c r="B26" s="7">
        <f t="shared" si="1"/>
        <v>25</v>
      </c>
      <c r="C26" s="8" t="s">
        <v>16</v>
      </c>
      <c r="D26" s="8" t="s">
        <v>33</v>
      </c>
      <c r="E26" s="9" t="str">
        <f t="shared" si="2"/>
        <v/>
      </c>
      <c r="F26" s="8" t="s">
        <v>148</v>
      </c>
      <c r="G26" s="8" t="s">
        <v>149</v>
      </c>
      <c r="H26" s="8" t="s">
        <v>150</v>
      </c>
      <c r="I26" s="8" t="s">
        <v>135</v>
      </c>
      <c r="J26" s="62" t="s">
        <v>71</v>
      </c>
      <c r="K26" s="8" t="s">
        <v>151</v>
      </c>
      <c r="L26" s="8"/>
      <c r="M26" s="8"/>
      <c r="N26" s="9" t="s">
        <v>24</v>
      </c>
      <c r="O26" s="9" t="str">
        <f t="shared" si="3"/>
        <v>NO</v>
      </c>
      <c r="P26" s="9" t="str">
        <f t="shared" si="4"/>
        <v>🔴</v>
      </c>
      <c r="Q26" s="58"/>
    </row>
    <row r="27" spans="1:17" ht="18" hidden="1" customHeight="1" x14ac:dyDescent="0.4">
      <c r="A27" s="10">
        <f t="shared" si="0"/>
        <v>26</v>
      </c>
      <c r="B27" s="10">
        <f t="shared" si="1"/>
        <v>26</v>
      </c>
      <c r="C27" s="11" t="s">
        <v>16</v>
      </c>
      <c r="D27" s="11" t="s">
        <v>33</v>
      </c>
      <c r="E27" s="12" t="str">
        <f t="shared" si="2"/>
        <v/>
      </c>
      <c r="F27" s="11" t="s">
        <v>152</v>
      </c>
      <c r="G27" s="11" t="s">
        <v>153</v>
      </c>
      <c r="H27" s="11" t="s">
        <v>154</v>
      </c>
      <c r="I27" s="11" t="s">
        <v>155</v>
      </c>
      <c r="J27" s="63" t="s">
        <v>71</v>
      </c>
      <c r="K27" s="11" t="s">
        <v>156</v>
      </c>
      <c r="L27" s="11"/>
      <c r="M27" s="11"/>
      <c r="N27" s="12" t="s">
        <v>24</v>
      </c>
      <c r="O27" s="12" t="str">
        <f t="shared" si="3"/>
        <v>NO</v>
      </c>
      <c r="P27" s="12" t="str">
        <f t="shared" si="4"/>
        <v>🔴</v>
      </c>
      <c r="Q27" s="59"/>
    </row>
    <row r="28" spans="1:17" ht="18" hidden="1" customHeight="1" x14ac:dyDescent="0.4">
      <c r="A28" s="7">
        <f t="shared" si="0"/>
        <v>27</v>
      </c>
      <c r="B28" s="7">
        <f t="shared" si="1"/>
        <v>27</v>
      </c>
      <c r="C28" s="8" t="s">
        <v>16</v>
      </c>
      <c r="D28" s="8" t="s">
        <v>33</v>
      </c>
      <c r="E28" s="9" t="str">
        <f t="shared" si="2"/>
        <v/>
      </c>
      <c r="F28" s="8" t="s">
        <v>157</v>
      </c>
      <c r="G28" s="8" t="s">
        <v>120</v>
      </c>
      <c r="H28" s="8" t="s">
        <v>158</v>
      </c>
      <c r="I28" s="8" t="s">
        <v>159</v>
      </c>
      <c r="J28" s="62" t="s">
        <v>71</v>
      </c>
      <c r="K28" s="8" t="s">
        <v>160</v>
      </c>
      <c r="L28" s="8"/>
      <c r="M28" s="8"/>
      <c r="N28" s="9" t="s">
        <v>24</v>
      </c>
      <c r="O28" s="9" t="str">
        <f t="shared" si="3"/>
        <v>NO</v>
      </c>
      <c r="P28" s="9" t="str">
        <f t="shared" si="4"/>
        <v>🔴</v>
      </c>
      <c r="Q28" s="58" t="s">
        <v>161</v>
      </c>
    </row>
    <row r="29" spans="1:17" ht="18" hidden="1" customHeight="1" x14ac:dyDescent="0.4">
      <c r="A29" s="10">
        <f t="shared" si="0"/>
        <v>28</v>
      </c>
      <c r="B29" s="10">
        <f t="shared" si="1"/>
        <v>28</v>
      </c>
      <c r="C29" s="11" t="s">
        <v>16</v>
      </c>
      <c r="D29" s="11" t="s">
        <v>33</v>
      </c>
      <c r="E29" s="12" t="str">
        <f t="shared" si="2"/>
        <v>VIP</v>
      </c>
      <c r="F29" s="11" t="s">
        <v>162</v>
      </c>
      <c r="G29" s="11" t="s">
        <v>149</v>
      </c>
      <c r="H29" s="11" t="s">
        <v>163</v>
      </c>
      <c r="I29" s="11" t="s">
        <v>164</v>
      </c>
      <c r="J29" s="63" t="s">
        <v>22</v>
      </c>
      <c r="K29" s="11" t="s">
        <v>165</v>
      </c>
      <c r="L29" s="11"/>
      <c r="M29" s="11"/>
      <c r="N29" s="12" t="s">
        <v>24</v>
      </c>
      <c r="O29" s="12" t="str">
        <f t="shared" si="3"/>
        <v>SI</v>
      </c>
      <c r="P29" s="12" t="str">
        <f t="shared" si="4"/>
        <v>🟢</v>
      </c>
      <c r="Q29" s="59"/>
    </row>
    <row r="30" spans="1:17" ht="18" customHeight="1" x14ac:dyDescent="0.4">
      <c r="A30" s="10">
        <f t="shared" ref="A30:A65" si="5">IF(COUNTA(C30:K30)=0,"",ROW()-1)</f>
        <v>29</v>
      </c>
      <c r="B30" s="10">
        <f t="shared" ref="B30:B65" si="6">IF($F30&lt;&gt;"",$A30,"")</f>
        <v>29</v>
      </c>
      <c r="C30" s="11" t="s">
        <v>840</v>
      </c>
      <c r="D30" s="11" t="s">
        <v>841</v>
      </c>
      <c r="E30" s="12" t="s">
        <v>3336</v>
      </c>
      <c r="F30" s="11" t="s">
        <v>842</v>
      </c>
      <c r="G30" s="11" t="s">
        <v>843</v>
      </c>
      <c r="H30" s="11" t="s">
        <v>844</v>
      </c>
      <c r="I30" s="11" t="s">
        <v>845</v>
      </c>
      <c r="J30" s="61" t="s">
        <v>22</v>
      </c>
      <c r="K30" s="11" t="s">
        <v>846</v>
      </c>
      <c r="L30" s="11" t="s">
        <v>3318</v>
      </c>
      <c r="M30" s="11">
        <v>1</v>
      </c>
      <c r="N30" s="12" t="s">
        <v>24</v>
      </c>
      <c r="O30" s="12" t="str">
        <f t="shared" ref="O30:O65" si="7">IF(AND(UPPER($N30)="VIP",UPPER($J30)&lt;&gt;"NO",$F30&lt;&gt;""),"SI","NO")</f>
        <v>SI</v>
      </c>
      <c r="P30" s="12" t="str">
        <f t="shared" ref="P30:P61" si="8">IF(UPPER($J30)="SI","🟢",IF(UPPER($J30)="NO","🔴","🟡"))</f>
        <v>🟢</v>
      </c>
      <c r="Q30" s="59" t="s">
        <v>847</v>
      </c>
    </row>
    <row r="31" spans="1:17" ht="18" hidden="1" customHeight="1" x14ac:dyDescent="0.4">
      <c r="A31" s="7">
        <f t="shared" si="5"/>
        <v>30</v>
      </c>
      <c r="B31" s="7">
        <f t="shared" si="6"/>
        <v>30</v>
      </c>
      <c r="C31" s="8" t="s">
        <v>16</v>
      </c>
      <c r="D31" s="8" t="s">
        <v>33</v>
      </c>
      <c r="E31" s="9" t="str">
        <f t="shared" ref="E31:E65" si="9">IF(UPPER($J31)="NO","",$N31)</f>
        <v/>
      </c>
      <c r="F31" s="8" t="s">
        <v>166</v>
      </c>
      <c r="G31" s="8" t="s">
        <v>68</v>
      </c>
      <c r="H31" s="8" t="s">
        <v>167</v>
      </c>
      <c r="I31" s="8" t="s">
        <v>168</v>
      </c>
      <c r="J31" s="63" t="s">
        <v>71</v>
      </c>
      <c r="K31" s="8" t="s">
        <v>169</v>
      </c>
      <c r="L31" s="8"/>
      <c r="M31" s="8"/>
      <c r="N31" s="9" t="s">
        <v>24</v>
      </c>
      <c r="O31" s="9" t="str">
        <f t="shared" si="7"/>
        <v>NO</v>
      </c>
      <c r="P31" s="9" t="str">
        <f t="shared" si="8"/>
        <v>🔴</v>
      </c>
      <c r="Q31" s="58"/>
    </row>
    <row r="32" spans="1:17" ht="18" hidden="1" customHeight="1" x14ac:dyDescent="0.4">
      <c r="A32" s="10">
        <f t="shared" si="5"/>
        <v>31</v>
      </c>
      <c r="B32" s="10">
        <f t="shared" si="6"/>
        <v>31</v>
      </c>
      <c r="C32" s="11" t="s">
        <v>16</v>
      </c>
      <c r="D32" s="11" t="s">
        <v>33</v>
      </c>
      <c r="E32" s="12" t="str">
        <f t="shared" si="9"/>
        <v/>
      </c>
      <c r="F32" s="11" t="s">
        <v>170</v>
      </c>
      <c r="G32" s="11" t="s">
        <v>171</v>
      </c>
      <c r="H32" s="11" t="s">
        <v>172</v>
      </c>
      <c r="I32" s="11" t="s">
        <v>173</v>
      </c>
      <c r="J32" s="62" t="s">
        <v>71</v>
      </c>
      <c r="K32" s="11" t="s">
        <v>174</v>
      </c>
      <c r="L32" s="11"/>
      <c r="M32" s="11"/>
      <c r="N32" s="12" t="s">
        <v>24</v>
      </c>
      <c r="O32" s="12" t="str">
        <f t="shared" si="7"/>
        <v>NO</v>
      </c>
      <c r="P32" s="12" t="str">
        <f t="shared" si="8"/>
        <v>🔴</v>
      </c>
      <c r="Q32" s="59" t="s">
        <v>175</v>
      </c>
    </row>
    <row r="33" spans="1:17" ht="18" hidden="1" customHeight="1" x14ac:dyDescent="0.4">
      <c r="A33" s="7">
        <f t="shared" si="5"/>
        <v>32</v>
      </c>
      <c r="B33" s="7">
        <f t="shared" si="6"/>
        <v>32</v>
      </c>
      <c r="C33" s="8" t="s">
        <v>16</v>
      </c>
      <c r="D33" s="8" t="s">
        <v>33</v>
      </c>
      <c r="E33" s="9" t="str">
        <f t="shared" si="9"/>
        <v/>
      </c>
      <c r="F33" s="8" t="s">
        <v>176</v>
      </c>
      <c r="G33" s="8" t="s">
        <v>177</v>
      </c>
      <c r="H33" s="8" t="s">
        <v>178</v>
      </c>
      <c r="I33" s="8" t="s">
        <v>179</v>
      </c>
      <c r="J33" s="62" t="s">
        <v>71</v>
      </c>
      <c r="K33" s="8" t="s">
        <v>174</v>
      </c>
      <c r="L33" s="8"/>
      <c r="M33" s="8"/>
      <c r="N33" s="9" t="s">
        <v>24</v>
      </c>
      <c r="O33" s="9" t="str">
        <f t="shared" si="7"/>
        <v>NO</v>
      </c>
      <c r="P33" s="9" t="str">
        <f t="shared" si="8"/>
        <v>🔴</v>
      </c>
      <c r="Q33" s="58" t="s">
        <v>180</v>
      </c>
    </row>
    <row r="34" spans="1:17" ht="18" hidden="1" customHeight="1" x14ac:dyDescent="0.4">
      <c r="A34" s="10">
        <f t="shared" si="5"/>
        <v>33</v>
      </c>
      <c r="B34" s="10">
        <f t="shared" si="6"/>
        <v>33</v>
      </c>
      <c r="C34" s="11" t="s">
        <v>16</v>
      </c>
      <c r="D34" s="11" t="s">
        <v>181</v>
      </c>
      <c r="E34" s="12" t="str">
        <f t="shared" si="9"/>
        <v/>
      </c>
      <c r="F34" s="11" t="s">
        <v>182</v>
      </c>
      <c r="G34" s="11" t="s">
        <v>183</v>
      </c>
      <c r="H34" s="11" t="s">
        <v>184</v>
      </c>
      <c r="I34" s="11"/>
      <c r="J34" s="63" t="s">
        <v>71</v>
      </c>
      <c r="K34" s="11" t="s">
        <v>185</v>
      </c>
      <c r="L34" s="11"/>
      <c r="M34" s="11"/>
      <c r="N34" s="12" t="s">
        <v>24</v>
      </c>
      <c r="O34" s="12" t="str">
        <f t="shared" si="7"/>
        <v>NO</v>
      </c>
      <c r="P34" s="12" t="str">
        <f t="shared" si="8"/>
        <v>🔴</v>
      </c>
      <c r="Q34" s="59"/>
    </row>
    <row r="35" spans="1:17" ht="18" hidden="1" customHeight="1" x14ac:dyDescent="0.4">
      <c r="A35" s="7">
        <f t="shared" si="5"/>
        <v>34</v>
      </c>
      <c r="B35" s="7">
        <f t="shared" si="6"/>
        <v>34</v>
      </c>
      <c r="C35" s="8" t="s">
        <v>16</v>
      </c>
      <c r="D35" s="8" t="s">
        <v>181</v>
      </c>
      <c r="E35" s="9" t="str">
        <f t="shared" si="9"/>
        <v/>
      </c>
      <c r="F35" s="8" t="s">
        <v>186</v>
      </c>
      <c r="G35" s="8" t="s">
        <v>187</v>
      </c>
      <c r="H35" s="8" t="s">
        <v>188</v>
      </c>
      <c r="I35" s="8" t="s">
        <v>189</v>
      </c>
      <c r="J35" s="62" t="s">
        <v>71</v>
      </c>
      <c r="K35" s="8" t="s">
        <v>190</v>
      </c>
      <c r="L35" s="8"/>
      <c r="M35" s="8"/>
      <c r="N35" s="9" t="s">
        <v>24</v>
      </c>
      <c r="O35" s="9" t="str">
        <f t="shared" si="7"/>
        <v>NO</v>
      </c>
      <c r="P35" s="9" t="str">
        <f t="shared" si="8"/>
        <v>🔴</v>
      </c>
      <c r="Q35" s="58"/>
    </row>
    <row r="36" spans="1:17" ht="18" hidden="1" customHeight="1" x14ac:dyDescent="0.4">
      <c r="A36" s="10">
        <f t="shared" si="5"/>
        <v>35</v>
      </c>
      <c r="B36" s="10">
        <f t="shared" si="6"/>
        <v>35</v>
      </c>
      <c r="C36" s="11" t="s">
        <v>16</v>
      </c>
      <c r="D36" s="11" t="s">
        <v>181</v>
      </c>
      <c r="E36" s="12" t="str">
        <f t="shared" si="9"/>
        <v/>
      </c>
      <c r="F36" s="11" t="s">
        <v>191</v>
      </c>
      <c r="G36" s="11" t="s">
        <v>192</v>
      </c>
      <c r="H36" s="11" t="s">
        <v>193</v>
      </c>
      <c r="I36" s="11"/>
      <c r="J36" s="62" t="s">
        <v>71</v>
      </c>
      <c r="K36" s="11" t="s">
        <v>194</v>
      </c>
      <c r="L36" s="11"/>
      <c r="M36" s="11"/>
      <c r="N36" s="12" t="s">
        <v>24</v>
      </c>
      <c r="O36" s="12" t="str">
        <f t="shared" si="7"/>
        <v>NO</v>
      </c>
      <c r="P36" s="12" t="str">
        <f t="shared" si="8"/>
        <v>🔴</v>
      </c>
      <c r="Q36" s="59" t="s">
        <v>195</v>
      </c>
    </row>
    <row r="37" spans="1:17" ht="18" hidden="1" customHeight="1" x14ac:dyDescent="0.4">
      <c r="A37" s="7">
        <f t="shared" si="5"/>
        <v>36</v>
      </c>
      <c r="B37" s="7">
        <f t="shared" si="6"/>
        <v>36</v>
      </c>
      <c r="C37" s="8" t="s">
        <v>16</v>
      </c>
      <c r="D37" s="8" t="s">
        <v>181</v>
      </c>
      <c r="E37" s="9" t="str">
        <f t="shared" si="9"/>
        <v>VIP</v>
      </c>
      <c r="F37" s="8" t="s">
        <v>196</v>
      </c>
      <c r="G37" s="8" t="s">
        <v>197</v>
      </c>
      <c r="H37" s="8" t="s">
        <v>198</v>
      </c>
      <c r="I37" s="8"/>
      <c r="J37" s="62" t="s">
        <v>22</v>
      </c>
      <c r="K37" s="8" t="s">
        <v>199</v>
      </c>
      <c r="L37" s="8"/>
      <c r="M37" s="8"/>
      <c r="N37" s="9" t="s">
        <v>24</v>
      </c>
      <c r="O37" s="9" t="str">
        <f t="shared" si="7"/>
        <v>SI</v>
      </c>
      <c r="P37" s="9" t="str">
        <f t="shared" si="8"/>
        <v>🟢</v>
      </c>
      <c r="Q37" s="58" t="s">
        <v>200</v>
      </c>
    </row>
    <row r="38" spans="1:17" ht="18" hidden="1" customHeight="1" x14ac:dyDescent="0.4">
      <c r="A38" s="10">
        <f t="shared" si="5"/>
        <v>37</v>
      </c>
      <c r="B38" s="10">
        <f t="shared" si="6"/>
        <v>37</v>
      </c>
      <c r="C38" s="11" t="s">
        <v>16</v>
      </c>
      <c r="D38" s="11" t="s">
        <v>181</v>
      </c>
      <c r="E38" s="12" t="str">
        <f t="shared" si="9"/>
        <v/>
      </c>
      <c r="F38" s="11" t="s">
        <v>201</v>
      </c>
      <c r="G38" s="11" t="s">
        <v>202</v>
      </c>
      <c r="H38" s="11" t="s">
        <v>203</v>
      </c>
      <c r="I38" s="11"/>
      <c r="J38" s="62" t="s">
        <v>71</v>
      </c>
      <c r="K38" s="11" t="s">
        <v>204</v>
      </c>
      <c r="L38" s="11"/>
      <c r="M38" s="11"/>
      <c r="N38" s="12" t="s">
        <v>24</v>
      </c>
      <c r="O38" s="12" t="str">
        <f t="shared" si="7"/>
        <v>NO</v>
      </c>
      <c r="P38" s="12" t="str">
        <f t="shared" si="8"/>
        <v>🔴</v>
      </c>
      <c r="Q38" s="59" t="s">
        <v>205</v>
      </c>
    </row>
    <row r="39" spans="1:17" ht="18" hidden="1" customHeight="1" x14ac:dyDescent="0.4">
      <c r="A39" s="7">
        <f t="shared" si="5"/>
        <v>38</v>
      </c>
      <c r="B39" s="7">
        <f t="shared" si="6"/>
        <v>38</v>
      </c>
      <c r="C39" s="8" t="s">
        <v>16</v>
      </c>
      <c r="D39" s="8" t="s">
        <v>181</v>
      </c>
      <c r="E39" s="9" t="str">
        <f t="shared" si="9"/>
        <v/>
      </c>
      <c r="F39" s="8" t="s">
        <v>206</v>
      </c>
      <c r="G39" s="8" t="s">
        <v>207</v>
      </c>
      <c r="H39" s="8" t="s">
        <v>208</v>
      </c>
      <c r="I39" s="8"/>
      <c r="J39" s="63" t="s">
        <v>71</v>
      </c>
      <c r="K39" s="8" t="s">
        <v>209</v>
      </c>
      <c r="L39" s="8"/>
      <c r="M39" s="8"/>
      <c r="N39" s="9" t="s">
        <v>24</v>
      </c>
      <c r="O39" s="9" t="str">
        <f t="shared" si="7"/>
        <v>NO</v>
      </c>
      <c r="P39" s="9" t="str">
        <f t="shared" si="8"/>
        <v>🔴</v>
      </c>
      <c r="Q39" s="58"/>
    </row>
    <row r="40" spans="1:17" ht="18" hidden="1" customHeight="1" x14ac:dyDescent="0.4">
      <c r="A40" s="10">
        <f t="shared" si="5"/>
        <v>39</v>
      </c>
      <c r="B40" s="10">
        <f t="shared" si="6"/>
        <v>39</v>
      </c>
      <c r="C40" s="11" t="s">
        <v>16</v>
      </c>
      <c r="D40" s="11" t="s">
        <v>181</v>
      </c>
      <c r="E40" s="12" t="str">
        <f t="shared" si="9"/>
        <v/>
      </c>
      <c r="F40" s="11" t="s">
        <v>210</v>
      </c>
      <c r="G40" s="11" t="s">
        <v>211</v>
      </c>
      <c r="H40" s="11" t="s">
        <v>212</v>
      </c>
      <c r="I40" s="11" t="s">
        <v>213</v>
      </c>
      <c r="J40" s="62" t="s">
        <v>71</v>
      </c>
      <c r="K40" s="11" t="s">
        <v>214</v>
      </c>
      <c r="L40" s="11"/>
      <c r="M40" s="11"/>
      <c r="N40" s="12" t="s">
        <v>24</v>
      </c>
      <c r="O40" s="12" t="str">
        <f t="shared" si="7"/>
        <v>NO</v>
      </c>
      <c r="P40" s="12" t="str">
        <f t="shared" si="8"/>
        <v>🔴</v>
      </c>
      <c r="Q40" s="59"/>
    </row>
    <row r="41" spans="1:17" ht="18" hidden="1" customHeight="1" x14ac:dyDescent="0.4">
      <c r="A41" s="7">
        <f t="shared" si="5"/>
        <v>40</v>
      </c>
      <c r="B41" s="7">
        <f t="shared" si="6"/>
        <v>40</v>
      </c>
      <c r="C41" s="8" t="s">
        <v>16</v>
      </c>
      <c r="D41" s="8" t="s">
        <v>181</v>
      </c>
      <c r="E41" s="9" t="str">
        <f t="shared" si="9"/>
        <v/>
      </c>
      <c r="F41" s="8" t="s">
        <v>215</v>
      </c>
      <c r="G41" s="8" t="s">
        <v>68</v>
      </c>
      <c r="H41" s="8" t="s">
        <v>216</v>
      </c>
      <c r="I41" s="8"/>
      <c r="J41" s="63" t="s">
        <v>71</v>
      </c>
      <c r="K41" s="8" t="s">
        <v>217</v>
      </c>
      <c r="L41" s="8"/>
      <c r="M41" s="8"/>
      <c r="N41" s="9" t="s">
        <v>24</v>
      </c>
      <c r="O41" s="9" t="str">
        <f t="shared" si="7"/>
        <v>NO</v>
      </c>
      <c r="P41" s="9" t="str">
        <f t="shared" si="8"/>
        <v>🔴</v>
      </c>
      <c r="Q41" s="58"/>
    </row>
    <row r="42" spans="1:17" ht="18" hidden="1" customHeight="1" x14ac:dyDescent="0.4">
      <c r="A42" s="10">
        <f t="shared" si="5"/>
        <v>41</v>
      </c>
      <c r="B42" s="10">
        <f t="shared" si="6"/>
        <v>41</v>
      </c>
      <c r="C42" s="11" t="s">
        <v>16</v>
      </c>
      <c r="D42" s="11" t="s">
        <v>181</v>
      </c>
      <c r="E42" s="12" t="str">
        <f t="shared" si="9"/>
        <v/>
      </c>
      <c r="F42" s="11" t="s">
        <v>218</v>
      </c>
      <c r="G42" s="11" t="s">
        <v>219</v>
      </c>
      <c r="H42" s="11" t="s">
        <v>220</v>
      </c>
      <c r="I42" s="11" t="s">
        <v>221</v>
      </c>
      <c r="J42" s="62" t="s">
        <v>71</v>
      </c>
      <c r="K42" s="11" t="s">
        <v>222</v>
      </c>
      <c r="L42" s="11"/>
      <c r="M42" s="11"/>
      <c r="N42" s="12" t="s">
        <v>24</v>
      </c>
      <c r="O42" s="12" t="str">
        <f t="shared" si="7"/>
        <v>NO</v>
      </c>
      <c r="P42" s="12" t="str">
        <f t="shared" si="8"/>
        <v>🔴</v>
      </c>
      <c r="Q42" s="59" t="s">
        <v>223</v>
      </c>
    </row>
    <row r="43" spans="1:17" ht="18" hidden="1" customHeight="1" x14ac:dyDescent="0.4">
      <c r="A43" s="7">
        <f t="shared" si="5"/>
        <v>42</v>
      </c>
      <c r="B43" s="7">
        <f t="shared" si="6"/>
        <v>42</v>
      </c>
      <c r="C43" s="8" t="s">
        <v>16</v>
      </c>
      <c r="D43" s="8" t="s">
        <v>181</v>
      </c>
      <c r="E43" s="9" t="str">
        <f t="shared" si="9"/>
        <v/>
      </c>
      <c r="F43" s="8" t="s">
        <v>224</v>
      </c>
      <c r="G43" s="8" t="s">
        <v>225</v>
      </c>
      <c r="H43" s="8" t="s">
        <v>226</v>
      </c>
      <c r="I43" s="8"/>
      <c r="J43" s="61" t="s">
        <v>71</v>
      </c>
      <c r="K43" s="8" t="s">
        <v>227</v>
      </c>
      <c r="L43" s="8"/>
      <c r="M43" s="8"/>
      <c r="N43" s="9" t="s">
        <v>24</v>
      </c>
      <c r="O43" s="9" t="str">
        <f t="shared" si="7"/>
        <v>NO</v>
      </c>
      <c r="P43" s="9" t="str">
        <f t="shared" si="8"/>
        <v>🔴</v>
      </c>
      <c r="Q43" s="58"/>
    </row>
    <row r="44" spans="1:17" ht="18" hidden="1" customHeight="1" x14ac:dyDescent="0.4">
      <c r="A44" s="10">
        <f t="shared" si="5"/>
        <v>43</v>
      </c>
      <c r="B44" s="10">
        <f t="shared" si="6"/>
        <v>43</v>
      </c>
      <c r="C44" s="11" t="s">
        <v>16</v>
      </c>
      <c r="D44" s="11" t="s">
        <v>181</v>
      </c>
      <c r="E44" s="12" t="str">
        <f t="shared" si="9"/>
        <v/>
      </c>
      <c r="F44" s="11" t="s">
        <v>228</v>
      </c>
      <c r="G44" s="11" t="s">
        <v>97</v>
      </c>
      <c r="H44" s="11" t="s">
        <v>229</v>
      </c>
      <c r="I44" s="11"/>
      <c r="J44" s="63" t="s">
        <v>71</v>
      </c>
      <c r="K44" s="11" t="s">
        <v>230</v>
      </c>
      <c r="L44" s="11"/>
      <c r="M44" s="11"/>
      <c r="N44" s="12" t="s">
        <v>24</v>
      </c>
      <c r="O44" s="12" t="str">
        <f t="shared" si="7"/>
        <v>NO</v>
      </c>
      <c r="P44" s="12" t="str">
        <f t="shared" si="8"/>
        <v>🔴</v>
      </c>
      <c r="Q44" s="59"/>
    </row>
    <row r="45" spans="1:17" ht="18" hidden="1" customHeight="1" x14ac:dyDescent="0.4">
      <c r="A45" s="7">
        <f t="shared" si="5"/>
        <v>44</v>
      </c>
      <c r="B45" s="7">
        <f t="shared" si="6"/>
        <v>44</v>
      </c>
      <c r="C45" s="8" t="s">
        <v>16</v>
      </c>
      <c r="D45" s="8" t="s">
        <v>181</v>
      </c>
      <c r="E45" s="9" t="str">
        <f t="shared" si="9"/>
        <v>VIP</v>
      </c>
      <c r="F45" s="8" t="s">
        <v>231</v>
      </c>
      <c r="G45" s="8" t="s">
        <v>232</v>
      </c>
      <c r="H45" s="8" t="s">
        <v>233</v>
      </c>
      <c r="I45" s="8" t="s">
        <v>234</v>
      </c>
      <c r="J45" s="61" t="s">
        <v>22</v>
      </c>
      <c r="K45" s="8" t="s">
        <v>235</v>
      </c>
      <c r="L45" s="8"/>
      <c r="M45" s="8"/>
      <c r="N45" s="9" t="s">
        <v>24</v>
      </c>
      <c r="O45" s="9" t="str">
        <f t="shared" si="7"/>
        <v>SI</v>
      </c>
      <c r="P45" s="9" t="str">
        <f t="shared" si="8"/>
        <v>🟢</v>
      </c>
      <c r="Q45" s="58" t="s">
        <v>236</v>
      </c>
    </row>
    <row r="46" spans="1:17" ht="18" hidden="1" customHeight="1" x14ac:dyDescent="0.4">
      <c r="A46" s="10">
        <f t="shared" si="5"/>
        <v>45</v>
      </c>
      <c r="B46" s="10">
        <f t="shared" si="6"/>
        <v>45</v>
      </c>
      <c r="C46" s="11" t="s">
        <v>16</v>
      </c>
      <c r="D46" s="11" t="s">
        <v>181</v>
      </c>
      <c r="E46" s="12" t="str">
        <f t="shared" si="9"/>
        <v/>
      </c>
      <c r="F46" s="11" t="s">
        <v>237</v>
      </c>
      <c r="G46" s="11" t="s">
        <v>238</v>
      </c>
      <c r="H46" s="11" t="s">
        <v>239</v>
      </c>
      <c r="I46" s="11"/>
      <c r="J46" s="63" t="s">
        <v>71</v>
      </c>
      <c r="K46" s="11" t="s">
        <v>240</v>
      </c>
      <c r="L46" s="11"/>
      <c r="M46" s="11"/>
      <c r="N46" s="12" t="s">
        <v>24</v>
      </c>
      <c r="O46" s="12" t="str">
        <f t="shared" si="7"/>
        <v>NO</v>
      </c>
      <c r="P46" s="12" t="str">
        <f t="shared" si="8"/>
        <v>🔴</v>
      </c>
      <c r="Q46" s="59"/>
    </row>
    <row r="47" spans="1:17" ht="18" hidden="1" customHeight="1" x14ac:dyDescent="0.4">
      <c r="A47" s="7">
        <f t="shared" si="5"/>
        <v>46</v>
      </c>
      <c r="B47" s="7">
        <f t="shared" si="6"/>
        <v>46</v>
      </c>
      <c r="C47" s="8" t="s">
        <v>16</v>
      </c>
      <c r="D47" s="8" t="s">
        <v>181</v>
      </c>
      <c r="E47" s="9" t="str">
        <f t="shared" si="9"/>
        <v>VIP</v>
      </c>
      <c r="F47" s="8" t="s">
        <v>241</v>
      </c>
      <c r="G47" s="8" t="s">
        <v>242</v>
      </c>
      <c r="H47" s="8" t="s">
        <v>243</v>
      </c>
      <c r="I47" s="8" t="s">
        <v>244</v>
      </c>
      <c r="J47" s="61" t="s">
        <v>22</v>
      </c>
      <c r="K47" s="8" t="s">
        <v>245</v>
      </c>
      <c r="L47" s="8"/>
      <c r="M47" s="8"/>
      <c r="N47" s="9" t="s">
        <v>24</v>
      </c>
      <c r="O47" s="9" t="str">
        <f t="shared" si="7"/>
        <v>SI</v>
      </c>
      <c r="P47" s="9" t="str">
        <f t="shared" si="8"/>
        <v>🟢</v>
      </c>
      <c r="Q47" s="58" t="s">
        <v>246</v>
      </c>
    </row>
    <row r="48" spans="1:17" ht="18" hidden="1" customHeight="1" x14ac:dyDescent="0.4">
      <c r="A48" s="10">
        <f t="shared" si="5"/>
        <v>47</v>
      </c>
      <c r="B48" s="10">
        <f t="shared" si="6"/>
        <v>47</v>
      </c>
      <c r="C48" s="11" t="s">
        <v>16</v>
      </c>
      <c r="D48" s="11" t="s">
        <v>181</v>
      </c>
      <c r="E48" s="12" t="str">
        <f t="shared" si="9"/>
        <v>VIP</v>
      </c>
      <c r="F48" s="11" t="s">
        <v>247</v>
      </c>
      <c r="G48" s="11" t="s">
        <v>248</v>
      </c>
      <c r="H48" s="11" t="s">
        <v>249</v>
      </c>
      <c r="I48" s="11" t="s">
        <v>249</v>
      </c>
      <c r="J48" s="61" t="s">
        <v>22</v>
      </c>
      <c r="K48" s="11" t="s">
        <v>250</v>
      </c>
      <c r="L48" s="11"/>
      <c r="M48" s="11"/>
      <c r="N48" s="12" t="s">
        <v>24</v>
      </c>
      <c r="O48" s="12" t="str">
        <f t="shared" si="7"/>
        <v>SI</v>
      </c>
      <c r="P48" s="12" t="str">
        <f t="shared" si="8"/>
        <v>🟢</v>
      </c>
      <c r="Q48" s="59" t="s">
        <v>251</v>
      </c>
    </row>
    <row r="49" spans="1:17" ht="18" hidden="1" customHeight="1" x14ac:dyDescent="0.4">
      <c r="A49" s="7">
        <f t="shared" si="5"/>
        <v>48</v>
      </c>
      <c r="B49" s="7">
        <f t="shared" si="6"/>
        <v>48</v>
      </c>
      <c r="C49" s="8" t="s">
        <v>16</v>
      </c>
      <c r="D49" s="8" t="s">
        <v>181</v>
      </c>
      <c r="E49" s="9" t="str">
        <f t="shared" si="9"/>
        <v>VIP</v>
      </c>
      <c r="F49" s="8" t="s">
        <v>252</v>
      </c>
      <c r="G49" s="8" t="s">
        <v>253</v>
      </c>
      <c r="H49" s="8" t="s">
        <v>254</v>
      </c>
      <c r="I49" s="8" t="s">
        <v>255</v>
      </c>
      <c r="J49" s="62" t="s">
        <v>22</v>
      </c>
      <c r="K49" s="8" t="s">
        <v>256</v>
      </c>
      <c r="L49" s="8"/>
      <c r="M49" s="8"/>
      <c r="N49" s="9" t="s">
        <v>24</v>
      </c>
      <c r="O49" s="9" t="str">
        <f t="shared" si="7"/>
        <v>SI</v>
      </c>
      <c r="P49" s="9" t="str">
        <f t="shared" si="8"/>
        <v>🟢</v>
      </c>
      <c r="Q49" s="58" t="s">
        <v>257</v>
      </c>
    </row>
    <row r="50" spans="1:17" ht="18" hidden="1" customHeight="1" x14ac:dyDescent="0.4">
      <c r="A50" s="10">
        <f t="shared" si="5"/>
        <v>49</v>
      </c>
      <c r="B50" s="10">
        <f t="shared" si="6"/>
        <v>49</v>
      </c>
      <c r="C50" s="11" t="s">
        <v>16</v>
      </c>
      <c r="D50" s="11" t="s">
        <v>181</v>
      </c>
      <c r="E50" s="12" t="str">
        <f t="shared" si="9"/>
        <v/>
      </c>
      <c r="F50" s="11" t="s">
        <v>258</v>
      </c>
      <c r="G50" s="11" t="s">
        <v>259</v>
      </c>
      <c r="H50" s="11" t="s">
        <v>260</v>
      </c>
      <c r="I50" s="11" t="s">
        <v>261</v>
      </c>
      <c r="J50" s="63" t="s">
        <v>71</v>
      </c>
      <c r="K50" s="11" t="s">
        <v>262</v>
      </c>
      <c r="L50" s="11"/>
      <c r="M50" s="11"/>
      <c r="N50" s="12" t="s">
        <v>24</v>
      </c>
      <c r="O50" s="12" t="str">
        <f t="shared" si="7"/>
        <v>NO</v>
      </c>
      <c r="P50" s="12" t="str">
        <f t="shared" si="8"/>
        <v>🔴</v>
      </c>
      <c r="Q50" s="59"/>
    </row>
    <row r="51" spans="1:17" ht="18" hidden="1" customHeight="1" x14ac:dyDescent="0.4">
      <c r="A51" s="7">
        <f t="shared" si="5"/>
        <v>50</v>
      </c>
      <c r="B51" s="7">
        <f t="shared" si="6"/>
        <v>50</v>
      </c>
      <c r="C51" s="8" t="s">
        <v>16</v>
      </c>
      <c r="D51" s="8" t="s">
        <v>181</v>
      </c>
      <c r="E51" s="9" t="str">
        <f t="shared" si="9"/>
        <v>VIP</v>
      </c>
      <c r="F51" s="8" t="s">
        <v>263</v>
      </c>
      <c r="G51" s="8" t="s">
        <v>264</v>
      </c>
      <c r="H51" s="8" t="s">
        <v>265</v>
      </c>
      <c r="I51" s="8" t="s">
        <v>266</v>
      </c>
      <c r="J51" s="61" t="s">
        <v>22</v>
      </c>
      <c r="K51" s="8" t="s">
        <v>267</v>
      </c>
      <c r="L51" s="8"/>
      <c r="M51" s="8"/>
      <c r="N51" s="9" t="s">
        <v>24</v>
      </c>
      <c r="O51" s="9" t="str">
        <f t="shared" si="7"/>
        <v>SI</v>
      </c>
      <c r="P51" s="9" t="str">
        <f t="shared" si="8"/>
        <v>🟢</v>
      </c>
      <c r="Q51" s="58" t="s">
        <v>268</v>
      </c>
    </row>
    <row r="52" spans="1:17" ht="18" hidden="1" customHeight="1" x14ac:dyDescent="0.4">
      <c r="A52" s="10">
        <f t="shared" si="5"/>
        <v>51</v>
      </c>
      <c r="B52" s="10">
        <f t="shared" si="6"/>
        <v>51</v>
      </c>
      <c r="C52" s="11" t="s">
        <v>16</v>
      </c>
      <c r="D52" s="11" t="s">
        <v>181</v>
      </c>
      <c r="E52" s="12" t="str">
        <f t="shared" si="9"/>
        <v/>
      </c>
      <c r="F52" s="11" t="s">
        <v>269</v>
      </c>
      <c r="G52" s="11" t="s">
        <v>270</v>
      </c>
      <c r="H52" s="11" t="s">
        <v>116</v>
      </c>
      <c r="I52" s="11" t="s">
        <v>271</v>
      </c>
      <c r="J52" s="62" t="s">
        <v>71</v>
      </c>
      <c r="K52" s="11" t="s">
        <v>272</v>
      </c>
      <c r="L52" s="11"/>
      <c r="M52" s="11"/>
      <c r="N52" s="12" t="s">
        <v>24</v>
      </c>
      <c r="O52" s="12" t="str">
        <f t="shared" si="7"/>
        <v>NO</v>
      </c>
      <c r="P52" s="12" t="str">
        <f t="shared" si="8"/>
        <v>🔴</v>
      </c>
      <c r="Q52" s="59" t="s">
        <v>273</v>
      </c>
    </row>
    <row r="53" spans="1:17" ht="18" hidden="1" customHeight="1" x14ac:dyDescent="0.4">
      <c r="A53" s="7">
        <f t="shared" si="5"/>
        <v>52</v>
      </c>
      <c r="B53" s="7">
        <f t="shared" si="6"/>
        <v>52</v>
      </c>
      <c r="C53" s="8" t="s">
        <v>16</v>
      </c>
      <c r="D53" s="8" t="s">
        <v>181</v>
      </c>
      <c r="E53" s="9" t="str">
        <f t="shared" si="9"/>
        <v/>
      </c>
      <c r="F53" s="8" t="s">
        <v>274</v>
      </c>
      <c r="G53" s="8" t="s">
        <v>275</v>
      </c>
      <c r="H53" s="8" t="s">
        <v>276</v>
      </c>
      <c r="I53" s="8" t="s">
        <v>277</v>
      </c>
      <c r="J53" s="63" t="s">
        <v>71</v>
      </c>
      <c r="K53" s="8" t="s">
        <v>278</v>
      </c>
      <c r="L53" s="8"/>
      <c r="M53" s="8"/>
      <c r="N53" s="9" t="s">
        <v>24</v>
      </c>
      <c r="O53" s="9" t="str">
        <f t="shared" si="7"/>
        <v>NO</v>
      </c>
      <c r="P53" s="9" t="str">
        <f t="shared" si="8"/>
        <v>🔴</v>
      </c>
      <c r="Q53" s="58"/>
    </row>
    <row r="54" spans="1:17" ht="18" hidden="1" customHeight="1" x14ac:dyDescent="0.4">
      <c r="A54" s="10">
        <f t="shared" si="5"/>
        <v>53</v>
      </c>
      <c r="B54" s="10">
        <f t="shared" si="6"/>
        <v>53</v>
      </c>
      <c r="C54" s="11" t="s">
        <v>16</v>
      </c>
      <c r="D54" s="11" t="s">
        <v>181</v>
      </c>
      <c r="E54" s="12" t="str">
        <f t="shared" si="9"/>
        <v>VIP</v>
      </c>
      <c r="F54" s="11" t="s">
        <v>279</v>
      </c>
      <c r="G54" s="11" t="s">
        <v>211</v>
      </c>
      <c r="H54" s="11" t="s">
        <v>280</v>
      </c>
      <c r="I54" s="11" t="s">
        <v>281</v>
      </c>
      <c r="J54" s="61" t="s">
        <v>22</v>
      </c>
      <c r="K54" s="11" t="s">
        <v>282</v>
      </c>
      <c r="L54" s="11"/>
      <c r="M54" s="11"/>
      <c r="N54" s="12" t="s">
        <v>24</v>
      </c>
      <c r="O54" s="12" t="str">
        <f t="shared" si="7"/>
        <v>SI</v>
      </c>
      <c r="P54" s="12" t="str">
        <f t="shared" si="8"/>
        <v>🟢</v>
      </c>
      <c r="Q54" s="59" t="s">
        <v>283</v>
      </c>
    </row>
    <row r="55" spans="1:17" ht="18" hidden="1" customHeight="1" x14ac:dyDescent="0.4">
      <c r="A55" s="7">
        <f t="shared" si="5"/>
        <v>54</v>
      </c>
      <c r="B55" s="7">
        <f t="shared" si="6"/>
        <v>54</v>
      </c>
      <c r="C55" s="8" t="s">
        <v>16</v>
      </c>
      <c r="D55" s="8" t="s">
        <v>181</v>
      </c>
      <c r="E55" s="9" t="str">
        <f t="shared" si="9"/>
        <v>VIP</v>
      </c>
      <c r="F55" s="8" t="s">
        <v>284</v>
      </c>
      <c r="G55" s="8" t="s">
        <v>285</v>
      </c>
      <c r="H55" s="8" t="s">
        <v>286</v>
      </c>
      <c r="I55" s="8"/>
      <c r="J55" s="61" t="s">
        <v>22</v>
      </c>
      <c r="K55" s="8" t="s">
        <v>287</v>
      </c>
      <c r="L55" s="8"/>
      <c r="M55" s="8"/>
      <c r="N55" s="9" t="s">
        <v>24</v>
      </c>
      <c r="O55" s="9" t="str">
        <f t="shared" si="7"/>
        <v>SI</v>
      </c>
      <c r="P55" s="9" t="str">
        <f t="shared" si="8"/>
        <v>🟢</v>
      </c>
      <c r="Q55" s="58" t="s">
        <v>288</v>
      </c>
    </row>
    <row r="56" spans="1:17" ht="18" hidden="1" customHeight="1" x14ac:dyDescent="0.4">
      <c r="A56" s="10">
        <f t="shared" si="5"/>
        <v>55</v>
      </c>
      <c r="B56" s="10">
        <f t="shared" si="6"/>
        <v>55</v>
      </c>
      <c r="C56" s="11" t="s">
        <v>16</v>
      </c>
      <c r="D56" s="11" t="s">
        <v>181</v>
      </c>
      <c r="E56" s="12" t="str">
        <f t="shared" si="9"/>
        <v/>
      </c>
      <c r="F56" s="11" t="s">
        <v>289</v>
      </c>
      <c r="G56" s="11" t="s">
        <v>290</v>
      </c>
      <c r="H56" s="11" t="s">
        <v>291</v>
      </c>
      <c r="I56" s="11"/>
      <c r="J56" s="63" t="s">
        <v>71</v>
      </c>
      <c r="K56" s="11" t="s">
        <v>292</v>
      </c>
      <c r="L56" s="11"/>
      <c r="M56" s="11"/>
      <c r="N56" s="12" t="s">
        <v>24</v>
      </c>
      <c r="O56" s="12" t="str">
        <f t="shared" si="7"/>
        <v>NO</v>
      </c>
      <c r="P56" s="12" t="str">
        <f t="shared" si="8"/>
        <v>🔴</v>
      </c>
      <c r="Q56" s="59"/>
    </row>
    <row r="57" spans="1:17" ht="18" hidden="1" customHeight="1" x14ac:dyDescent="0.4">
      <c r="A57" s="7">
        <f t="shared" si="5"/>
        <v>56</v>
      </c>
      <c r="B57" s="7">
        <f t="shared" si="6"/>
        <v>56</v>
      </c>
      <c r="C57" s="8" t="s">
        <v>16</v>
      </c>
      <c r="D57" s="8" t="s">
        <v>181</v>
      </c>
      <c r="E57" s="9" t="str">
        <f t="shared" si="9"/>
        <v/>
      </c>
      <c r="F57" s="8" t="s">
        <v>293</v>
      </c>
      <c r="G57" s="8" t="s">
        <v>294</v>
      </c>
      <c r="H57" s="8" t="s">
        <v>295</v>
      </c>
      <c r="I57" s="8"/>
      <c r="J57" s="63" t="s">
        <v>71</v>
      </c>
      <c r="K57" s="8" t="s">
        <v>296</v>
      </c>
      <c r="L57" s="8"/>
      <c r="M57" s="8"/>
      <c r="N57" s="9" t="s">
        <v>24</v>
      </c>
      <c r="O57" s="9" t="str">
        <f t="shared" si="7"/>
        <v>NO</v>
      </c>
      <c r="P57" s="9" t="str">
        <f t="shared" si="8"/>
        <v>🔴</v>
      </c>
      <c r="Q57" s="58"/>
    </row>
    <row r="58" spans="1:17" ht="18" hidden="1" customHeight="1" x14ac:dyDescent="0.4">
      <c r="A58" s="10">
        <f t="shared" si="5"/>
        <v>57</v>
      </c>
      <c r="B58" s="10">
        <f t="shared" si="6"/>
        <v>57</v>
      </c>
      <c r="C58" s="11" t="s">
        <v>16</v>
      </c>
      <c r="D58" s="11" t="s">
        <v>181</v>
      </c>
      <c r="E58" s="12" t="str">
        <f t="shared" si="9"/>
        <v>VIP</v>
      </c>
      <c r="F58" s="11" t="s">
        <v>297</v>
      </c>
      <c r="G58" s="11" t="s">
        <v>298</v>
      </c>
      <c r="H58" s="11" t="s">
        <v>299</v>
      </c>
      <c r="I58" s="11"/>
      <c r="J58" s="61" t="s">
        <v>22</v>
      </c>
      <c r="K58" s="11" t="s">
        <v>300</v>
      </c>
      <c r="L58" s="11"/>
      <c r="M58" s="11"/>
      <c r="N58" s="12" t="s">
        <v>24</v>
      </c>
      <c r="O58" s="12" t="str">
        <f t="shared" si="7"/>
        <v>SI</v>
      </c>
      <c r="P58" s="12" t="str">
        <f t="shared" si="8"/>
        <v>🟢</v>
      </c>
      <c r="Q58" s="59" t="s">
        <v>301</v>
      </c>
    </row>
    <row r="59" spans="1:17" ht="18" hidden="1" customHeight="1" x14ac:dyDescent="0.4">
      <c r="A59" s="7">
        <f t="shared" si="5"/>
        <v>58</v>
      </c>
      <c r="B59" s="7">
        <f t="shared" si="6"/>
        <v>58</v>
      </c>
      <c r="C59" s="8" t="s">
        <v>16</v>
      </c>
      <c r="D59" s="8" t="s">
        <v>181</v>
      </c>
      <c r="E59" s="9" t="str">
        <f t="shared" si="9"/>
        <v/>
      </c>
      <c r="F59" s="8" t="s">
        <v>302</v>
      </c>
      <c r="G59" s="8" t="s">
        <v>303</v>
      </c>
      <c r="H59" s="8" t="s">
        <v>304</v>
      </c>
      <c r="I59" s="8"/>
      <c r="J59" s="63" t="s">
        <v>71</v>
      </c>
      <c r="K59" s="8" t="s">
        <v>305</v>
      </c>
      <c r="L59" s="8"/>
      <c r="M59" s="8"/>
      <c r="N59" s="9" t="s">
        <v>24</v>
      </c>
      <c r="O59" s="9" t="str">
        <f t="shared" si="7"/>
        <v>NO</v>
      </c>
      <c r="P59" s="9" t="str">
        <f t="shared" si="8"/>
        <v>🔴</v>
      </c>
      <c r="Q59" s="58"/>
    </row>
    <row r="60" spans="1:17" ht="18" hidden="1" customHeight="1" x14ac:dyDescent="0.4">
      <c r="A60" s="10">
        <f t="shared" si="5"/>
        <v>59</v>
      </c>
      <c r="B60" s="10">
        <f t="shared" si="6"/>
        <v>59</v>
      </c>
      <c r="C60" s="11" t="s">
        <v>16</v>
      </c>
      <c r="D60" s="11" t="s">
        <v>40</v>
      </c>
      <c r="E60" s="12" t="str">
        <f t="shared" si="9"/>
        <v/>
      </c>
      <c r="F60" s="11" t="s">
        <v>306</v>
      </c>
      <c r="G60" s="11" t="s">
        <v>307</v>
      </c>
      <c r="H60" s="11" t="s">
        <v>308</v>
      </c>
      <c r="I60" s="11" t="s">
        <v>221</v>
      </c>
      <c r="J60" s="63" t="s">
        <v>71</v>
      </c>
      <c r="K60" s="11" t="s">
        <v>309</v>
      </c>
      <c r="L60" s="11"/>
      <c r="M60" s="11"/>
      <c r="N60" s="12" t="s">
        <v>24</v>
      </c>
      <c r="O60" s="12" t="str">
        <f t="shared" si="7"/>
        <v>NO</v>
      </c>
      <c r="P60" s="12" t="str">
        <f t="shared" si="8"/>
        <v>🔴</v>
      </c>
      <c r="Q60" s="59"/>
    </row>
    <row r="61" spans="1:17" ht="18" hidden="1" customHeight="1" x14ac:dyDescent="0.4">
      <c r="A61" s="7">
        <f t="shared" si="5"/>
        <v>60</v>
      </c>
      <c r="B61" s="7">
        <f t="shared" si="6"/>
        <v>60</v>
      </c>
      <c r="C61" s="8" t="s">
        <v>16</v>
      </c>
      <c r="D61" s="8" t="s">
        <v>40</v>
      </c>
      <c r="E61" s="9" t="str">
        <f t="shared" si="9"/>
        <v>VIP</v>
      </c>
      <c r="F61" s="8" t="s">
        <v>310</v>
      </c>
      <c r="G61" s="8" t="s">
        <v>311</v>
      </c>
      <c r="H61" s="8" t="s">
        <v>312</v>
      </c>
      <c r="I61" s="8" t="s">
        <v>313</v>
      </c>
      <c r="J61" s="61" t="s">
        <v>22</v>
      </c>
      <c r="K61" s="8" t="s">
        <v>309</v>
      </c>
      <c r="L61" s="8"/>
      <c r="M61" s="8"/>
      <c r="N61" s="9" t="s">
        <v>24</v>
      </c>
      <c r="O61" s="9" t="str">
        <f t="shared" si="7"/>
        <v>SI</v>
      </c>
      <c r="P61" s="9" t="str">
        <f t="shared" si="8"/>
        <v>🟢</v>
      </c>
      <c r="Q61" s="58" t="s">
        <v>314</v>
      </c>
    </row>
    <row r="62" spans="1:17" ht="18" hidden="1" customHeight="1" x14ac:dyDescent="0.4">
      <c r="A62" s="10">
        <f t="shared" si="5"/>
        <v>61</v>
      </c>
      <c r="B62" s="10">
        <f t="shared" si="6"/>
        <v>61</v>
      </c>
      <c r="C62" s="11" t="s">
        <v>16</v>
      </c>
      <c r="D62" s="11" t="s">
        <v>315</v>
      </c>
      <c r="E62" s="12" t="str">
        <f t="shared" si="9"/>
        <v/>
      </c>
      <c r="F62" s="11" t="s">
        <v>316</v>
      </c>
      <c r="G62" s="11" t="s">
        <v>317</v>
      </c>
      <c r="H62" s="11" t="s">
        <v>168</v>
      </c>
      <c r="I62" s="11" t="s">
        <v>318</v>
      </c>
      <c r="J62" s="61" t="s">
        <v>71</v>
      </c>
      <c r="K62" s="11" t="s">
        <v>319</v>
      </c>
      <c r="L62" s="11"/>
      <c r="M62" s="11"/>
      <c r="N62" s="12" t="s">
        <v>24</v>
      </c>
      <c r="O62" s="12" t="str">
        <f t="shared" si="7"/>
        <v>NO</v>
      </c>
      <c r="P62" s="12" t="str">
        <f t="shared" ref="P62:P93" si="10">IF(UPPER($J62)="SI","🟢",IF(UPPER($J62)="NO","🔴","🟡"))</f>
        <v>🔴</v>
      </c>
      <c r="Q62" s="59" t="s">
        <v>320</v>
      </c>
    </row>
    <row r="63" spans="1:17" ht="18" hidden="1" customHeight="1" x14ac:dyDescent="0.4">
      <c r="A63" s="7">
        <f t="shared" si="5"/>
        <v>62</v>
      </c>
      <c r="B63" s="7">
        <f t="shared" si="6"/>
        <v>62</v>
      </c>
      <c r="C63" s="8" t="s">
        <v>16</v>
      </c>
      <c r="D63" s="8" t="s">
        <v>315</v>
      </c>
      <c r="E63" s="9" t="str">
        <f t="shared" si="9"/>
        <v>VIP</v>
      </c>
      <c r="F63" s="8" t="s">
        <v>321</v>
      </c>
      <c r="G63" s="8" t="s">
        <v>322</v>
      </c>
      <c r="H63" s="8" t="s">
        <v>323</v>
      </c>
      <c r="I63" s="8" t="s">
        <v>99</v>
      </c>
      <c r="J63" s="61" t="s">
        <v>22</v>
      </c>
      <c r="K63" s="8" t="s">
        <v>324</v>
      </c>
      <c r="L63" s="8"/>
      <c r="M63" s="8"/>
      <c r="N63" s="9" t="s">
        <v>24</v>
      </c>
      <c r="O63" s="9" t="str">
        <f t="shared" si="7"/>
        <v>SI</v>
      </c>
      <c r="P63" s="9" t="str">
        <f t="shared" si="10"/>
        <v>🟢</v>
      </c>
      <c r="Q63" s="58" t="s">
        <v>325</v>
      </c>
    </row>
    <row r="64" spans="1:17" ht="18" hidden="1" customHeight="1" x14ac:dyDescent="0.4">
      <c r="A64" s="10">
        <f t="shared" si="5"/>
        <v>63</v>
      </c>
      <c r="B64" s="10">
        <f t="shared" si="6"/>
        <v>63</v>
      </c>
      <c r="C64" s="11" t="s">
        <v>16</v>
      </c>
      <c r="D64" s="11" t="s">
        <v>326</v>
      </c>
      <c r="E64" s="12" t="str">
        <f t="shared" si="9"/>
        <v/>
      </c>
      <c r="F64" s="11" t="s">
        <v>327</v>
      </c>
      <c r="G64" s="11" t="s">
        <v>328</v>
      </c>
      <c r="H64" s="11" t="s">
        <v>329</v>
      </c>
      <c r="I64" s="11" t="s">
        <v>330</v>
      </c>
      <c r="J64" s="61" t="s">
        <v>71</v>
      </c>
      <c r="K64" s="11" t="s">
        <v>331</v>
      </c>
      <c r="L64" s="11"/>
      <c r="M64" s="11"/>
      <c r="N64" s="12" t="s">
        <v>24</v>
      </c>
      <c r="O64" s="12" t="str">
        <f t="shared" si="7"/>
        <v>NO</v>
      </c>
      <c r="P64" s="12" t="str">
        <f t="shared" si="10"/>
        <v>🔴</v>
      </c>
      <c r="Q64" s="59" t="s">
        <v>332</v>
      </c>
    </row>
    <row r="65" spans="1:17" ht="18" hidden="1" customHeight="1" x14ac:dyDescent="0.4">
      <c r="A65" s="7">
        <f t="shared" si="5"/>
        <v>64</v>
      </c>
      <c r="B65" s="7">
        <f t="shared" si="6"/>
        <v>64</v>
      </c>
      <c r="C65" s="8" t="s">
        <v>16</v>
      </c>
      <c r="D65" s="8" t="s">
        <v>333</v>
      </c>
      <c r="E65" s="9" t="str">
        <f t="shared" si="9"/>
        <v/>
      </c>
      <c r="F65" s="8" t="s">
        <v>334</v>
      </c>
      <c r="G65" s="8" t="s">
        <v>91</v>
      </c>
      <c r="H65" s="8" t="s">
        <v>335</v>
      </c>
      <c r="I65" s="8" t="s">
        <v>336</v>
      </c>
      <c r="J65" s="62" t="s">
        <v>71</v>
      </c>
      <c r="K65" s="8" t="s">
        <v>337</v>
      </c>
      <c r="L65" s="8"/>
      <c r="M65" s="8"/>
      <c r="N65" s="9" t="s">
        <v>24</v>
      </c>
      <c r="O65" s="9" t="str">
        <f t="shared" si="7"/>
        <v>NO</v>
      </c>
      <c r="P65" s="9" t="str">
        <f t="shared" si="10"/>
        <v>🔴</v>
      </c>
      <c r="Q65" s="58" t="s">
        <v>338</v>
      </c>
    </row>
    <row r="66" spans="1:17" ht="18" hidden="1" customHeight="1" x14ac:dyDescent="0.4">
      <c r="A66" s="7"/>
      <c r="B66" s="7"/>
      <c r="C66" s="8"/>
      <c r="D66" s="8" t="s">
        <v>3368</v>
      </c>
      <c r="E66" s="9" t="s">
        <v>24</v>
      </c>
      <c r="F66" s="8"/>
      <c r="G66" s="8" t="s">
        <v>2385</v>
      </c>
      <c r="H66" s="8" t="s">
        <v>3369</v>
      </c>
      <c r="I66" s="8" t="s">
        <v>3370</v>
      </c>
      <c r="J66" s="62" t="s">
        <v>22</v>
      </c>
      <c r="K66" s="8" t="s">
        <v>3371</v>
      </c>
      <c r="L66" s="8"/>
      <c r="M66" s="8"/>
      <c r="N66" s="9"/>
      <c r="O66" s="9"/>
      <c r="P66" s="9" t="str">
        <f t="shared" si="10"/>
        <v>🟢</v>
      </c>
      <c r="Q66" s="58"/>
    </row>
    <row r="67" spans="1:17" ht="18" hidden="1" customHeight="1" x14ac:dyDescent="0.4">
      <c r="A67" s="10">
        <f t="shared" ref="A67:A76" si="11">IF(COUNTA(C67:K67)=0,"",ROW()-1)</f>
        <v>66</v>
      </c>
      <c r="B67" s="10">
        <f t="shared" ref="B67:B76" si="12">IF($F67&lt;&gt;"",$A67,"")</f>
        <v>66</v>
      </c>
      <c r="C67" s="11" t="s">
        <v>16</v>
      </c>
      <c r="D67" s="11" t="s">
        <v>40</v>
      </c>
      <c r="E67" s="12" t="str">
        <f t="shared" ref="E67:E76" si="13">IF(UPPER($J67)="NO","",$N67)</f>
        <v/>
      </c>
      <c r="F67" s="11" t="s">
        <v>339</v>
      </c>
      <c r="G67" s="11" t="s">
        <v>340</v>
      </c>
      <c r="H67" s="11" t="s">
        <v>341</v>
      </c>
      <c r="I67" s="11" t="s">
        <v>342</v>
      </c>
      <c r="J67" s="63" t="s">
        <v>71</v>
      </c>
      <c r="K67" s="11" t="s">
        <v>309</v>
      </c>
      <c r="L67" s="11"/>
      <c r="M67" s="11"/>
      <c r="N67" s="12" t="s">
        <v>24</v>
      </c>
      <c r="O67" s="12" t="str">
        <f t="shared" ref="O67:O76" si="14">IF(AND(UPPER($N67)="VIP",UPPER($J67)&lt;&gt;"NO",$F67&lt;&gt;""),"SI","NO")</f>
        <v>NO</v>
      </c>
      <c r="P67" s="12" t="str">
        <f t="shared" si="10"/>
        <v>🔴</v>
      </c>
      <c r="Q67" s="59"/>
    </row>
    <row r="68" spans="1:17" ht="18" hidden="1" customHeight="1" x14ac:dyDescent="0.4">
      <c r="A68" s="7">
        <f t="shared" si="11"/>
        <v>67</v>
      </c>
      <c r="B68" s="7">
        <f t="shared" si="12"/>
        <v>67</v>
      </c>
      <c r="C68" s="8" t="s">
        <v>16</v>
      </c>
      <c r="D68" s="8" t="s">
        <v>40</v>
      </c>
      <c r="E68" s="9" t="str">
        <f t="shared" si="13"/>
        <v/>
      </c>
      <c r="F68" s="8" t="s">
        <v>343</v>
      </c>
      <c r="G68" s="8" t="s">
        <v>344</v>
      </c>
      <c r="H68" s="8" t="s">
        <v>70</v>
      </c>
      <c r="I68" s="8" t="s">
        <v>345</v>
      </c>
      <c r="J68" s="63" t="s">
        <v>71</v>
      </c>
      <c r="K68" s="8" t="s">
        <v>309</v>
      </c>
      <c r="L68" s="8"/>
      <c r="M68" s="8"/>
      <c r="N68" s="9" t="s">
        <v>24</v>
      </c>
      <c r="O68" s="9" t="str">
        <f t="shared" si="14"/>
        <v>NO</v>
      </c>
      <c r="P68" s="9" t="str">
        <f t="shared" si="10"/>
        <v>🔴</v>
      </c>
      <c r="Q68" s="58"/>
    </row>
    <row r="69" spans="1:17" ht="18" hidden="1" customHeight="1" x14ac:dyDescent="0.4">
      <c r="A69" s="10">
        <f t="shared" si="11"/>
        <v>68</v>
      </c>
      <c r="B69" s="10">
        <f t="shared" si="12"/>
        <v>68</v>
      </c>
      <c r="C69" s="11" t="s">
        <v>16</v>
      </c>
      <c r="D69" s="11" t="s">
        <v>40</v>
      </c>
      <c r="E69" s="12" t="str">
        <f t="shared" si="13"/>
        <v/>
      </c>
      <c r="F69" s="11" t="s">
        <v>346</v>
      </c>
      <c r="G69" s="11" t="s">
        <v>347</v>
      </c>
      <c r="H69" s="11" t="s">
        <v>348</v>
      </c>
      <c r="I69" s="11" t="s">
        <v>349</v>
      </c>
      <c r="J69" s="62" t="s">
        <v>71</v>
      </c>
      <c r="K69" s="11" t="s">
        <v>309</v>
      </c>
      <c r="L69" s="11"/>
      <c r="M69" s="11"/>
      <c r="N69" s="12" t="s">
        <v>24</v>
      </c>
      <c r="O69" s="12" t="str">
        <f t="shared" si="14"/>
        <v>NO</v>
      </c>
      <c r="P69" s="12" t="str">
        <f t="shared" si="10"/>
        <v>🔴</v>
      </c>
      <c r="Q69" s="59" t="s">
        <v>350</v>
      </c>
    </row>
    <row r="70" spans="1:17" ht="18" hidden="1" customHeight="1" x14ac:dyDescent="0.4">
      <c r="A70" s="7">
        <f t="shared" si="11"/>
        <v>69</v>
      </c>
      <c r="B70" s="7">
        <f t="shared" si="12"/>
        <v>69</v>
      </c>
      <c r="C70" s="8" t="s">
        <v>16</v>
      </c>
      <c r="D70" s="8" t="s">
        <v>40</v>
      </c>
      <c r="E70" s="9" t="str">
        <f t="shared" si="13"/>
        <v/>
      </c>
      <c r="F70" s="8" t="s">
        <v>351</v>
      </c>
      <c r="G70" s="8" t="s">
        <v>352</v>
      </c>
      <c r="H70" s="8" t="s">
        <v>135</v>
      </c>
      <c r="I70" s="8" t="s">
        <v>353</v>
      </c>
      <c r="J70" s="63" t="s">
        <v>71</v>
      </c>
      <c r="K70" s="8" t="s">
        <v>309</v>
      </c>
      <c r="L70" s="8"/>
      <c r="M70" s="8"/>
      <c r="N70" s="9" t="s">
        <v>24</v>
      </c>
      <c r="O70" s="9" t="str">
        <f t="shared" si="14"/>
        <v>NO</v>
      </c>
      <c r="P70" s="9" t="str">
        <f t="shared" si="10"/>
        <v>🔴</v>
      </c>
      <c r="Q70" s="58"/>
    </row>
    <row r="71" spans="1:17" ht="18" hidden="1" customHeight="1" x14ac:dyDescent="0.4">
      <c r="A71" s="10">
        <f t="shared" si="11"/>
        <v>70</v>
      </c>
      <c r="B71" s="10">
        <f t="shared" si="12"/>
        <v>70</v>
      </c>
      <c r="C71" s="11" t="s">
        <v>16</v>
      </c>
      <c r="D71" s="11" t="s">
        <v>46</v>
      </c>
      <c r="E71" s="12" t="str">
        <f t="shared" si="13"/>
        <v>VIP</v>
      </c>
      <c r="F71" s="11" t="s">
        <v>354</v>
      </c>
      <c r="G71" s="11" t="s">
        <v>355</v>
      </c>
      <c r="H71" s="11" t="s">
        <v>308</v>
      </c>
      <c r="I71" s="11" t="s">
        <v>221</v>
      </c>
      <c r="J71" s="61" t="s">
        <v>22</v>
      </c>
      <c r="K71" s="11" t="s">
        <v>356</v>
      </c>
      <c r="L71" s="11"/>
      <c r="M71" s="11"/>
      <c r="N71" s="12" t="s">
        <v>24</v>
      </c>
      <c r="O71" s="12" t="str">
        <f t="shared" si="14"/>
        <v>SI</v>
      </c>
      <c r="P71" s="12" t="str">
        <f t="shared" si="10"/>
        <v>🟢</v>
      </c>
      <c r="Q71" s="59" t="s">
        <v>357</v>
      </c>
    </row>
    <row r="72" spans="1:17" ht="18" hidden="1" customHeight="1" x14ac:dyDescent="0.4">
      <c r="A72" s="7">
        <f t="shared" si="11"/>
        <v>71</v>
      </c>
      <c r="B72" s="7">
        <f t="shared" si="12"/>
        <v>71</v>
      </c>
      <c r="C72" s="8" t="s">
        <v>16</v>
      </c>
      <c r="D72" s="8" t="s">
        <v>40</v>
      </c>
      <c r="E72" s="9" t="str">
        <f t="shared" si="13"/>
        <v/>
      </c>
      <c r="F72" s="8" t="s">
        <v>358</v>
      </c>
      <c r="G72" s="8" t="s">
        <v>359</v>
      </c>
      <c r="H72" s="8" t="s">
        <v>360</v>
      </c>
      <c r="I72" s="8" t="s">
        <v>361</v>
      </c>
      <c r="J72" s="63" t="s">
        <v>71</v>
      </c>
      <c r="K72" s="8" t="s">
        <v>309</v>
      </c>
      <c r="L72" s="8"/>
      <c r="M72" s="8"/>
      <c r="N72" s="9" t="s">
        <v>24</v>
      </c>
      <c r="O72" s="9" t="str">
        <f t="shared" si="14"/>
        <v>NO</v>
      </c>
      <c r="P72" s="9" t="str">
        <f t="shared" si="10"/>
        <v>🔴</v>
      </c>
      <c r="Q72" s="58"/>
    </row>
    <row r="73" spans="1:17" ht="18" hidden="1" customHeight="1" x14ac:dyDescent="0.4">
      <c r="A73" s="10">
        <f t="shared" si="11"/>
        <v>72</v>
      </c>
      <c r="B73" s="10">
        <f t="shared" si="12"/>
        <v>72</v>
      </c>
      <c r="C73" s="11" t="s">
        <v>16</v>
      </c>
      <c r="D73" s="11" t="s">
        <v>315</v>
      </c>
      <c r="E73" s="12" t="str">
        <f t="shared" si="13"/>
        <v>VIP</v>
      </c>
      <c r="F73" s="11" t="s">
        <v>362</v>
      </c>
      <c r="G73" s="11" t="s">
        <v>363</v>
      </c>
      <c r="H73" s="11" t="s">
        <v>364</v>
      </c>
      <c r="I73" s="11" t="s">
        <v>105</v>
      </c>
      <c r="J73" s="61" t="s">
        <v>22</v>
      </c>
      <c r="K73" s="11" t="s">
        <v>365</v>
      </c>
      <c r="L73" s="11"/>
      <c r="M73" s="11"/>
      <c r="N73" s="12" t="s">
        <v>24</v>
      </c>
      <c r="O73" s="12" t="str">
        <f t="shared" si="14"/>
        <v>SI</v>
      </c>
      <c r="P73" s="12" t="str">
        <f t="shared" si="10"/>
        <v>🟢</v>
      </c>
      <c r="Q73" s="59" t="s">
        <v>366</v>
      </c>
    </row>
    <row r="74" spans="1:17" ht="18" hidden="1" customHeight="1" x14ac:dyDescent="0.4">
      <c r="A74" s="7">
        <f t="shared" si="11"/>
        <v>73</v>
      </c>
      <c r="B74" s="7">
        <f t="shared" si="12"/>
        <v>73</v>
      </c>
      <c r="C74" s="8" t="s">
        <v>16</v>
      </c>
      <c r="D74" s="8" t="s">
        <v>367</v>
      </c>
      <c r="E74" s="9" t="str">
        <f t="shared" si="13"/>
        <v>VIP</v>
      </c>
      <c r="F74" s="8" t="s">
        <v>368</v>
      </c>
      <c r="G74" s="8" t="s">
        <v>369</v>
      </c>
      <c r="H74" s="8" t="s">
        <v>370</v>
      </c>
      <c r="I74" s="8" t="s">
        <v>371</v>
      </c>
      <c r="J74" s="61" t="s">
        <v>22</v>
      </c>
      <c r="K74" s="8" t="s">
        <v>372</v>
      </c>
      <c r="L74" s="8"/>
      <c r="M74" s="8"/>
      <c r="N74" s="9" t="s">
        <v>24</v>
      </c>
      <c r="O74" s="9" t="str">
        <f t="shared" si="14"/>
        <v>SI</v>
      </c>
      <c r="P74" s="9" t="str">
        <f t="shared" si="10"/>
        <v>🟢</v>
      </c>
      <c r="Q74" s="58" t="s">
        <v>373</v>
      </c>
    </row>
    <row r="75" spans="1:17" ht="18" hidden="1" customHeight="1" x14ac:dyDescent="0.4">
      <c r="A75" s="10">
        <f t="shared" si="11"/>
        <v>74</v>
      </c>
      <c r="B75" s="10">
        <f t="shared" si="12"/>
        <v>74</v>
      </c>
      <c r="C75" s="11" t="s">
        <v>16</v>
      </c>
      <c r="D75" s="11" t="s">
        <v>367</v>
      </c>
      <c r="E75" s="12" t="str">
        <f t="shared" si="13"/>
        <v>VIP</v>
      </c>
      <c r="F75" s="11" t="s">
        <v>374</v>
      </c>
      <c r="G75" s="11" t="s">
        <v>68</v>
      </c>
      <c r="H75" s="11" t="s">
        <v>375</v>
      </c>
      <c r="I75" s="11" t="s">
        <v>376</v>
      </c>
      <c r="J75" s="62" t="s">
        <v>22</v>
      </c>
      <c r="K75" s="11" t="s">
        <v>377</v>
      </c>
      <c r="L75" s="11"/>
      <c r="M75" s="11"/>
      <c r="N75" s="12" t="s">
        <v>24</v>
      </c>
      <c r="O75" s="12" t="str">
        <f t="shared" si="14"/>
        <v>SI</v>
      </c>
      <c r="P75" s="12" t="str">
        <f t="shared" si="10"/>
        <v>🟢</v>
      </c>
      <c r="Q75" s="59" t="s">
        <v>378</v>
      </c>
    </row>
    <row r="76" spans="1:17" ht="18" hidden="1" customHeight="1" x14ac:dyDescent="0.4">
      <c r="A76" s="7">
        <f t="shared" si="11"/>
        <v>75</v>
      </c>
      <c r="B76" s="7">
        <f t="shared" si="12"/>
        <v>75</v>
      </c>
      <c r="C76" s="8" t="s">
        <v>16</v>
      </c>
      <c r="D76" s="8" t="s">
        <v>379</v>
      </c>
      <c r="E76" s="9" t="str">
        <f t="shared" si="13"/>
        <v>VIP</v>
      </c>
      <c r="F76" s="8" t="s">
        <v>380</v>
      </c>
      <c r="G76" s="8" t="s">
        <v>311</v>
      </c>
      <c r="H76" s="8" t="s">
        <v>381</v>
      </c>
      <c r="I76" s="8" t="s">
        <v>382</v>
      </c>
      <c r="J76" s="61" t="s">
        <v>22</v>
      </c>
      <c r="K76" s="8" t="s">
        <v>383</v>
      </c>
      <c r="L76" s="8"/>
      <c r="M76" s="8"/>
      <c r="N76" s="9" t="s">
        <v>24</v>
      </c>
      <c r="O76" s="9" t="str">
        <f t="shared" si="14"/>
        <v>SI</v>
      </c>
      <c r="P76" s="9" t="str">
        <f t="shared" si="10"/>
        <v>🟢</v>
      </c>
      <c r="Q76" s="58" t="s">
        <v>384</v>
      </c>
    </row>
    <row r="77" spans="1:17" ht="18" hidden="1" customHeight="1" x14ac:dyDescent="0.4">
      <c r="A77" s="7"/>
      <c r="B77" s="7"/>
      <c r="C77" s="8"/>
      <c r="D77" s="8" t="s">
        <v>379</v>
      </c>
      <c r="E77" s="9" t="s">
        <v>24</v>
      </c>
      <c r="F77" s="8"/>
      <c r="G77" s="8" t="s">
        <v>2153</v>
      </c>
      <c r="H77" s="8" t="s">
        <v>3356</v>
      </c>
      <c r="I77" s="8"/>
      <c r="J77" s="61" t="s">
        <v>22</v>
      </c>
      <c r="K77" s="8" t="s">
        <v>3362</v>
      </c>
      <c r="L77" s="8"/>
      <c r="M77" s="8"/>
      <c r="N77" s="9"/>
      <c r="O77" s="9"/>
      <c r="P77" s="9" t="str">
        <f t="shared" si="10"/>
        <v>🟢</v>
      </c>
      <c r="Q77" s="58"/>
    </row>
    <row r="78" spans="1:17" ht="18" hidden="1" customHeight="1" x14ac:dyDescent="0.4">
      <c r="A78" s="10">
        <f t="shared" ref="A78:A109" si="15">IF(COUNTA(C78:K78)=0,"",ROW()-1)</f>
        <v>77</v>
      </c>
      <c r="B78" s="10">
        <f t="shared" ref="B78:B109" si="16">IF($F78&lt;&gt;"",$A78,"")</f>
        <v>77</v>
      </c>
      <c r="C78" s="11" t="s">
        <v>16</v>
      </c>
      <c r="D78" s="11" t="s">
        <v>60</v>
      </c>
      <c r="E78" s="12" t="str">
        <f t="shared" ref="E78:E109" si="17">IF(UPPER($J78)="NO","",$N78)</f>
        <v/>
      </c>
      <c r="F78" s="11" t="s">
        <v>385</v>
      </c>
      <c r="G78" s="11" t="s">
        <v>120</v>
      </c>
      <c r="H78" s="11" t="s">
        <v>386</v>
      </c>
      <c r="I78" s="11" t="s">
        <v>387</v>
      </c>
      <c r="J78" s="63" t="s">
        <v>71</v>
      </c>
      <c r="K78" s="11" t="s">
        <v>388</v>
      </c>
      <c r="L78" s="11"/>
      <c r="M78" s="11"/>
      <c r="N78" s="12" t="s">
        <v>24</v>
      </c>
      <c r="O78" s="12" t="str">
        <f t="shared" ref="O78:O109" si="18">IF(AND(UPPER($N78)="VIP",UPPER($J78)&lt;&gt;"NO",$F78&lt;&gt;""),"SI","NO")</f>
        <v>NO</v>
      </c>
      <c r="P78" s="12" t="str">
        <f t="shared" si="10"/>
        <v>🔴</v>
      </c>
      <c r="Q78" s="59"/>
    </row>
    <row r="79" spans="1:17" ht="18" hidden="1" customHeight="1" x14ac:dyDescent="0.4">
      <c r="A79" s="7">
        <f t="shared" si="15"/>
        <v>78</v>
      </c>
      <c r="B79" s="7">
        <f t="shared" si="16"/>
        <v>78</v>
      </c>
      <c r="C79" s="8" t="s">
        <v>16</v>
      </c>
      <c r="D79" s="8" t="s">
        <v>60</v>
      </c>
      <c r="E79" s="9" t="str">
        <f t="shared" si="17"/>
        <v/>
      </c>
      <c r="F79" s="8" t="s">
        <v>389</v>
      </c>
      <c r="G79" s="8" t="s">
        <v>317</v>
      </c>
      <c r="H79" s="8" t="s">
        <v>329</v>
      </c>
      <c r="I79" s="8" t="s">
        <v>390</v>
      </c>
      <c r="J79" s="62" t="s">
        <v>71</v>
      </c>
      <c r="K79" s="8" t="s">
        <v>391</v>
      </c>
      <c r="L79" s="8"/>
      <c r="M79" s="8"/>
      <c r="N79" s="9" t="s">
        <v>24</v>
      </c>
      <c r="O79" s="9" t="str">
        <f t="shared" si="18"/>
        <v>NO</v>
      </c>
      <c r="P79" s="9" t="str">
        <f t="shared" si="10"/>
        <v>🔴</v>
      </c>
      <c r="Q79" s="58" t="s">
        <v>392</v>
      </c>
    </row>
    <row r="80" spans="1:17" ht="18" hidden="1" customHeight="1" x14ac:dyDescent="0.4">
      <c r="A80" s="10">
        <f t="shared" si="15"/>
        <v>79</v>
      </c>
      <c r="B80" s="10">
        <f t="shared" si="16"/>
        <v>79</v>
      </c>
      <c r="C80" s="11" t="s">
        <v>16</v>
      </c>
      <c r="D80" s="11" t="s">
        <v>60</v>
      </c>
      <c r="E80" s="12" t="str">
        <f t="shared" si="17"/>
        <v/>
      </c>
      <c r="F80" s="11" t="s">
        <v>393</v>
      </c>
      <c r="G80" s="11" t="s">
        <v>394</v>
      </c>
      <c r="H80" s="11" t="s">
        <v>395</v>
      </c>
      <c r="I80" s="11" t="s">
        <v>396</v>
      </c>
      <c r="J80" s="62" t="s">
        <v>71</v>
      </c>
      <c r="K80" s="11" t="s">
        <v>391</v>
      </c>
      <c r="L80" s="11"/>
      <c r="M80" s="11"/>
      <c r="N80" s="12" t="s">
        <v>24</v>
      </c>
      <c r="O80" s="12" t="str">
        <f t="shared" si="18"/>
        <v>NO</v>
      </c>
      <c r="P80" s="12" t="str">
        <f t="shared" si="10"/>
        <v>🔴</v>
      </c>
      <c r="Q80" s="59" t="s">
        <v>397</v>
      </c>
    </row>
    <row r="81" spans="1:17" ht="18" hidden="1" customHeight="1" x14ac:dyDescent="0.4">
      <c r="A81" s="7">
        <f t="shared" si="15"/>
        <v>80</v>
      </c>
      <c r="B81" s="7">
        <f t="shared" si="16"/>
        <v>80</v>
      </c>
      <c r="C81" s="8" t="s">
        <v>16</v>
      </c>
      <c r="D81" s="8" t="s">
        <v>60</v>
      </c>
      <c r="E81" s="9" t="str">
        <f t="shared" si="17"/>
        <v>VIP</v>
      </c>
      <c r="F81" s="8" t="s">
        <v>398</v>
      </c>
      <c r="G81" s="8" t="s">
        <v>399</v>
      </c>
      <c r="H81" s="8" t="s">
        <v>400</v>
      </c>
      <c r="I81" s="8" t="s">
        <v>401</v>
      </c>
      <c r="J81" s="61" t="s">
        <v>22</v>
      </c>
      <c r="K81" s="8" t="s">
        <v>391</v>
      </c>
      <c r="L81" s="8"/>
      <c r="M81" s="8"/>
      <c r="N81" s="9" t="s">
        <v>24</v>
      </c>
      <c r="O81" s="9" t="str">
        <f t="shared" si="18"/>
        <v>SI</v>
      </c>
      <c r="P81" s="9" t="str">
        <f t="shared" si="10"/>
        <v>🟢</v>
      </c>
      <c r="Q81" s="58" t="s">
        <v>402</v>
      </c>
    </row>
    <row r="82" spans="1:17" ht="18" hidden="1" customHeight="1" x14ac:dyDescent="0.4">
      <c r="A82" s="10">
        <f t="shared" si="15"/>
        <v>81</v>
      </c>
      <c r="B82" s="10">
        <f t="shared" si="16"/>
        <v>81</v>
      </c>
      <c r="C82" s="11" t="s">
        <v>16</v>
      </c>
      <c r="D82" s="11" t="s">
        <v>60</v>
      </c>
      <c r="E82" s="12" t="str">
        <f t="shared" si="17"/>
        <v/>
      </c>
      <c r="F82" s="11" t="s">
        <v>403</v>
      </c>
      <c r="G82" s="11" t="s">
        <v>404</v>
      </c>
      <c r="H82" s="11" t="s">
        <v>405</v>
      </c>
      <c r="I82" s="11" t="s">
        <v>406</v>
      </c>
      <c r="J82" s="63" t="s">
        <v>71</v>
      </c>
      <c r="K82" s="11" t="s">
        <v>391</v>
      </c>
      <c r="L82" s="11"/>
      <c r="M82" s="11"/>
      <c r="N82" s="12" t="s">
        <v>24</v>
      </c>
      <c r="O82" s="12" t="str">
        <f t="shared" si="18"/>
        <v>NO</v>
      </c>
      <c r="P82" s="12" t="str">
        <f t="shared" si="10"/>
        <v>🔴</v>
      </c>
      <c r="Q82" s="59"/>
    </row>
    <row r="83" spans="1:17" ht="18" hidden="1" customHeight="1" x14ac:dyDescent="0.4">
      <c r="A83" s="7">
        <f t="shared" si="15"/>
        <v>82</v>
      </c>
      <c r="B83" s="7">
        <f t="shared" si="16"/>
        <v>82</v>
      </c>
      <c r="C83" s="8" t="s">
        <v>16</v>
      </c>
      <c r="D83" s="8" t="s">
        <v>60</v>
      </c>
      <c r="E83" s="9" t="str">
        <f t="shared" si="17"/>
        <v/>
      </c>
      <c r="F83" s="8" t="s">
        <v>407</v>
      </c>
      <c r="G83" s="8" t="s">
        <v>408</v>
      </c>
      <c r="H83" s="8" t="s">
        <v>409</v>
      </c>
      <c r="I83" s="8" t="s">
        <v>410</v>
      </c>
      <c r="J83" s="63" t="s">
        <v>71</v>
      </c>
      <c r="K83" s="8" t="s">
        <v>411</v>
      </c>
      <c r="L83" s="8"/>
      <c r="M83" s="8"/>
      <c r="N83" s="9" t="s">
        <v>24</v>
      </c>
      <c r="O83" s="9" t="str">
        <f t="shared" si="18"/>
        <v>NO</v>
      </c>
      <c r="P83" s="9" t="str">
        <f t="shared" si="10"/>
        <v>🔴</v>
      </c>
      <c r="Q83" s="58"/>
    </row>
    <row r="84" spans="1:17" ht="18" hidden="1" customHeight="1" x14ac:dyDescent="0.4">
      <c r="A84" s="10">
        <f t="shared" si="15"/>
        <v>83</v>
      </c>
      <c r="B84" s="10">
        <f t="shared" si="16"/>
        <v>83</v>
      </c>
      <c r="C84" s="11" t="s">
        <v>16</v>
      </c>
      <c r="D84" s="11" t="s">
        <v>60</v>
      </c>
      <c r="E84" s="12" t="str">
        <f t="shared" si="17"/>
        <v/>
      </c>
      <c r="F84" s="11" t="s">
        <v>412</v>
      </c>
      <c r="G84" s="11" t="s">
        <v>86</v>
      </c>
      <c r="H84" s="11" t="s">
        <v>413</v>
      </c>
      <c r="I84" s="11" t="s">
        <v>329</v>
      </c>
      <c r="J84" s="63" t="s">
        <v>71</v>
      </c>
      <c r="K84" s="11" t="s">
        <v>414</v>
      </c>
      <c r="L84" s="11"/>
      <c r="M84" s="11"/>
      <c r="N84" s="12" t="s">
        <v>24</v>
      </c>
      <c r="O84" s="12" t="str">
        <f t="shared" si="18"/>
        <v>NO</v>
      </c>
      <c r="P84" s="12" t="str">
        <f t="shared" si="10"/>
        <v>🔴</v>
      </c>
      <c r="Q84" s="59"/>
    </row>
    <row r="85" spans="1:17" ht="18" hidden="1" customHeight="1" x14ac:dyDescent="0.4">
      <c r="A85" s="7">
        <f t="shared" si="15"/>
        <v>84</v>
      </c>
      <c r="B85" s="7">
        <f t="shared" si="16"/>
        <v>84</v>
      </c>
      <c r="C85" s="8" t="s">
        <v>16</v>
      </c>
      <c r="D85" s="8" t="s">
        <v>60</v>
      </c>
      <c r="E85" s="9" t="str">
        <f t="shared" si="17"/>
        <v/>
      </c>
      <c r="F85" s="8" t="s">
        <v>415</v>
      </c>
      <c r="G85" s="8" t="s">
        <v>416</v>
      </c>
      <c r="H85" s="8" t="s">
        <v>417</v>
      </c>
      <c r="I85" s="8" t="s">
        <v>418</v>
      </c>
      <c r="J85" s="63" t="s">
        <v>71</v>
      </c>
      <c r="K85" s="8" t="s">
        <v>414</v>
      </c>
      <c r="L85" s="8"/>
      <c r="M85" s="8"/>
      <c r="N85" s="9" t="s">
        <v>24</v>
      </c>
      <c r="O85" s="9" t="str">
        <f t="shared" si="18"/>
        <v>NO</v>
      </c>
      <c r="P85" s="9" t="str">
        <f t="shared" si="10"/>
        <v>🔴</v>
      </c>
      <c r="Q85" s="58"/>
    </row>
    <row r="86" spans="1:17" ht="18" hidden="1" customHeight="1" x14ac:dyDescent="0.4">
      <c r="A86" s="10">
        <f t="shared" si="15"/>
        <v>85</v>
      </c>
      <c r="B86" s="10">
        <f t="shared" si="16"/>
        <v>85</v>
      </c>
      <c r="C86" s="11" t="s">
        <v>16</v>
      </c>
      <c r="D86" s="11" t="s">
        <v>60</v>
      </c>
      <c r="E86" s="12" t="str">
        <f t="shared" si="17"/>
        <v/>
      </c>
      <c r="F86" s="11" t="s">
        <v>419</v>
      </c>
      <c r="G86" s="11" t="s">
        <v>420</v>
      </c>
      <c r="H86" s="11" t="s">
        <v>421</v>
      </c>
      <c r="I86" s="11" t="s">
        <v>422</v>
      </c>
      <c r="J86" s="63" t="s">
        <v>71</v>
      </c>
      <c r="K86" s="11" t="s">
        <v>414</v>
      </c>
      <c r="L86" s="11"/>
      <c r="M86" s="11"/>
      <c r="N86" s="12" t="s">
        <v>24</v>
      </c>
      <c r="O86" s="12" t="str">
        <f t="shared" si="18"/>
        <v>NO</v>
      </c>
      <c r="P86" s="12" t="str">
        <f t="shared" si="10"/>
        <v>🔴</v>
      </c>
      <c r="Q86" s="59"/>
    </row>
    <row r="87" spans="1:17" ht="18" hidden="1" customHeight="1" x14ac:dyDescent="0.4">
      <c r="A87" s="7">
        <f t="shared" si="15"/>
        <v>86</v>
      </c>
      <c r="B87" s="7">
        <f t="shared" si="16"/>
        <v>86</v>
      </c>
      <c r="C87" s="8" t="s">
        <v>16</v>
      </c>
      <c r="D87" s="8" t="s">
        <v>60</v>
      </c>
      <c r="E87" s="9" t="str">
        <f t="shared" si="17"/>
        <v/>
      </c>
      <c r="F87" s="8" t="s">
        <v>423</v>
      </c>
      <c r="G87" s="8" t="s">
        <v>424</v>
      </c>
      <c r="H87" s="8" t="s">
        <v>425</v>
      </c>
      <c r="I87" s="8" t="s">
        <v>426</v>
      </c>
      <c r="J87" s="63" t="s">
        <v>71</v>
      </c>
      <c r="K87" s="8" t="s">
        <v>414</v>
      </c>
      <c r="L87" s="8"/>
      <c r="M87" s="8"/>
      <c r="N87" s="9" t="s">
        <v>24</v>
      </c>
      <c r="O87" s="9" t="str">
        <f t="shared" si="18"/>
        <v>NO</v>
      </c>
      <c r="P87" s="9" t="str">
        <f t="shared" si="10"/>
        <v>🔴</v>
      </c>
      <c r="Q87" s="58"/>
    </row>
    <row r="88" spans="1:17" ht="18" hidden="1" customHeight="1" x14ac:dyDescent="0.4">
      <c r="A88" s="10">
        <f t="shared" si="15"/>
        <v>87</v>
      </c>
      <c r="B88" s="10">
        <f t="shared" si="16"/>
        <v>87</v>
      </c>
      <c r="C88" s="11" t="s">
        <v>16</v>
      </c>
      <c r="D88" s="11" t="s">
        <v>60</v>
      </c>
      <c r="E88" s="12" t="str">
        <f t="shared" si="17"/>
        <v/>
      </c>
      <c r="F88" s="11" t="s">
        <v>427</v>
      </c>
      <c r="G88" s="11" t="s">
        <v>242</v>
      </c>
      <c r="H88" s="11" t="s">
        <v>428</v>
      </c>
      <c r="I88" s="11" t="s">
        <v>429</v>
      </c>
      <c r="J88" s="62" t="s">
        <v>71</v>
      </c>
      <c r="K88" s="11" t="s">
        <v>430</v>
      </c>
      <c r="L88" s="11"/>
      <c r="M88" s="11"/>
      <c r="N88" s="12" t="s">
        <v>24</v>
      </c>
      <c r="O88" s="12" t="str">
        <f t="shared" si="18"/>
        <v>NO</v>
      </c>
      <c r="P88" s="12" t="str">
        <f t="shared" si="10"/>
        <v>🔴</v>
      </c>
      <c r="Q88" s="59" t="s">
        <v>431</v>
      </c>
    </row>
    <row r="89" spans="1:17" ht="18" hidden="1" customHeight="1" x14ac:dyDescent="0.4">
      <c r="A89" s="7">
        <f t="shared" si="15"/>
        <v>88</v>
      </c>
      <c r="B89" s="7">
        <f t="shared" si="16"/>
        <v>88</v>
      </c>
      <c r="C89" s="8" t="s">
        <v>16</v>
      </c>
      <c r="D89" s="8" t="s">
        <v>60</v>
      </c>
      <c r="E89" s="9" t="str">
        <f t="shared" si="17"/>
        <v>VIP</v>
      </c>
      <c r="F89" s="8" t="s">
        <v>432</v>
      </c>
      <c r="G89" s="8" t="s">
        <v>307</v>
      </c>
      <c r="H89" s="8" t="s">
        <v>433</v>
      </c>
      <c r="I89" s="8" t="s">
        <v>434</v>
      </c>
      <c r="J89" s="61" t="s">
        <v>22</v>
      </c>
      <c r="K89" s="8" t="s">
        <v>430</v>
      </c>
      <c r="L89" s="8"/>
      <c r="M89" s="8"/>
      <c r="N89" s="9" t="s">
        <v>24</v>
      </c>
      <c r="O89" s="9" t="str">
        <f t="shared" si="18"/>
        <v>SI</v>
      </c>
      <c r="P89" s="9" t="str">
        <f t="shared" si="10"/>
        <v>🟢</v>
      </c>
      <c r="Q89" s="58" t="s">
        <v>435</v>
      </c>
    </row>
    <row r="90" spans="1:17" ht="18" hidden="1" customHeight="1" x14ac:dyDescent="0.4">
      <c r="A90" s="10">
        <f t="shared" si="15"/>
        <v>89</v>
      </c>
      <c r="B90" s="10">
        <f t="shared" si="16"/>
        <v>89</v>
      </c>
      <c r="C90" s="11" t="s">
        <v>16</v>
      </c>
      <c r="D90" s="11" t="s">
        <v>60</v>
      </c>
      <c r="E90" s="12" t="str">
        <f t="shared" si="17"/>
        <v>VIP</v>
      </c>
      <c r="F90" s="11" t="s">
        <v>436</v>
      </c>
      <c r="G90" s="11" t="s">
        <v>437</v>
      </c>
      <c r="H90" s="11" t="s">
        <v>438</v>
      </c>
      <c r="I90" s="11" t="s">
        <v>439</v>
      </c>
      <c r="J90" s="61" t="s">
        <v>22</v>
      </c>
      <c r="K90" s="11" t="s">
        <v>440</v>
      </c>
      <c r="L90" s="11"/>
      <c r="M90" s="11"/>
      <c r="N90" s="12" t="s">
        <v>24</v>
      </c>
      <c r="O90" s="12" t="str">
        <f t="shared" si="18"/>
        <v>SI</v>
      </c>
      <c r="P90" s="12" t="str">
        <f t="shared" si="10"/>
        <v>🟢</v>
      </c>
      <c r="Q90" s="59" t="s">
        <v>441</v>
      </c>
    </row>
    <row r="91" spans="1:17" ht="18" hidden="1" customHeight="1" x14ac:dyDescent="0.4">
      <c r="A91" s="7">
        <f t="shared" si="15"/>
        <v>90</v>
      </c>
      <c r="B91" s="7">
        <f t="shared" si="16"/>
        <v>90</v>
      </c>
      <c r="C91" s="8" t="s">
        <v>16</v>
      </c>
      <c r="D91" s="8" t="s">
        <v>60</v>
      </c>
      <c r="E91" s="9" t="str">
        <f t="shared" si="17"/>
        <v/>
      </c>
      <c r="F91" s="8" t="s">
        <v>442</v>
      </c>
      <c r="G91" s="8" t="s">
        <v>443</v>
      </c>
      <c r="H91" s="8" t="s">
        <v>444</v>
      </c>
      <c r="I91" s="8" t="s">
        <v>445</v>
      </c>
      <c r="J91" s="62" t="s">
        <v>71</v>
      </c>
      <c r="K91" s="8" t="s">
        <v>446</v>
      </c>
      <c r="L91" s="8"/>
      <c r="M91" s="8"/>
      <c r="N91" s="9" t="s">
        <v>24</v>
      </c>
      <c r="O91" s="9" t="str">
        <f t="shared" si="18"/>
        <v>NO</v>
      </c>
      <c r="P91" s="9" t="str">
        <f t="shared" si="10"/>
        <v>🔴</v>
      </c>
      <c r="Q91" s="58" t="s">
        <v>447</v>
      </c>
    </row>
    <row r="92" spans="1:17" ht="18" hidden="1" customHeight="1" x14ac:dyDescent="0.4">
      <c r="A92" s="10">
        <f t="shared" si="15"/>
        <v>91</v>
      </c>
      <c r="B92" s="10">
        <f t="shared" si="16"/>
        <v>91</v>
      </c>
      <c r="C92" s="11" t="s">
        <v>16</v>
      </c>
      <c r="D92" s="11" t="s">
        <v>60</v>
      </c>
      <c r="E92" s="12" t="str">
        <f t="shared" si="17"/>
        <v>VIP</v>
      </c>
      <c r="F92" s="11" t="s">
        <v>448</v>
      </c>
      <c r="G92" s="11" t="s">
        <v>449</v>
      </c>
      <c r="H92" s="11" t="s">
        <v>450</v>
      </c>
      <c r="I92" s="11" t="s">
        <v>451</v>
      </c>
      <c r="J92" s="61" t="s">
        <v>22</v>
      </c>
      <c r="K92" s="11" t="s">
        <v>446</v>
      </c>
      <c r="L92" s="11"/>
      <c r="M92" s="11"/>
      <c r="N92" s="12" t="s">
        <v>24</v>
      </c>
      <c r="O92" s="12" t="str">
        <f t="shared" si="18"/>
        <v>SI</v>
      </c>
      <c r="P92" s="12" t="str">
        <f t="shared" si="10"/>
        <v>🟢</v>
      </c>
      <c r="Q92" s="59" t="s">
        <v>452</v>
      </c>
    </row>
    <row r="93" spans="1:17" ht="18" hidden="1" customHeight="1" x14ac:dyDescent="0.4">
      <c r="A93" s="7">
        <f t="shared" si="15"/>
        <v>92</v>
      </c>
      <c r="B93" s="7">
        <f t="shared" si="16"/>
        <v>92</v>
      </c>
      <c r="C93" s="8" t="s">
        <v>16</v>
      </c>
      <c r="D93" s="8" t="s">
        <v>66</v>
      </c>
      <c r="E93" s="9" t="str">
        <f t="shared" si="17"/>
        <v>VIP</v>
      </c>
      <c r="F93" s="8" t="s">
        <v>453</v>
      </c>
      <c r="G93" s="8" t="s">
        <v>454</v>
      </c>
      <c r="H93" s="8" t="s">
        <v>455</v>
      </c>
      <c r="I93" s="8" t="s">
        <v>172</v>
      </c>
      <c r="J93" s="61" t="s">
        <v>22</v>
      </c>
      <c r="K93" s="8" t="s">
        <v>456</v>
      </c>
      <c r="L93" s="8"/>
      <c r="M93" s="8"/>
      <c r="N93" s="9" t="s">
        <v>24</v>
      </c>
      <c r="O93" s="9" t="str">
        <f t="shared" si="18"/>
        <v>SI</v>
      </c>
      <c r="P93" s="9" t="str">
        <f t="shared" si="10"/>
        <v>🟢</v>
      </c>
      <c r="Q93" s="58" t="s">
        <v>457</v>
      </c>
    </row>
    <row r="94" spans="1:17" ht="18" hidden="1" customHeight="1" x14ac:dyDescent="0.4">
      <c r="A94" s="10">
        <f t="shared" si="15"/>
        <v>93</v>
      </c>
      <c r="B94" s="10">
        <f t="shared" si="16"/>
        <v>93</v>
      </c>
      <c r="C94" s="11" t="s">
        <v>16</v>
      </c>
      <c r="D94" s="11" t="s">
        <v>66</v>
      </c>
      <c r="E94" s="12" t="str">
        <f t="shared" si="17"/>
        <v/>
      </c>
      <c r="F94" s="11" t="s">
        <v>458</v>
      </c>
      <c r="G94" s="11" t="s">
        <v>459</v>
      </c>
      <c r="H94" s="11" t="s">
        <v>460</v>
      </c>
      <c r="I94" s="11" t="s">
        <v>461</v>
      </c>
      <c r="J94" s="62" t="s">
        <v>71</v>
      </c>
      <c r="K94" s="11" t="s">
        <v>462</v>
      </c>
      <c r="L94" s="11"/>
      <c r="M94" s="11"/>
      <c r="N94" s="12" t="s">
        <v>24</v>
      </c>
      <c r="O94" s="12" t="str">
        <f t="shared" si="18"/>
        <v>NO</v>
      </c>
      <c r="P94" s="12" t="str">
        <f t="shared" ref="P94:P125" si="19">IF(UPPER($J94)="SI","🟢",IF(UPPER($J94)="NO","🔴","🟡"))</f>
        <v>🔴</v>
      </c>
      <c r="Q94" s="59" t="s">
        <v>463</v>
      </c>
    </row>
    <row r="95" spans="1:17" ht="18" hidden="1" customHeight="1" x14ac:dyDescent="0.4">
      <c r="A95" s="7">
        <f t="shared" si="15"/>
        <v>94</v>
      </c>
      <c r="B95" s="7">
        <f t="shared" si="16"/>
        <v>94</v>
      </c>
      <c r="C95" s="8" t="s">
        <v>16</v>
      </c>
      <c r="D95" s="8" t="s">
        <v>66</v>
      </c>
      <c r="E95" s="9" t="str">
        <f t="shared" si="17"/>
        <v/>
      </c>
      <c r="F95" s="8" t="s">
        <v>464</v>
      </c>
      <c r="G95" s="8" t="s">
        <v>465</v>
      </c>
      <c r="H95" s="8" t="s">
        <v>466</v>
      </c>
      <c r="I95" s="8" t="s">
        <v>467</v>
      </c>
      <c r="J95" s="63" t="s">
        <v>71</v>
      </c>
      <c r="K95" s="8" t="s">
        <v>462</v>
      </c>
      <c r="L95" s="8"/>
      <c r="M95" s="8"/>
      <c r="N95" s="9" t="s">
        <v>24</v>
      </c>
      <c r="O95" s="9" t="str">
        <f t="shared" si="18"/>
        <v>NO</v>
      </c>
      <c r="P95" s="9" t="str">
        <f t="shared" si="19"/>
        <v>🔴</v>
      </c>
      <c r="Q95" s="58"/>
    </row>
    <row r="96" spans="1:17" ht="18" hidden="1" customHeight="1" x14ac:dyDescent="0.4">
      <c r="A96" s="10">
        <f t="shared" si="15"/>
        <v>95</v>
      </c>
      <c r="B96" s="10">
        <f t="shared" si="16"/>
        <v>95</v>
      </c>
      <c r="C96" s="11" t="s">
        <v>16</v>
      </c>
      <c r="D96" s="11" t="s">
        <v>66</v>
      </c>
      <c r="E96" s="12" t="str">
        <f t="shared" si="17"/>
        <v/>
      </c>
      <c r="F96" s="11" t="s">
        <v>468</v>
      </c>
      <c r="G96" s="11" t="s">
        <v>68</v>
      </c>
      <c r="H96" s="11" t="s">
        <v>469</v>
      </c>
      <c r="I96" s="11" t="s">
        <v>470</v>
      </c>
      <c r="J96" s="62" t="s">
        <v>71</v>
      </c>
      <c r="K96" s="11" t="s">
        <v>462</v>
      </c>
      <c r="L96" s="11"/>
      <c r="M96" s="11"/>
      <c r="N96" s="12" t="s">
        <v>24</v>
      </c>
      <c r="O96" s="12" t="str">
        <f t="shared" si="18"/>
        <v>NO</v>
      </c>
      <c r="P96" s="12" t="str">
        <f t="shared" si="19"/>
        <v>🔴</v>
      </c>
      <c r="Q96" s="59" t="s">
        <v>471</v>
      </c>
    </row>
    <row r="97" spans="1:17" ht="18" hidden="1" customHeight="1" x14ac:dyDescent="0.4">
      <c r="A97" s="7">
        <f t="shared" si="15"/>
        <v>96</v>
      </c>
      <c r="B97" s="7">
        <f t="shared" si="16"/>
        <v>96</v>
      </c>
      <c r="C97" s="8" t="s">
        <v>16</v>
      </c>
      <c r="D97" s="8" t="s">
        <v>66</v>
      </c>
      <c r="E97" s="9" t="str">
        <f t="shared" si="17"/>
        <v>VIP</v>
      </c>
      <c r="F97" s="8" t="s">
        <v>472</v>
      </c>
      <c r="G97" s="8" t="s">
        <v>473</v>
      </c>
      <c r="H97" s="8" t="s">
        <v>474</v>
      </c>
      <c r="I97" s="8" t="s">
        <v>475</v>
      </c>
      <c r="J97" s="62" t="s">
        <v>22</v>
      </c>
      <c r="K97" s="8" t="s">
        <v>462</v>
      </c>
      <c r="L97" s="8"/>
      <c r="M97" s="8"/>
      <c r="N97" s="9" t="s">
        <v>24</v>
      </c>
      <c r="O97" s="9" t="str">
        <f t="shared" si="18"/>
        <v>SI</v>
      </c>
      <c r="P97" s="9" t="str">
        <f t="shared" si="19"/>
        <v>🟢</v>
      </c>
      <c r="Q97" s="58" t="s">
        <v>476</v>
      </c>
    </row>
    <row r="98" spans="1:17" ht="18" hidden="1" customHeight="1" x14ac:dyDescent="0.4">
      <c r="A98" s="10">
        <f t="shared" si="15"/>
        <v>97</v>
      </c>
      <c r="B98" s="10">
        <f t="shared" si="16"/>
        <v>97</v>
      </c>
      <c r="C98" s="11" t="s">
        <v>16</v>
      </c>
      <c r="D98" s="11" t="s">
        <v>66</v>
      </c>
      <c r="E98" s="12" t="str">
        <f t="shared" si="17"/>
        <v/>
      </c>
      <c r="F98" s="11" t="s">
        <v>477</v>
      </c>
      <c r="G98" s="11" t="s">
        <v>478</v>
      </c>
      <c r="H98" s="11" t="s">
        <v>20</v>
      </c>
      <c r="I98" s="11" t="s">
        <v>479</v>
      </c>
      <c r="J98" s="62" t="s">
        <v>71</v>
      </c>
      <c r="K98" s="11" t="s">
        <v>462</v>
      </c>
      <c r="L98" s="11"/>
      <c r="M98" s="11"/>
      <c r="N98" s="12" t="s">
        <v>24</v>
      </c>
      <c r="O98" s="12" t="str">
        <f t="shared" si="18"/>
        <v>NO</v>
      </c>
      <c r="P98" s="12" t="str">
        <f t="shared" si="19"/>
        <v>🔴</v>
      </c>
      <c r="Q98" s="59"/>
    </row>
    <row r="99" spans="1:17" ht="18" hidden="1" customHeight="1" x14ac:dyDescent="0.4">
      <c r="A99" s="7">
        <f t="shared" si="15"/>
        <v>98</v>
      </c>
      <c r="B99" s="7">
        <f t="shared" si="16"/>
        <v>98</v>
      </c>
      <c r="C99" s="8" t="s">
        <v>16</v>
      </c>
      <c r="D99" s="8" t="s">
        <v>66</v>
      </c>
      <c r="E99" s="9" t="str">
        <f t="shared" si="17"/>
        <v/>
      </c>
      <c r="F99" s="8" t="s">
        <v>480</v>
      </c>
      <c r="G99" s="8" t="s">
        <v>481</v>
      </c>
      <c r="H99" s="8" t="s">
        <v>312</v>
      </c>
      <c r="I99" s="8" t="s">
        <v>450</v>
      </c>
      <c r="J99" s="62" t="s">
        <v>71</v>
      </c>
      <c r="K99" s="8" t="s">
        <v>462</v>
      </c>
      <c r="L99" s="8"/>
      <c r="M99" s="8"/>
      <c r="N99" s="9" t="s">
        <v>24</v>
      </c>
      <c r="O99" s="9" t="str">
        <f t="shared" si="18"/>
        <v>NO</v>
      </c>
      <c r="P99" s="9" t="str">
        <f t="shared" si="19"/>
        <v>🔴</v>
      </c>
      <c r="Q99" s="58"/>
    </row>
    <row r="100" spans="1:17" ht="18" hidden="1" customHeight="1" x14ac:dyDescent="0.4">
      <c r="A100" s="10">
        <f t="shared" si="15"/>
        <v>99</v>
      </c>
      <c r="B100" s="10">
        <f t="shared" si="16"/>
        <v>99</v>
      </c>
      <c r="C100" s="11" t="s">
        <v>16</v>
      </c>
      <c r="D100" s="11" t="s">
        <v>66</v>
      </c>
      <c r="E100" s="12" t="str">
        <f t="shared" si="17"/>
        <v/>
      </c>
      <c r="F100" s="11" t="s">
        <v>482</v>
      </c>
      <c r="G100" s="11" t="s">
        <v>483</v>
      </c>
      <c r="H100" s="11" t="s">
        <v>484</v>
      </c>
      <c r="I100" s="11" t="s">
        <v>485</v>
      </c>
      <c r="J100" s="62" t="s">
        <v>71</v>
      </c>
      <c r="K100" s="11" t="s">
        <v>462</v>
      </c>
      <c r="L100" s="11"/>
      <c r="M100" s="11"/>
      <c r="N100" s="12" t="s">
        <v>24</v>
      </c>
      <c r="O100" s="12" t="str">
        <f t="shared" si="18"/>
        <v>NO</v>
      </c>
      <c r="P100" s="12" t="str">
        <f t="shared" si="19"/>
        <v>🔴</v>
      </c>
      <c r="Q100" s="59" t="s">
        <v>486</v>
      </c>
    </row>
    <row r="101" spans="1:17" ht="18" hidden="1" customHeight="1" x14ac:dyDescent="0.4">
      <c r="A101" s="7">
        <f t="shared" si="15"/>
        <v>100</v>
      </c>
      <c r="B101" s="7">
        <f t="shared" si="16"/>
        <v>100</v>
      </c>
      <c r="C101" s="8" t="s">
        <v>16</v>
      </c>
      <c r="D101" s="8" t="s">
        <v>66</v>
      </c>
      <c r="E101" s="9" t="str">
        <f t="shared" si="17"/>
        <v/>
      </c>
      <c r="F101" s="8" t="s">
        <v>487</v>
      </c>
      <c r="G101" s="8" t="s">
        <v>488</v>
      </c>
      <c r="H101" s="8" t="s">
        <v>489</v>
      </c>
      <c r="I101" s="8" t="s">
        <v>490</v>
      </c>
      <c r="J101" s="62" t="s">
        <v>71</v>
      </c>
      <c r="K101" s="8" t="s">
        <v>462</v>
      </c>
      <c r="L101" s="8"/>
      <c r="M101" s="8"/>
      <c r="N101" s="9" t="s">
        <v>24</v>
      </c>
      <c r="O101" s="9" t="str">
        <f t="shared" si="18"/>
        <v>NO</v>
      </c>
      <c r="P101" s="9" t="str">
        <f t="shared" si="19"/>
        <v>🔴</v>
      </c>
      <c r="Q101" s="58" t="s">
        <v>491</v>
      </c>
    </row>
    <row r="102" spans="1:17" ht="18" hidden="1" customHeight="1" x14ac:dyDescent="0.4">
      <c r="A102" s="10">
        <f t="shared" si="15"/>
        <v>101</v>
      </c>
      <c r="B102" s="10">
        <f t="shared" si="16"/>
        <v>101</v>
      </c>
      <c r="C102" s="11" t="s">
        <v>16</v>
      </c>
      <c r="D102" s="11" t="s">
        <v>66</v>
      </c>
      <c r="E102" s="12" t="str">
        <f t="shared" si="17"/>
        <v/>
      </c>
      <c r="F102" s="11" t="s">
        <v>492</v>
      </c>
      <c r="G102" s="11" t="s">
        <v>493</v>
      </c>
      <c r="H102" s="11" t="s">
        <v>494</v>
      </c>
      <c r="I102" s="11" t="s">
        <v>495</v>
      </c>
      <c r="J102" s="62" t="s">
        <v>71</v>
      </c>
      <c r="K102" s="11" t="s">
        <v>462</v>
      </c>
      <c r="L102" s="11"/>
      <c r="M102" s="11"/>
      <c r="N102" s="12" t="s">
        <v>24</v>
      </c>
      <c r="O102" s="12" t="str">
        <f t="shared" si="18"/>
        <v>NO</v>
      </c>
      <c r="P102" s="12" t="str">
        <f t="shared" si="19"/>
        <v>🔴</v>
      </c>
      <c r="Q102" s="59" t="s">
        <v>496</v>
      </c>
    </row>
    <row r="103" spans="1:17" ht="18" hidden="1" customHeight="1" x14ac:dyDescent="0.4">
      <c r="A103" s="7">
        <f t="shared" si="15"/>
        <v>102</v>
      </c>
      <c r="B103" s="7">
        <f t="shared" si="16"/>
        <v>102</v>
      </c>
      <c r="C103" s="8" t="s">
        <v>16</v>
      </c>
      <c r="D103" s="8" t="s">
        <v>66</v>
      </c>
      <c r="E103" s="9" t="str">
        <f t="shared" si="17"/>
        <v/>
      </c>
      <c r="F103" s="8" t="s">
        <v>497</v>
      </c>
      <c r="G103" s="8" t="s">
        <v>498</v>
      </c>
      <c r="H103" s="8" t="s">
        <v>499</v>
      </c>
      <c r="I103" s="8" t="s">
        <v>500</v>
      </c>
      <c r="J103" s="61" t="s">
        <v>71</v>
      </c>
      <c r="K103" s="8" t="s">
        <v>462</v>
      </c>
      <c r="L103" s="8"/>
      <c r="M103" s="8"/>
      <c r="N103" s="9" t="s">
        <v>24</v>
      </c>
      <c r="O103" s="9" t="str">
        <f t="shared" si="18"/>
        <v>NO</v>
      </c>
      <c r="P103" s="9" t="str">
        <f t="shared" si="19"/>
        <v>🔴</v>
      </c>
      <c r="Q103" s="58" t="s">
        <v>501</v>
      </c>
    </row>
    <row r="104" spans="1:17" ht="18" hidden="1" customHeight="1" x14ac:dyDescent="0.4">
      <c r="A104" s="10">
        <f t="shared" si="15"/>
        <v>103</v>
      </c>
      <c r="B104" s="10">
        <f t="shared" si="16"/>
        <v>103</v>
      </c>
      <c r="C104" s="11" t="s">
        <v>16</v>
      </c>
      <c r="D104" s="11" t="s">
        <v>66</v>
      </c>
      <c r="E104" s="12" t="str">
        <f t="shared" si="17"/>
        <v>VIP</v>
      </c>
      <c r="F104" s="11" t="s">
        <v>502</v>
      </c>
      <c r="G104" s="11" t="s">
        <v>128</v>
      </c>
      <c r="H104" s="11" t="s">
        <v>503</v>
      </c>
      <c r="I104" s="11" t="s">
        <v>43</v>
      </c>
      <c r="J104" s="61" t="s">
        <v>22</v>
      </c>
      <c r="K104" s="11" t="s">
        <v>462</v>
      </c>
      <c r="L104" s="11"/>
      <c r="M104" s="11"/>
      <c r="N104" s="12" t="s">
        <v>24</v>
      </c>
      <c r="O104" s="12" t="str">
        <f t="shared" si="18"/>
        <v>SI</v>
      </c>
      <c r="P104" s="12" t="str">
        <f t="shared" si="19"/>
        <v>🟢</v>
      </c>
      <c r="Q104" s="59" t="s">
        <v>504</v>
      </c>
    </row>
    <row r="105" spans="1:17" ht="18" hidden="1" customHeight="1" x14ac:dyDescent="0.4">
      <c r="A105" s="7">
        <f t="shared" si="15"/>
        <v>104</v>
      </c>
      <c r="B105" s="7">
        <f t="shared" si="16"/>
        <v>104</v>
      </c>
      <c r="C105" s="8" t="s">
        <v>16</v>
      </c>
      <c r="D105" s="8" t="s">
        <v>66</v>
      </c>
      <c r="E105" s="9" t="str">
        <f t="shared" si="17"/>
        <v/>
      </c>
      <c r="F105" s="8" t="s">
        <v>505</v>
      </c>
      <c r="G105" s="8" t="s">
        <v>242</v>
      </c>
      <c r="H105" s="8" t="s">
        <v>382</v>
      </c>
      <c r="I105" s="8" t="s">
        <v>506</v>
      </c>
      <c r="J105" s="63" t="s">
        <v>71</v>
      </c>
      <c r="K105" s="8" t="s">
        <v>462</v>
      </c>
      <c r="L105" s="8"/>
      <c r="M105" s="8"/>
      <c r="N105" s="9" t="s">
        <v>24</v>
      </c>
      <c r="O105" s="9" t="str">
        <f t="shared" si="18"/>
        <v>NO</v>
      </c>
      <c r="P105" s="9" t="str">
        <f t="shared" si="19"/>
        <v>🔴</v>
      </c>
      <c r="Q105" s="58"/>
    </row>
    <row r="106" spans="1:17" ht="18" hidden="1" customHeight="1" x14ac:dyDescent="0.4">
      <c r="A106" s="10">
        <f t="shared" si="15"/>
        <v>105</v>
      </c>
      <c r="B106" s="10">
        <f t="shared" si="16"/>
        <v>105</v>
      </c>
      <c r="C106" s="11" t="s">
        <v>16</v>
      </c>
      <c r="D106" s="11" t="s">
        <v>66</v>
      </c>
      <c r="E106" s="12" t="str">
        <f t="shared" si="17"/>
        <v/>
      </c>
      <c r="F106" s="11" t="s">
        <v>507</v>
      </c>
      <c r="G106" s="11" t="s">
        <v>128</v>
      </c>
      <c r="H106" s="11" t="s">
        <v>508</v>
      </c>
      <c r="I106" s="11" t="s">
        <v>509</v>
      </c>
      <c r="J106" s="62" t="s">
        <v>71</v>
      </c>
      <c r="K106" s="11" t="s">
        <v>510</v>
      </c>
      <c r="L106" s="11"/>
      <c r="M106" s="11"/>
      <c r="N106" s="12" t="s">
        <v>24</v>
      </c>
      <c r="O106" s="12" t="str">
        <f t="shared" si="18"/>
        <v>NO</v>
      </c>
      <c r="P106" s="12" t="str">
        <f t="shared" si="19"/>
        <v>🔴</v>
      </c>
      <c r="Q106" s="59" t="s">
        <v>511</v>
      </c>
    </row>
    <row r="107" spans="1:17" ht="18" hidden="1" customHeight="1" x14ac:dyDescent="0.4">
      <c r="A107" s="7">
        <f t="shared" si="15"/>
        <v>106</v>
      </c>
      <c r="B107" s="7">
        <f t="shared" si="16"/>
        <v>106</v>
      </c>
      <c r="C107" s="8" t="s">
        <v>16</v>
      </c>
      <c r="D107" s="8" t="s">
        <v>66</v>
      </c>
      <c r="E107" s="9" t="str">
        <f t="shared" si="17"/>
        <v>VIP</v>
      </c>
      <c r="F107" s="8" t="s">
        <v>512</v>
      </c>
      <c r="G107" s="8" t="s">
        <v>513</v>
      </c>
      <c r="H107" s="8" t="s">
        <v>514</v>
      </c>
      <c r="I107" s="8" t="s">
        <v>515</v>
      </c>
      <c r="J107" s="62" t="s">
        <v>22</v>
      </c>
      <c r="K107" s="8" t="s">
        <v>516</v>
      </c>
      <c r="L107" s="8"/>
      <c r="M107" s="8"/>
      <c r="N107" s="9" t="s">
        <v>24</v>
      </c>
      <c r="O107" s="9" t="str">
        <f t="shared" si="18"/>
        <v>SI</v>
      </c>
      <c r="P107" s="9" t="str">
        <f t="shared" si="19"/>
        <v>🟢</v>
      </c>
      <c r="Q107" s="58" t="s">
        <v>517</v>
      </c>
    </row>
    <row r="108" spans="1:17" ht="18" hidden="1" customHeight="1" x14ac:dyDescent="0.4">
      <c r="A108" s="10">
        <f t="shared" si="15"/>
        <v>107</v>
      </c>
      <c r="B108" s="10">
        <f t="shared" si="16"/>
        <v>107</v>
      </c>
      <c r="C108" s="11" t="s">
        <v>16</v>
      </c>
      <c r="D108" s="11" t="s">
        <v>66</v>
      </c>
      <c r="E108" s="12" t="str">
        <f t="shared" si="17"/>
        <v/>
      </c>
      <c r="F108" s="11" t="s">
        <v>518</v>
      </c>
      <c r="G108" s="11" t="s">
        <v>519</v>
      </c>
      <c r="H108" s="11" t="s">
        <v>413</v>
      </c>
      <c r="I108" s="11" t="s">
        <v>520</v>
      </c>
      <c r="J108" s="63" t="s">
        <v>71</v>
      </c>
      <c r="K108" s="11" t="s">
        <v>521</v>
      </c>
      <c r="L108" s="11"/>
      <c r="M108" s="11"/>
      <c r="N108" s="12" t="s">
        <v>24</v>
      </c>
      <c r="O108" s="12" t="str">
        <f t="shared" si="18"/>
        <v>NO</v>
      </c>
      <c r="P108" s="12" t="str">
        <f t="shared" si="19"/>
        <v>🔴</v>
      </c>
      <c r="Q108" s="59"/>
    </row>
    <row r="109" spans="1:17" ht="18" hidden="1" customHeight="1" x14ac:dyDescent="0.4">
      <c r="A109" s="7">
        <f t="shared" si="15"/>
        <v>108</v>
      </c>
      <c r="B109" s="7">
        <f t="shared" si="16"/>
        <v>108</v>
      </c>
      <c r="C109" s="8" t="s">
        <v>16</v>
      </c>
      <c r="D109" s="8" t="s">
        <v>66</v>
      </c>
      <c r="E109" s="9" t="str">
        <f t="shared" si="17"/>
        <v/>
      </c>
      <c r="F109" s="8" t="s">
        <v>522</v>
      </c>
      <c r="G109" s="8" t="s">
        <v>523</v>
      </c>
      <c r="H109" s="8" t="s">
        <v>524</v>
      </c>
      <c r="I109" s="8" t="s">
        <v>525</v>
      </c>
      <c r="J109" s="62" t="s">
        <v>71</v>
      </c>
      <c r="K109" s="8" t="s">
        <v>521</v>
      </c>
      <c r="L109" s="8"/>
      <c r="M109" s="8"/>
      <c r="N109" s="9" t="s">
        <v>24</v>
      </c>
      <c r="O109" s="9" t="str">
        <f t="shared" si="18"/>
        <v>NO</v>
      </c>
      <c r="P109" s="9" t="str">
        <f t="shared" si="19"/>
        <v>🔴</v>
      </c>
      <c r="Q109" s="58" t="s">
        <v>526</v>
      </c>
    </row>
    <row r="110" spans="1:17" ht="18" hidden="1" customHeight="1" x14ac:dyDescent="0.4">
      <c r="A110" s="10">
        <f t="shared" ref="A110:A141" si="20">IF(COUNTA(C110:K110)=0,"",ROW()-1)</f>
        <v>109</v>
      </c>
      <c r="B110" s="10">
        <f t="shared" ref="B110:B141" si="21">IF($F110&lt;&gt;"",$A110,"")</f>
        <v>109</v>
      </c>
      <c r="C110" s="11" t="s">
        <v>16</v>
      </c>
      <c r="D110" s="11" t="s">
        <v>66</v>
      </c>
      <c r="E110" s="12" t="str">
        <f t="shared" ref="E110:E138" si="22">IF(UPPER($J110)="NO","",$N110)</f>
        <v/>
      </c>
      <c r="F110" s="11" t="s">
        <v>527</v>
      </c>
      <c r="G110" s="11" t="s">
        <v>528</v>
      </c>
      <c r="H110" s="11" t="s">
        <v>529</v>
      </c>
      <c r="I110" s="11" t="s">
        <v>530</v>
      </c>
      <c r="J110" s="62" t="s">
        <v>71</v>
      </c>
      <c r="K110" s="11" t="s">
        <v>521</v>
      </c>
      <c r="L110" s="11"/>
      <c r="M110" s="11"/>
      <c r="N110" s="12" t="s">
        <v>24</v>
      </c>
      <c r="O110" s="12" t="str">
        <f t="shared" ref="O110:O141" si="23">IF(AND(UPPER($N110)="VIP",UPPER($J110)&lt;&gt;"NO",$F110&lt;&gt;""),"SI","NO")</f>
        <v>NO</v>
      </c>
      <c r="P110" s="12" t="str">
        <f t="shared" si="19"/>
        <v>🔴</v>
      </c>
      <c r="Q110" s="59" t="s">
        <v>531</v>
      </c>
    </row>
    <row r="111" spans="1:17" ht="18" hidden="1" customHeight="1" x14ac:dyDescent="0.4">
      <c r="A111" s="7">
        <f t="shared" si="20"/>
        <v>110</v>
      </c>
      <c r="B111" s="7">
        <f t="shared" si="21"/>
        <v>110</v>
      </c>
      <c r="C111" s="8" t="s">
        <v>16</v>
      </c>
      <c r="D111" s="8" t="s">
        <v>66</v>
      </c>
      <c r="E111" s="9" t="str">
        <f t="shared" si="22"/>
        <v/>
      </c>
      <c r="F111" s="8" t="s">
        <v>532</v>
      </c>
      <c r="G111" s="8" t="s">
        <v>533</v>
      </c>
      <c r="H111" s="8" t="s">
        <v>534</v>
      </c>
      <c r="I111" s="8" t="s">
        <v>524</v>
      </c>
      <c r="J111" s="62" t="s">
        <v>71</v>
      </c>
      <c r="K111" s="8" t="s">
        <v>521</v>
      </c>
      <c r="L111" s="8"/>
      <c r="M111" s="8"/>
      <c r="N111" s="9" t="s">
        <v>24</v>
      </c>
      <c r="O111" s="9" t="str">
        <f t="shared" si="23"/>
        <v>NO</v>
      </c>
      <c r="P111" s="9" t="str">
        <f t="shared" si="19"/>
        <v>🔴</v>
      </c>
      <c r="Q111" s="58" t="s">
        <v>535</v>
      </c>
    </row>
    <row r="112" spans="1:17" ht="18" hidden="1" customHeight="1" x14ac:dyDescent="0.4">
      <c r="A112" s="10">
        <f t="shared" si="20"/>
        <v>111</v>
      </c>
      <c r="B112" s="10">
        <f t="shared" si="21"/>
        <v>111</v>
      </c>
      <c r="C112" s="11" t="s">
        <v>16</v>
      </c>
      <c r="D112" s="11" t="s">
        <v>66</v>
      </c>
      <c r="E112" s="12" t="str">
        <f t="shared" si="22"/>
        <v/>
      </c>
      <c r="F112" s="11" t="s">
        <v>536</v>
      </c>
      <c r="G112" s="11" t="s">
        <v>537</v>
      </c>
      <c r="H112" s="11" t="s">
        <v>538</v>
      </c>
      <c r="I112" s="11" t="s">
        <v>539</v>
      </c>
      <c r="J112" s="63" t="s">
        <v>71</v>
      </c>
      <c r="K112" s="11" t="s">
        <v>521</v>
      </c>
      <c r="L112" s="11"/>
      <c r="M112" s="11"/>
      <c r="N112" s="12" t="s">
        <v>24</v>
      </c>
      <c r="O112" s="12" t="str">
        <f t="shared" si="23"/>
        <v>NO</v>
      </c>
      <c r="P112" s="12" t="str">
        <f t="shared" si="19"/>
        <v>🔴</v>
      </c>
      <c r="Q112" s="59"/>
    </row>
    <row r="113" spans="1:17" ht="18" hidden="1" customHeight="1" x14ac:dyDescent="0.4">
      <c r="A113" s="7">
        <f t="shared" si="20"/>
        <v>112</v>
      </c>
      <c r="B113" s="7">
        <f t="shared" si="21"/>
        <v>112</v>
      </c>
      <c r="C113" s="8" t="s">
        <v>16</v>
      </c>
      <c r="D113" s="8" t="s">
        <v>66</v>
      </c>
      <c r="E113" s="9" t="str">
        <f t="shared" si="22"/>
        <v/>
      </c>
      <c r="F113" s="8" t="s">
        <v>540</v>
      </c>
      <c r="G113" s="8" t="s">
        <v>541</v>
      </c>
      <c r="H113" s="8" t="s">
        <v>542</v>
      </c>
      <c r="I113" s="8" t="s">
        <v>543</v>
      </c>
      <c r="J113" s="62" t="s">
        <v>71</v>
      </c>
      <c r="K113" s="8" t="s">
        <v>521</v>
      </c>
      <c r="L113" s="8"/>
      <c r="M113" s="8"/>
      <c r="N113" s="9" t="s">
        <v>24</v>
      </c>
      <c r="O113" s="9" t="str">
        <f t="shared" si="23"/>
        <v>NO</v>
      </c>
      <c r="P113" s="9" t="str">
        <f t="shared" si="19"/>
        <v>🔴</v>
      </c>
      <c r="Q113" s="58" t="s">
        <v>544</v>
      </c>
    </row>
    <row r="114" spans="1:17" ht="18" hidden="1" customHeight="1" x14ac:dyDescent="0.4">
      <c r="A114" s="10">
        <f t="shared" si="20"/>
        <v>113</v>
      </c>
      <c r="B114" s="10">
        <f t="shared" si="21"/>
        <v>113</v>
      </c>
      <c r="C114" s="11" t="s">
        <v>16</v>
      </c>
      <c r="D114" s="11" t="s">
        <v>66</v>
      </c>
      <c r="E114" s="12" t="str">
        <f t="shared" si="22"/>
        <v/>
      </c>
      <c r="F114" s="11" t="s">
        <v>545</v>
      </c>
      <c r="G114" s="11" t="s">
        <v>97</v>
      </c>
      <c r="H114" s="11" t="s">
        <v>546</v>
      </c>
      <c r="I114" s="11" t="s">
        <v>43</v>
      </c>
      <c r="J114" s="62" t="s">
        <v>71</v>
      </c>
      <c r="K114" s="11" t="s">
        <v>521</v>
      </c>
      <c r="L114" s="11"/>
      <c r="M114" s="11"/>
      <c r="N114" s="12" t="s">
        <v>24</v>
      </c>
      <c r="O114" s="12" t="str">
        <f t="shared" si="23"/>
        <v>NO</v>
      </c>
      <c r="P114" s="12" t="str">
        <f t="shared" si="19"/>
        <v>🔴</v>
      </c>
      <c r="Q114" s="59" t="s">
        <v>547</v>
      </c>
    </row>
    <row r="115" spans="1:17" ht="18" hidden="1" customHeight="1" x14ac:dyDescent="0.4">
      <c r="A115" s="7">
        <f t="shared" si="20"/>
        <v>114</v>
      </c>
      <c r="B115" s="7">
        <f t="shared" si="21"/>
        <v>114</v>
      </c>
      <c r="C115" s="8" t="s">
        <v>16</v>
      </c>
      <c r="D115" s="8" t="s">
        <v>66</v>
      </c>
      <c r="E115" s="9" t="str">
        <f t="shared" si="22"/>
        <v/>
      </c>
      <c r="F115" s="8" t="s">
        <v>548</v>
      </c>
      <c r="G115" s="8" t="s">
        <v>549</v>
      </c>
      <c r="H115" s="8" t="s">
        <v>550</v>
      </c>
      <c r="I115" s="8" t="s">
        <v>551</v>
      </c>
      <c r="J115" s="62" t="s">
        <v>71</v>
      </c>
      <c r="K115" s="8" t="s">
        <v>521</v>
      </c>
      <c r="L115" s="8"/>
      <c r="M115" s="8"/>
      <c r="N115" s="9" t="s">
        <v>24</v>
      </c>
      <c r="O115" s="9" t="str">
        <f t="shared" si="23"/>
        <v>NO</v>
      </c>
      <c r="P115" s="9" t="str">
        <f t="shared" si="19"/>
        <v>🔴</v>
      </c>
      <c r="Q115" s="58" t="s">
        <v>552</v>
      </c>
    </row>
    <row r="116" spans="1:17" ht="18" hidden="1" customHeight="1" x14ac:dyDescent="0.4">
      <c r="A116" s="10">
        <f t="shared" si="20"/>
        <v>115</v>
      </c>
      <c r="B116" s="10">
        <f t="shared" si="21"/>
        <v>115</v>
      </c>
      <c r="C116" s="11" t="s">
        <v>16</v>
      </c>
      <c r="D116" s="11" t="s">
        <v>66</v>
      </c>
      <c r="E116" s="12" t="str">
        <f t="shared" si="22"/>
        <v/>
      </c>
      <c r="F116" s="11" t="s">
        <v>553</v>
      </c>
      <c r="G116" s="11" t="s">
        <v>554</v>
      </c>
      <c r="H116" s="11" t="s">
        <v>555</v>
      </c>
      <c r="I116" s="11" t="s">
        <v>556</v>
      </c>
      <c r="J116" s="62" t="s">
        <v>71</v>
      </c>
      <c r="K116" s="11" t="s">
        <v>521</v>
      </c>
      <c r="L116" s="11"/>
      <c r="M116" s="11"/>
      <c r="N116" s="12" t="s">
        <v>24</v>
      </c>
      <c r="O116" s="12" t="str">
        <f t="shared" si="23"/>
        <v>NO</v>
      </c>
      <c r="P116" s="12" t="str">
        <f t="shared" si="19"/>
        <v>🔴</v>
      </c>
      <c r="Q116" s="59"/>
    </row>
    <row r="117" spans="1:17" ht="18" hidden="1" customHeight="1" x14ac:dyDescent="0.4">
      <c r="A117" s="7">
        <f t="shared" si="20"/>
        <v>116</v>
      </c>
      <c r="B117" s="7">
        <f t="shared" si="21"/>
        <v>116</v>
      </c>
      <c r="C117" s="8" t="s">
        <v>16</v>
      </c>
      <c r="D117" s="8" t="s">
        <v>66</v>
      </c>
      <c r="E117" s="9" t="str">
        <f t="shared" si="22"/>
        <v/>
      </c>
      <c r="F117" s="8" t="s">
        <v>557</v>
      </c>
      <c r="G117" s="8" t="s">
        <v>558</v>
      </c>
      <c r="H117" s="8" t="s">
        <v>559</v>
      </c>
      <c r="I117" s="8" t="s">
        <v>329</v>
      </c>
      <c r="J117" s="62" t="s">
        <v>71</v>
      </c>
      <c r="K117" s="8" t="s">
        <v>521</v>
      </c>
      <c r="L117" s="8"/>
      <c r="M117" s="8"/>
      <c r="N117" s="9" t="s">
        <v>24</v>
      </c>
      <c r="O117" s="9" t="str">
        <f t="shared" si="23"/>
        <v>NO</v>
      </c>
      <c r="P117" s="9" t="str">
        <f t="shared" si="19"/>
        <v>🔴</v>
      </c>
      <c r="Q117" s="58" t="s">
        <v>560</v>
      </c>
    </row>
    <row r="118" spans="1:17" ht="18" hidden="1" customHeight="1" x14ac:dyDescent="0.4">
      <c r="A118" s="10">
        <f t="shared" si="20"/>
        <v>117</v>
      </c>
      <c r="B118" s="10">
        <f t="shared" si="21"/>
        <v>117</v>
      </c>
      <c r="C118" s="11" t="s">
        <v>16</v>
      </c>
      <c r="D118" s="11" t="s">
        <v>66</v>
      </c>
      <c r="E118" s="12" t="str">
        <f t="shared" si="22"/>
        <v>VIP</v>
      </c>
      <c r="F118" s="11" t="s">
        <v>561</v>
      </c>
      <c r="G118" s="11" t="s">
        <v>562</v>
      </c>
      <c r="H118" s="11" t="s">
        <v>563</v>
      </c>
      <c r="I118" s="11" t="s">
        <v>99</v>
      </c>
      <c r="J118" s="61" t="s">
        <v>22</v>
      </c>
      <c r="K118" s="11" t="s">
        <v>516</v>
      </c>
      <c r="L118" s="11"/>
      <c r="M118" s="11"/>
      <c r="N118" s="12" t="s">
        <v>24</v>
      </c>
      <c r="O118" s="12" t="str">
        <f t="shared" si="23"/>
        <v>SI</v>
      </c>
      <c r="P118" s="12" t="str">
        <f t="shared" si="19"/>
        <v>🟢</v>
      </c>
      <c r="Q118" s="59" t="s">
        <v>564</v>
      </c>
    </row>
    <row r="119" spans="1:17" ht="18" hidden="1" customHeight="1" x14ac:dyDescent="0.4">
      <c r="A119" s="7">
        <f t="shared" si="20"/>
        <v>118</v>
      </c>
      <c r="B119" s="7">
        <f t="shared" si="21"/>
        <v>118</v>
      </c>
      <c r="C119" s="8" t="s">
        <v>16</v>
      </c>
      <c r="D119" s="8" t="s">
        <v>66</v>
      </c>
      <c r="E119" s="9" t="str">
        <f t="shared" si="22"/>
        <v>VIP</v>
      </c>
      <c r="F119" s="8" t="s">
        <v>565</v>
      </c>
      <c r="G119" s="8" t="s">
        <v>369</v>
      </c>
      <c r="H119" s="8" t="s">
        <v>566</v>
      </c>
      <c r="I119" s="8" t="s">
        <v>99</v>
      </c>
      <c r="J119" s="61" t="s">
        <v>22</v>
      </c>
      <c r="K119" s="8" t="s">
        <v>516</v>
      </c>
      <c r="L119" s="8"/>
      <c r="M119" s="8"/>
      <c r="N119" s="9" t="s">
        <v>24</v>
      </c>
      <c r="O119" s="9" t="str">
        <f t="shared" si="23"/>
        <v>SI</v>
      </c>
      <c r="P119" s="9" t="str">
        <f t="shared" si="19"/>
        <v>🟢</v>
      </c>
      <c r="Q119" s="58" t="s">
        <v>567</v>
      </c>
    </row>
    <row r="120" spans="1:17" ht="18" hidden="1" customHeight="1" x14ac:dyDescent="0.4">
      <c r="A120" s="10">
        <f t="shared" si="20"/>
        <v>119</v>
      </c>
      <c r="B120" s="10">
        <f t="shared" si="21"/>
        <v>119</v>
      </c>
      <c r="C120" s="11" t="s">
        <v>16</v>
      </c>
      <c r="D120" s="11" t="s">
        <v>66</v>
      </c>
      <c r="E120" s="12" t="str">
        <f t="shared" si="22"/>
        <v>VIP</v>
      </c>
      <c r="F120" s="11" t="s">
        <v>568</v>
      </c>
      <c r="G120" s="11" t="s">
        <v>569</v>
      </c>
      <c r="H120" s="11" t="s">
        <v>570</v>
      </c>
      <c r="I120" s="11" t="s">
        <v>571</v>
      </c>
      <c r="J120" s="62" t="s">
        <v>22</v>
      </c>
      <c r="K120" s="11" t="s">
        <v>516</v>
      </c>
      <c r="L120" s="11"/>
      <c r="M120" s="11"/>
      <c r="N120" s="12" t="s">
        <v>24</v>
      </c>
      <c r="O120" s="12" t="str">
        <f t="shared" si="23"/>
        <v>SI</v>
      </c>
      <c r="P120" s="12" t="str">
        <f t="shared" si="19"/>
        <v>🟢</v>
      </c>
      <c r="Q120" s="59" t="s">
        <v>572</v>
      </c>
    </row>
    <row r="121" spans="1:17" ht="18" hidden="1" customHeight="1" x14ac:dyDescent="0.4">
      <c r="A121" s="7">
        <f t="shared" si="20"/>
        <v>120</v>
      </c>
      <c r="B121" s="7">
        <f t="shared" si="21"/>
        <v>120</v>
      </c>
      <c r="C121" s="8" t="s">
        <v>16</v>
      </c>
      <c r="D121" s="8" t="s">
        <v>66</v>
      </c>
      <c r="E121" s="9" t="str">
        <f t="shared" si="22"/>
        <v>VIP</v>
      </c>
      <c r="F121" s="8" t="s">
        <v>573</v>
      </c>
      <c r="G121" s="8" t="s">
        <v>574</v>
      </c>
      <c r="H121" s="8" t="s">
        <v>99</v>
      </c>
      <c r="I121" s="8" t="s">
        <v>135</v>
      </c>
      <c r="J121" s="61" t="s">
        <v>22</v>
      </c>
      <c r="K121" s="8" t="s">
        <v>516</v>
      </c>
      <c r="L121" s="8"/>
      <c r="M121" s="8"/>
      <c r="N121" s="9" t="s">
        <v>24</v>
      </c>
      <c r="O121" s="9" t="str">
        <f t="shared" si="23"/>
        <v>SI</v>
      </c>
      <c r="P121" s="9" t="str">
        <f t="shared" si="19"/>
        <v>🟢</v>
      </c>
      <c r="Q121" s="58" t="s">
        <v>575</v>
      </c>
    </row>
    <row r="122" spans="1:17" ht="18" hidden="1" customHeight="1" x14ac:dyDescent="0.4">
      <c r="A122" s="10">
        <f t="shared" si="20"/>
        <v>121</v>
      </c>
      <c r="B122" s="10">
        <f t="shared" si="21"/>
        <v>121</v>
      </c>
      <c r="C122" s="11" t="s">
        <v>16</v>
      </c>
      <c r="D122" s="11" t="s">
        <v>66</v>
      </c>
      <c r="E122" s="12" t="str">
        <f t="shared" si="22"/>
        <v/>
      </c>
      <c r="F122" s="11" t="s">
        <v>576</v>
      </c>
      <c r="G122" s="11" t="s">
        <v>454</v>
      </c>
      <c r="H122" s="11" t="s">
        <v>577</v>
      </c>
      <c r="I122" s="11" t="s">
        <v>578</v>
      </c>
      <c r="J122" s="62" t="s">
        <v>71</v>
      </c>
      <c r="K122" s="11" t="s">
        <v>516</v>
      </c>
      <c r="L122" s="11"/>
      <c r="M122" s="11"/>
      <c r="N122" s="12" t="s">
        <v>24</v>
      </c>
      <c r="O122" s="12" t="str">
        <f t="shared" si="23"/>
        <v>NO</v>
      </c>
      <c r="P122" s="12" t="str">
        <f t="shared" si="19"/>
        <v>🔴</v>
      </c>
      <c r="Q122" s="59" t="s">
        <v>579</v>
      </c>
    </row>
    <row r="123" spans="1:17" ht="18" hidden="1" customHeight="1" x14ac:dyDescent="0.4">
      <c r="A123" s="7">
        <f t="shared" si="20"/>
        <v>122</v>
      </c>
      <c r="B123" s="7">
        <f t="shared" si="21"/>
        <v>122</v>
      </c>
      <c r="C123" s="8" t="s">
        <v>16</v>
      </c>
      <c r="D123" s="8" t="s">
        <v>66</v>
      </c>
      <c r="E123" s="9" t="str">
        <f t="shared" si="22"/>
        <v>VIP</v>
      </c>
      <c r="F123" s="8" t="s">
        <v>580</v>
      </c>
      <c r="G123" s="8" t="s">
        <v>581</v>
      </c>
      <c r="H123" s="8" t="s">
        <v>104</v>
      </c>
      <c r="I123" s="8" t="s">
        <v>582</v>
      </c>
      <c r="J123" s="61" t="s">
        <v>22</v>
      </c>
      <c r="K123" s="8" t="s">
        <v>516</v>
      </c>
      <c r="L123" s="8"/>
      <c r="M123" s="8"/>
      <c r="N123" s="9" t="s">
        <v>24</v>
      </c>
      <c r="O123" s="9" t="str">
        <f t="shared" si="23"/>
        <v>SI</v>
      </c>
      <c r="P123" s="9" t="str">
        <f t="shared" si="19"/>
        <v>🟢</v>
      </c>
      <c r="Q123" s="58" t="s">
        <v>583</v>
      </c>
    </row>
    <row r="124" spans="1:17" ht="18" hidden="1" customHeight="1" x14ac:dyDescent="0.4">
      <c r="A124" s="10">
        <f t="shared" si="20"/>
        <v>123</v>
      </c>
      <c r="B124" s="10">
        <f t="shared" si="21"/>
        <v>123</v>
      </c>
      <c r="C124" s="11" t="s">
        <v>16</v>
      </c>
      <c r="D124" s="11" t="s">
        <v>66</v>
      </c>
      <c r="E124" s="12" t="str">
        <f t="shared" si="22"/>
        <v>VIP</v>
      </c>
      <c r="F124" s="11" t="s">
        <v>584</v>
      </c>
      <c r="G124" s="11" t="s">
        <v>528</v>
      </c>
      <c r="H124" s="11" t="s">
        <v>585</v>
      </c>
      <c r="I124" s="11" t="s">
        <v>345</v>
      </c>
      <c r="J124" s="61" t="s">
        <v>22</v>
      </c>
      <c r="K124" s="11" t="s">
        <v>516</v>
      </c>
      <c r="L124" s="11"/>
      <c r="M124" s="11"/>
      <c r="N124" s="12" t="s">
        <v>24</v>
      </c>
      <c r="O124" s="12" t="str">
        <f t="shared" si="23"/>
        <v>SI</v>
      </c>
      <c r="P124" s="12" t="str">
        <f t="shared" si="19"/>
        <v>🟢</v>
      </c>
      <c r="Q124" s="59" t="s">
        <v>586</v>
      </c>
    </row>
    <row r="125" spans="1:17" ht="18" hidden="1" customHeight="1" x14ac:dyDescent="0.4">
      <c r="A125" s="7">
        <f t="shared" si="20"/>
        <v>124</v>
      </c>
      <c r="B125" s="7">
        <f t="shared" si="21"/>
        <v>124</v>
      </c>
      <c r="C125" s="8" t="s">
        <v>16</v>
      </c>
      <c r="D125" s="8" t="s">
        <v>66</v>
      </c>
      <c r="E125" s="9" t="str">
        <f t="shared" si="22"/>
        <v/>
      </c>
      <c r="F125" s="8" t="s">
        <v>587</v>
      </c>
      <c r="G125" s="8" t="s">
        <v>588</v>
      </c>
      <c r="H125" s="8" t="s">
        <v>589</v>
      </c>
      <c r="I125" s="8" t="s">
        <v>590</v>
      </c>
      <c r="J125" s="62" t="s">
        <v>71</v>
      </c>
      <c r="K125" s="8" t="s">
        <v>591</v>
      </c>
      <c r="L125" s="8"/>
      <c r="M125" s="8"/>
      <c r="N125" s="9" t="s">
        <v>24</v>
      </c>
      <c r="O125" s="9" t="str">
        <f t="shared" si="23"/>
        <v>NO</v>
      </c>
      <c r="P125" s="9" t="str">
        <f t="shared" si="19"/>
        <v>🔴</v>
      </c>
      <c r="Q125" s="58" t="s">
        <v>592</v>
      </c>
    </row>
    <row r="126" spans="1:17" ht="18" hidden="1" customHeight="1" x14ac:dyDescent="0.4">
      <c r="A126" s="10">
        <f t="shared" si="20"/>
        <v>125</v>
      </c>
      <c r="B126" s="10">
        <f t="shared" si="21"/>
        <v>125</v>
      </c>
      <c r="C126" s="11" t="s">
        <v>16</v>
      </c>
      <c r="D126" s="11" t="s">
        <v>66</v>
      </c>
      <c r="E126" s="12" t="str">
        <f t="shared" si="22"/>
        <v>VIP</v>
      </c>
      <c r="F126" s="11" t="s">
        <v>593</v>
      </c>
      <c r="G126" s="11" t="s">
        <v>594</v>
      </c>
      <c r="H126" s="11" t="s">
        <v>104</v>
      </c>
      <c r="I126" s="11" t="s">
        <v>595</v>
      </c>
      <c r="J126" s="62" t="s">
        <v>22</v>
      </c>
      <c r="K126" s="11" t="s">
        <v>591</v>
      </c>
      <c r="L126" s="11"/>
      <c r="M126" s="11"/>
      <c r="N126" s="12" t="s">
        <v>24</v>
      </c>
      <c r="O126" s="12" t="str">
        <f t="shared" si="23"/>
        <v>SI</v>
      </c>
      <c r="P126" s="12" t="str">
        <f t="shared" ref="P126:P157" si="24">IF(UPPER($J126)="SI","🟢",IF(UPPER($J126)="NO","🔴","🟡"))</f>
        <v>🟢</v>
      </c>
      <c r="Q126" s="59" t="s">
        <v>596</v>
      </c>
    </row>
    <row r="127" spans="1:17" ht="18" hidden="1" customHeight="1" x14ac:dyDescent="0.4">
      <c r="A127" s="7">
        <f t="shared" si="20"/>
        <v>126</v>
      </c>
      <c r="B127" s="7">
        <f t="shared" si="21"/>
        <v>126</v>
      </c>
      <c r="C127" s="8" t="s">
        <v>16</v>
      </c>
      <c r="D127" s="8" t="s">
        <v>66</v>
      </c>
      <c r="E127" s="9" t="str">
        <f t="shared" si="22"/>
        <v>VIP</v>
      </c>
      <c r="F127" s="8" t="s">
        <v>597</v>
      </c>
      <c r="G127" s="8" t="s">
        <v>513</v>
      </c>
      <c r="H127" s="8" t="s">
        <v>598</v>
      </c>
      <c r="I127" s="8" t="s">
        <v>110</v>
      </c>
      <c r="J127" s="63" t="s">
        <v>22</v>
      </c>
      <c r="K127" s="8" t="s">
        <v>591</v>
      </c>
      <c r="L127" s="8"/>
      <c r="M127" s="8"/>
      <c r="N127" s="9" t="s">
        <v>24</v>
      </c>
      <c r="O127" s="9" t="str">
        <f t="shared" si="23"/>
        <v>SI</v>
      </c>
      <c r="P127" s="9" t="str">
        <f t="shared" si="24"/>
        <v>🟢</v>
      </c>
      <c r="Q127" s="58" t="s">
        <v>599</v>
      </c>
    </row>
    <row r="128" spans="1:17" ht="18" hidden="1" customHeight="1" x14ac:dyDescent="0.4">
      <c r="A128" s="10">
        <f t="shared" si="20"/>
        <v>127</v>
      </c>
      <c r="B128" s="10">
        <f t="shared" si="21"/>
        <v>127</v>
      </c>
      <c r="C128" s="11" t="s">
        <v>16</v>
      </c>
      <c r="D128" s="11" t="s">
        <v>66</v>
      </c>
      <c r="E128" s="12" t="str">
        <f t="shared" si="22"/>
        <v/>
      </c>
      <c r="F128" s="11" t="s">
        <v>600</v>
      </c>
      <c r="G128" s="11" t="s">
        <v>523</v>
      </c>
      <c r="H128" s="11" t="s">
        <v>601</v>
      </c>
      <c r="I128" s="11" t="s">
        <v>602</v>
      </c>
      <c r="J128" s="62" t="s">
        <v>71</v>
      </c>
      <c r="K128" s="11" t="s">
        <v>591</v>
      </c>
      <c r="L128" s="11"/>
      <c r="M128" s="11"/>
      <c r="N128" s="12" t="s">
        <v>24</v>
      </c>
      <c r="O128" s="12" t="str">
        <f t="shared" si="23"/>
        <v>NO</v>
      </c>
      <c r="P128" s="12" t="str">
        <f t="shared" si="24"/>
        <v>🔴</v>
      </c>
      <c r="Q128" s="59" t="s">
        <v>603</v>
      </c>
    </row>
    <row r="129" spans="1:17" ht="18" hidden="1" customHeight="1" x14ac:dyDescent="0.4">
      <c r="A129" s="7">
        <f t="shared" si="20"/>
        <v>128</v>
      </c>
      <c r="B129" s="7">
        <f t="shared" si="21"/>
        <v>128</v>
      </c>
      <c r="C129" s="8" t="s">
        <v>16</v>
      </c>
      <c r="D129" s="8" t="s">
        <v>66</v>
      </c>
      <c r="E129" s="9" t="str">
        <f t="shared" si="22"/>
        <v>VIP</v>
      </c>
      <c r="F129" s="8" t="s">
        <v>604</v>
      </c>
      <c r="G129" s="8" t="s">
        <v>605</v>
      </c>
      <c r="H129" s="8" t="s">
        <v>606</v>
      </c>
      <c r="I129" s="8" t="s">
        <v>607</v>
      </c>
      <c r="J129" s="62" t="s">
        <v>57</v>
      </c>
      <c r="K129" s="8" t="s">
        <v>591</v>
      </c>
      <c r="L129" s="8"/>
      <c r="M129" s="8"/>
      <c r="N129" s="9" t="s">
        <v>24</v>
      </c>
      <c r="O129" s="9" t="str">
        <f t="shared" si="23"/>
        <v>SI</v>
      </c>
      <c r="P129" s="9" t="str">
        <f t="shared" si="24"/>
        <v>🟡</v>
      </c>
      <c r="Q129" s="58" t="s">
        <v>608</v>
      </c>
    </row>
    <row r="130" spans="1:17" ht="18" hidden="1" customHeight="1" x14ac:dyDescent="0.4">
      <c r="A130" s="10">
        <f t="shared" si="20"/>
        <v>129</v>
      </c>
      <c r="B130" s="10">
        <f t="shared" si="21"/>
        <v>129</v>
      </c>
      <c r="C130" s="11" t="s">
        <v>16</v>
      </c>
      <c r="D130" s="11" t="s">
        <v>609</v>
      </c>
      <c r="E130" s="12" t="str">
        <f t="shared" si="22"/>
        <v/>
      </c>
      <c r="F130" s="11" t="s">
        <v>610</v>
      </c>
      <c r="G130" s="11" t="s">
        <v>513</v>
      </c>
      <c r="H130" s="11" t="s">
        <v>611</v>
      </c>
      <c r="I130" s="11" t="s">
        <v>612</v>
      </c>
      <c r="J130" s="63" t="s">
        <v>71</v>
      </c>
      <c r="K130" s="11" t="s">
        <v>613</v>
      </c>
      <c r="L130" s="11"/>
      <c r="M130" s="11"/>
      <c r="N130" s="12" t="s">
        <v>24</v>
      </c>
      <c r="O130" s="12" t="str">
        <f t="shared" si="23"/>
        <v>NO</v>
      </c>
      <c r="P130" s="12" t="str">
        <f t="shared" si="24"/>
        <v>🔴</v>
      </c>
      <c r="Q130" s="59"/>
    </row>
    <row r="131" spans="1:17" ht="18" hidden="1" customHeight="1" x14ac:dyDescent="0.4">
      <c r="A131" s="7">
        <f t="shared" si="20"/>
        <v>130</v>
      </c>
      <c r="B131" s="7">
        <f t="shared" si="21"/>
        <v>130</v>
      </c>
      <c r="C131" s="8" t="s">
        <v>16</v>
      </c>
      <c r="D131" s="8" t="s">
        <v>609</v>
      </c>
      <c r="E131" s="9" t="str">
        <f t="shared" si="22"/>
        <v>VIP</v>
      </c>
      <c r="F131" s="8" t="s">
        <v>614</v>
      </c>
      <c r="G131" s="8" t="s">
        <v>615</v>
      </c>
      <c r="H131" s="8" t="s">
        <v>616</v>
      </c>
      <c r="I131" s="8" t="s">
        <v>617</v>
      </c>
      <c r="J131" s="61" t="s">
        <v>22</v>
      </c>
      <c r="K131" s="8" t="s">
        <v>618</v>
      </c>
      <c r="L131" s="8"/>
      <c r="M131" s="8"/>
      <c r="N131" s="9" t="s">
        <v>24</v>
      </c>
      <c r="O131" s="9" t="str">
        <f t="shared" si="23"/>
        <v>SI</v>
      </c>
      <c r="P131" s="9" t="str">
        <f t="shared" si="24"/>
        <v>🟢</v>
      </c>
      <c r="Q131" s="58" t="s">
        <v>619</v>
      </c>
    </row>
    <row r="132" spans="1:17" ht="18" hidden="1" customHeight="1" x14ac:dyDescent="0.4">
      <c r="A132" s="10">
        <f t="shared" si="20"/>
        <v>131</v>
      </c>
      <c r="B132" s="10">
        <f t="shared" si="21"/>
        <v>131</v>
      </c>
      <c r="C132" s="11" t="s">
        <v>16</v>
      </c>
      <c r="D132" s="11" t="s">
        <v>609</v>
      </c>
      <c r="E132" s="12" t="str">
        <f t="shared" si="22"/>
        <v>VIP</v>
      </c>
      <c r="F132" s="11" t="s">
        <v>620</v>
      </c>
      <c r="G132" s="11" t="s">
        <v>621</v>
      </c>
      <c r="H132" s="11" t="s">
        <v>622</v>
      </c>
      <c r="I132" s="11" t="s">
        <v>623</v>
      </c>
      <c r="J132" s="61" t="s">
        <v>22</v>
      </c>
      <c r="K132" s="11" t="s">
        <v>624</v>
      </c>
      <c r="L132" s="11"/>
      <c r="M132" s="11"/>
      <c r="N132" s="12" t="s">
        <v>24</v>
      </c>
      <c r="O132" s="12" t="str">
        <f t="shared" si="23"/>
        <v>SI</v>
      </c>
      <c r="P132" s="12" t="str">
        <f t="shared" si="24"/>
        <v>🟢</v>
      </c>
      <c r="Q132" s="59" t="s">
        <v>625</v>
      </c>
    </row>
    <row r="133" spans="1:17" ht="18" hidden="1" customHeight="1" x14ac:dyDescent="0.4">
      <c r="A133" s="7">
        <f t="shared" si="20"/>
        <v>132</v>
      </c>
      <c r="B133" s="7">
        <f t="shared" si="21"/>
        <v>132</v>
      </c>
      <c r="C133" s="8" t="s">
        <v>16</v>
      </c>
      <c r="D133" s="8" t="s">
        <v>609</v>
      </c>
      <c r="E133" s="9" t="str">
        <f t="shared" si="22"/>
        <v/>
      </c>
      <c r="F133" s="8" t="s">
        <v>626</v>
      </c>
      <c r="G133" s="8" t="s">
        <v>627</v>
      </c>
      <c r="H133" s="8" t="s">
        <v>261</v>
      </c>
      <c r="I133" s="8" t="s">
        <v>628</v>
      </c>
      <c r="J133" s="63" t="s">
        <v>71</v>
      </c>
      <c r="K133" s="8" t="s">
        <v>629</v>
      </c>
      <c r="L133" s="8"/>
      <c r="M133" s="8"/>
      <c r="N133" s="9" t="s">
        <v>24</v>
      </c>
      <c r="O133" s="9" t="str">
        <f t="shared" si="23"/>
        <v>NO</v>
      </c>
      <c r="P133" s="9" t="str">
        <f t="shared" si="24"/>
        <v>🔴</v>
      </c>
      <c r="Q133" s="58"/>
    </row>
    <row r="134" spans="1:17" ht="18" hidden="1" customHeight="1" x14ac:dyDescent="0.4">
      <c r="A134" s="10">
        <f t="shared" si="20"/>
        <v>133</v>
      </c>
      <c r="B134" s="10">
        <f t="shared" si="21"/>
        <v>133</v>
      </c>
      <c r="C134" s="11" t="s">
        <v>16</v>
      </c>
      <c r="D134" s="11" t="s">
        <v>609</v>
      </c>
      <c r="E134" s="12" t="str">
        <f t="shared" si="22"/>
        <v/>
      </c>
      <c r="F134" s="11" t="s">
        <v>630</v>
      </c>
      <c r="G134" s="11" t="s">
        <v>631</v>
      </c>
      <c r="H134" s="11" t="s">
        <v>632</v>
      </c>
      <c r="I134" s="11" t="s">
        <v>633</v>
      </c>
      <c r="J134" s="63" t="s">
        <v>71</v>
      </c>
      <c r="K134" s="11" t="s">
        <v>634</v>
      </c>
      <c r="L134" s="11"/>
      <c r="M134" s="11"/>
      <c r="N134" s="12" t="s">
        <v>24</v>
      </c>
      <c r="O134" s="12" t="str">
        <f t="shared" si="23"/>
        <v>NO</v>
      </c>
      <c r="P134" s="12" t="str">
        <f t="shared" si="24"/>
        <v>🔴</v>
      </c>
      <c r="Q134" s="59"/>
    </row>
    <row r="135" spans="1:17" ht="18" hidden="1" customHeight="1" x14ac:dyDescent="0.4">
      <c r="A135" s="7">
        <f t="shared" si="20"/>
        <v>134</v>
      </c>
      <c r="B135" s="7">
        <f t="shared" si="21"/>
        <v>134</v>
      </c>
      <c r="C135" s="8" t="s">
        <v>16</v>
      </c>
      <c r="D135" s="8" t="s">
        <v>609</v>
      </c>
      <c r="E135" s="9" t="str">
        <f t="shared" si="22"/>
        <v/>
      </c>
      <c r="F135" s="8" t="s">
        <v>635</v>
      </c>
      <c r="G135" s="8" t="s">
        <v>636</v>
      </c>
      <c r="H135" s="8" t="s">
        <v>637</v>
      </c>
      <c r="I135" s="8" t="s">
        <v>410</v>
      </c>
      <c r="J135" s="63" t="s">
        <v>71</v>
      </c>
      <c r="K135" s="8" t="s">
        <v>638</v>
      </c>
      <c r="L135" s="8"/>
      <c r="M135" s="8"/>
      <c r="N135" s="9" t="s">
        <v>24</v>
      </c>
      <c r="O135" s="9" t="str">
        <f t="shared" si="23"/>
        <v>NO</v>
      </c>
      <c r="P135" s="9" t="str">
        <f t="shared" si="24"/>
        <v>🔴</v>
      </c>
      <c r="Q135" s="58"/>
    </row>
    <row r="136" spans="1:17" ht="18" hidden="1" customHeight="1" x14ac:dyDescent="0.4">
      <c r="A136" s="10">
        <f t="shared" si="20"/>
        <v>135</v>
      </c>
      <c r="B136" s="10">
        <f t="shared" si="21"/>
        <v>135</v>
      </c>
      <c r="C136" s="11" t="s">
        <v>16</v>
      </c>
      <c r="D136" s="11" t="s">
        <v>609</v>
      </c>
      <c r="E136" s="12" t="str">
        <f t="shared" si="22"/>
        <v>VIP</v>
      </c>
      <c r="F136" s="11" t="s">
        <v>639</v>
      </c>
      <c r="G136" s="11" t="s">
        <v>640</v>
      </c>
      <c r="H136" s="11" t="s">
        <v>641</v>
      </c>
      <c r="I136" s="11" t="s">
        <v>642</v>
      </c>
      <c r="J136" s="61" t="s">
        <v>22</v>
      </c>
      <c r="K136" s="11" t="s">
        <v>643</v>
      </c>
      <c r="L136" s="11"/>
      <c r="M136" s="11"/>
      <c r="N136" s="12" t="s">
        <v>24</v>
      </c>
      <c r="O136" s="12" t="str">
        <f t="shared" si="23"/>
        <v>SI</v>
      </c>
      <c r="P136" s="12" t="str">
        <f t="shared" si="24"/>
        <v>🟢</v>
      </c>
      <c r="Q136" s="59" t="s">
        <v>644</v>
      </c>
    </row>
    <row r="137" spans="1:17" ht="18" hidden="1" customHeight="1" x14ac:dyDescent="0.4">
      <c r="A137" s="7">
        <f t="shared" si="20"/>
        <v>136</v>
      </c>
      <c r="B137" s="7">
        <f t="shared" si="21"/>
        <v>136</v>
      </c>
      <c r="C137" s="8" t="s">
        <v>16</v>
      </c>
      <c r="D137" s="8" t="s">
        <v>645</v>
      </c>
      <c r="E137" s="9" t="str">
        <f t="shared" si="22"/>
        <v>VIP</v>
      </c>
      <c r="F137" s="8" t="s">
        <v>646</v>
      </c>
      <c r="G137" s="8" t="s">
        <v>311</v>
      </c>
      <c r="H137" s="8" t="s">
        <v>647</v>
      </c>
      <c r="I137" s="8" t="s">
        <v>648</v>
      </c>
      <c r="J137" s="61" t="s">
        <v>22</v>
      </c>
      <c r="K137" s="8" t="s">
        <v>649</v>
      </c>
      <c r="L137" s="8"/>
      <c r="M137" s="8"/>
      <c r="N137" s="9" t="s">
        <v>24</v>
      </c>
      <c r="O137" s="9" t="str">
        <f t="shared" si="23"/>
        <v>SI</v>
      </c>
      <c r="P137" s="9" t="str">
        <f t="shared" si="24"/>
        <v>🟢</v>
      </c>
      <c r="Q137" s="58" t="s">
        <v>650</v>
      </c>
    </row>
    <row r="138" spans="1:17" ht="18" hidden="1" customHeight="1" x14ac:dyDescent="0.4">
      <c r="A138" s="10">
        <f t="shared" si="20"/>
        <v>137</v>
      </c>
      <c r="B138" s="10">
        <f t="shared" si="21"/>
        <v>137</v>
      </c>
      <c r="C138" s="11" t="s">
        <v>16</v>
      </c>
      <c r="D138" s="11" t="s">
        <v>609</v>
      </c>
      <c r="E138" s="12" t="str">
        <f t="shared" si="22"/>
        <v/>
      </c>
      <c r="F138" s="11" t="s">
        <v>651</v>
      </c>
      <c r="G138" s="11" t="s">
        <v>404</v>
      </c>
      <c r="H138" s="11" t="s">
        <v>360</v>
      </c>
      <c r="I138" s="11" t="s">
        <v>652</v>
      </c>
      <c r="J138" s="63" t="s">
        <v>71</v>
      </c>
      <c r="K138" s="11" t="s">
        <v>653</v>
      </c>
      <c r="L138" s="11"/>
      <c r="M138" s="11"/>
      <c r="N138" s="12" t="s">
        <v>24</v>
      </c>
      <c r="O138" s="12" t="str">
        <f t="shared" si="23"/>
        <v>NO</v>
      </c>
      <c r="P138" s="12" t="str">
        <f t="shared" si="24"/>
        <v>🔴</v>
      </c>
      <c r="Q138" s="59"/>
    </row>
    <row r="139" spans="1:17" ht="18" customHeight="1" x14ac:dyDescent="0.4">
      <c r="A139" s="7">
        <f t="shared" si="20"/>
        <v>138</v>
      </c>
      <c r="B139" s="7">
        <f t="shared" si="21"/>
        <v>138</v>
      </c>
      <c r="C139" s="8" t="s">
        <v>840</v>
      </c>
      <c r="D139" s="8" t="s">
        <v>848</v>
      </c>
      <c r="E139" s="9" t="s">
        <v>3336</v>
      </c>
      <c r="F139" s="8" t="s">
        <v>849</v>
      </c>
      <c r="G139" s="8" t="s">
        <v>850</v>
      </c>
      <c r="H139" s="8" t="s">
        <v>851</v>
      </c>
      <c r="I139" s="8" t="s">
        <v>852</v>
      </c>
      <c r="J139" s="61" t="s">
        <v>22</v>
      </c>
      <c r="K139" s="8" t="s">
        <v>853</v>
      </c>
      <c r="L139" s="8" t="s">
        <v>3318</v>
      </c>
      <c r="M139" s="8">
        <v>2</v>
      </c>
      <c r="N139" s="9" t="s">
        <v>24</v>
      </c>
      <c r="O139" s="9" t="str">
        <f t="shared" si="23"/>
        <v>SI</v>
      </c>
      <c r="P139" s="9" t="str">
        <f t="shared" si="24"/>
        <v>🟢</v>
      </c>
      <c r="Q139" s="58" t="s">
        <v>854</v>
      </c>
    </row>
    <row r="140" spans="1:17" s="2" customFormat="1" ht="18" hidden="1" customHeight="1" x14ac:dyDescent="0.4">
      <c r="A140" s="10">
        <f t="shared" si="20"/>
        <v>139</v>
      </c>
      <c r="B140" s="10">
        <f t="shared" si="21"/>
        <v>139</v>
      </c>
      <c r="C140" s="11" t="s">
        <v>16</v>
      </c>
      <c r="D140" s="11"/>
      <c r="E140" s="12" t="str">
        <f t="shared" ref="E140:E169" si="25">IF(UPPER($J140)="NO","",$N140)</f>
        <v/>
      </c>
      <c r="F140" s="11" t="s">
        <v>660</v>
      </c>
      <c r="G140" s="11" t="s">
        <v>143</v>
      </c>
      <c r="H140" s="11" t="s">
        <v>661</v>
      </c>
      <c r="I140" s="11" t="s">
        <v>662</v>
      </c>
      <c r="J140" s="62" t="s">
        <v>71</v>
      </c>
      <c r="K140" s="11" t="s">
        <v>3316</v>
      </c>
      <c r="L140" s="11"/>
      <c r="M140" s="11"/>
      <c r="N140" s="12" t="s">
        <v>24</v>
      </c>
      <c r="O140" s="12" t="str">
        <f t="shared" si="23"/>
        <v>NO</v>
      </c>
      <c r="P140" s="12" t="str">
        <f t="shared" si="24"/>
        <v>🔴</v>
      </c>
      <c r="Q140" s="59" t="s">
        <v>664</v>
      </c>
    </row>
    <row r="141" spans="1:17" ht="18" hidden="1" customHeight="1" x14ac:dyDescent="0.4">
      <c r="A141" s="7">
        <f t="shared" si="20"/>
        <v>140</v>
      </c>
      <c r="B141" s="7">
        <f t="shared" si="21"/>
        <v>140</v>
      </c>
      <c r="C141" s="8" t="s">
        <v>16</v>
      </c>
      <c r="D141" s="8" t="s">
        <v>95</v>
      </c>
      <c r="E141" s="9" t="str">
        <f t="shared" si="25"/>
        <v>VIP</v>
      </c>
      <c r="F141" s="8" t="s">
        <v>665</v>
      </c>
      <c r="G141" s="8" t="s">
        <v>666</v>
      </c>
      <c r="H141" s="8" t="s">
        <v>667</v>
      </c>
      <c r="I141" s="8" t="s">
        <v>125</v>
      </c>
      <c r="J141" s="61" t="s">
        <v>22</v>
      </c>
      <c r="K141" s="8" t="s">
        <v>668</v>
      </c>
      <c r="L141" s="8"/>
      <c r="M141" s="8"/>
      <c r="N141" s="9" t="s">
        <v>24</v>
      </c>
      <c r="O141" s="9" t="str">
        <f t="shared" si="23"/>
        <v>SI</v>
      </c>
      <c r="P141" s="9" t="str">
        <f t="shared" si="24"/>
        <v>🟢</v>
      </c>
      <c r="Q141" s="58" t="s">
        <v>669</v>
      </c>
    </row>
    <row r="142" spans="1:17" ht="18" hidden="1" customHeight="1" x14ac:dyDescent="0.4">
      <c r="A142" s="10">
        <f t="shared" ref="A142:A173" si="26">IF(COUNTA(C142:K142)=0,"",ROW()-1)</f>
        <v>141</v>
      </c>
      <c r="B142" s="10">
        <f t="shared" ref="B142:B173" si="27">IF($F142&lt;&gt;"",$A142,"")</f>
        <v>141</v>
      </c>
      <c r="C142" s="11" t="s">
        <v>16</v>
      </c>
      <c r="D142" s="11" t="s">
        <v>670</v>
      </c>
      <c r="E142" s="12" t="str">
        <f t="shared" si="25"/>
        <v>VIP</v>
      </c>
      <c r="F142" s="11" t="s">
        <v>671</v>
      </c>
      <c r="G142" s="11" t="s">
        <v>672</v>
      </c>
      <c r="H142" s="11" t="s">
        <v>330</v>
      </c>
      <c r="I142" s="11" t="s">
        <v>135</v>
      </c>
      <c r="J142" s="61" t="s">
        <v>22</v>
      </c>
      <c r="K142" s="11" t="s">
        <v>673</v>
      </c>
      <c r="L142" s="11"/>
      <c r="M142" s="11"/>
      <c r="N142" s="12" t="s">
        <v>24</v>
      </c>
      <c r="O142" s="12" t="str">
        <f t="shared" ref="O142:O173" si="28">IF(AND(UPPER($N142)="VIP",UPPER($J142)&lt;&gt;"NO",$F142&lt;&gt;""),"SI","NO")</f>
        <v>SI</v>
      </c>
      <c r="P142" s="12" t="str">
        <f t="shared" si="24"/>
        <v>🟢</v>
      </c>
      <c r="Q142" s="59" t="s">
        <v>674</v>
      </c>
    </row>
    <row r="143" spans="1:17" ht="18" hidden="1" customHeight="1" x14ac:dyDescent="0.4">
      <c r="A143" s="7">
        <f t="shared" si="26"/>
        <v>142</v>
      </c>
      <c r="B143" s="7">
        <f t="shared" si="27"/>
        <v>142</v>
      </c>
      <c r="C143" s="8" t="s">
        <v>16</v>
      </c>
      <c r="D143" s="8"/>
      <c r="E143" s="9" t="str">
        <f t="shared" si="25"/>
        <v>VIP</v>
      </c>
      <c r="F143" s="8" t="s">
        <v>675</v>
      </c>
      <c r="G143" s="8" t="s">
        <v>676</v>
      </c>
      <c r="H143" s="8" t="s">
        <v>677</v>
      </c>
      <c r="I143" s="8" t="s">
        <v>678</v>
      </c>
      <c r="J143" s="61" t="s">
        <v>22</v>
      </c>
      <c r="K143" s="8" t="s">
        <v>679</v>
      </c>
      <c r="L143" s="8"/>
      <c r="M143" s="8"/>
      <c r="N143" s="9" t="s">
        <v>24</v>
      </c>
      <c r="O143" s="9" t="str">
        <f t="shared" si="28"/>
        <v>SI</v>
      </c>
      <c r="P143" s="9" t="str">
        <f t="shared" si="24"/>
        <v>🟢</v>
      </c>
      <c r="Q143" s="58" t="s">
        <v>680</v>
      </c>
    </row>
    <row r="144" spans="1:17" ht="18" hidden="1" customHeight="1" x14ac:dyDescent="0.4">
      <c r="A144" s="10">
        <f t="shared" si="26"/>
        <v>143</v>
      </c>
      <c r="B144" s="10">
        <f t="shared" si="27"/>
        <v>143</v>
      </c>
      <c r="C144" s="11" t="s">
        <v>16</v>
      </c>
      <c r="D144" s="11"/>
      <c r="E144" s="12" t="str">
        <f t="shared" si="25"/>
        <v/>
      </c>
      <c r="F144" s="11" t="s">
        <v>681</v>
      </c>
      <c r="G144" s="11" t="s">
        <v>682</v>
      </c>
      <c r="H144" s="11" t="s">
        <v>683</v>
      </c>
      <c r="I144" s="11"/>
      <c r="J144" s="63" t="s">
        <v>71</v>
      </c>
      <c r="K144" s="11" t="s">
        <v>684</v>
      </c>
      <c r="L144" s="11"/>
      <c r="M144" s="11"/>
      <c r="N144" s="12" t="s">
        <v>24</v>
      </c>
      <c r="O144" s="12" t="str">
        <f t="shared" si="28"/>
        <v>NO</v>
      </c>
      <c r="P144" s="12" t="str">
        <f t="shared" si="24"/>
        <v>🔴</v>
      </c>
      <c r="Q144" s="59"/>
    </row>
    <row r="145" spans="1:17" ht="18" hidden="1" customHeight="1" x14ac:dyDescent="0.4">
      <c r="A145" s="7">
        <f t="shared" si="26"/>
        <v>144</v>
      </c>
      <c r="B145" s="7">
        <f t="shared" si="27"/>
        <v>144</v>
      </c>
      <c r="C145" s="8" t="s">
        <v>16</v>
      </c>
      <c r="D145" s="8"/>
      <c r="E145" s="9" t="str">
        <f t="shared" si="25"/>
        <v/>
      </c>
      <c r="F145" s="8" t="s">
        <v>685</v>
      </c>
      <c r="G145" s="8" t="s">
        <v>513</v>
      </c>
      <c r="H145" s="8" t="s">
        <v>686</v>
      </c>
      <c r="I145" s="8" t="s">
        <v>687</v>
      </c>
      <c r="J145" s="63" t="s">
        <v>71</v>
      </c>
      <c r="K145" s="8" t="s">
        <v>688</v>
      </c>
      <c r="L145" s="8"/>
      <c r="M145" s="8"/>
      <c r="N145" s="9" t="s">
        <v>24</v>
      </c>
      <c r="O145" s="9" t="str">
        <f t="shared" si="28"/>
        <v>NO</v>
      </c>
      <c r="P145" s="9" t="str">
        <f t="shared" si="24"/>
        <v>🔴</v>
      </c>
      <c r="Q145" s="58"/>
    </row>
    <row r="146" spans="1:17" ht="18" hidden="1" customHeight="1" x14ac:dyDescent="0.4">
      <c r="A146" s="10">
        <f t="shared" si="26"/>
        <v>145</v>
      </c>
      <c r="B146" s="10">
        <f t="shared" si="27"/>
        <v>145</v>
      </c>
      <c r="C146" s="11" t="s">
        <v>16</v>
      </c>
      <c r="D146" s="11"/>
      <c r="E146" s="12" t="str">
        <f t="shared" si="25"/>
        <v/>
      </c>
      <c r="F146" s="11" t="s">
        <v>689</v>
      </c>
      <c r="G146" s="11" t="s">
        <v>690</v>
      </c>
      <c r="H146" s="11" t="s">
        <v>691</v>
      </c>
      <c r="I146" s="11"/>
      <c r="J146" s="62" t="s">
        <v>71</v>
      </c>
      <c r="K146" s="11" t="s">
        <v>692</v>
      </c>
      <c r="L146" s="11"/>
      <c r="M146" s="11"/>
      <c r="N146" s="12" t="s">
        <v>24</v>
      </c>
      <c r="O146" s="12" t="str">
        <f t="shared" si="28"/>
        <v>NO</v>
      </c>
      <c r="P146" s="12" t="str">
        <f t="shared" si="24"/>
        <v>🔴</v>
      </c>
      <c r="Q146" s="59" t="s">
        <v>693</v>
      </c>
    </row>
    <row r="147" spans="1:17" ht="18" hidden="1" customHeight="1" x14ac:dyDescent="0.4">
      <c r="A147" s="7">
        <f t="shared" si="26"/>
        <v>146</v>
      </c>
      <c r="B147" s="7">
        <f t="shared" si="27"/>
        <v>146</v>
      </c>
      <c r="C147" s="8" t="s">
        <v>16</v>
      </c>
      <c r="D147" s="8"/>
      <c r="E147" s="9" t="str">
        <f t="shared" si="25"/>
        <v/>
      </c>
      <c r="F147" s="8" t="s">
        <v>694</v>
      </c>
      <c r="G147" s="8" t="s">
        <v>35</v>
      </c>
      <c r="H147" s="8" t="s">
        <v>695</v>
      </c>
      <c r="I147" s="8"/>
      <c r="J147" s="62" t="s">
        <v>71</v>
      </c>
      <c r="K147" s="8" t="s">
        <v>696</v>
      </c>
      <c r="L147" s="8"/>
      <c r="M147" s="8"/>
      <c r="N147" s="9" t="s">
        <v>24</v>
      </c>
      <c r="O147" s="9" t="str">
        <f t="shared" si="28"/>
        <v>NO</v>
      </c>
      <c r="P147" s="9" t="str">
        <f t="shared" si="24"/>
        <v>🔴</v>
      </c>
      <c r="Q147" s="58" t="s">
        <v>697</v>
      </c>
    </row>
    <row r="148" spans="1:17" ht="18" hidden="1" customHeight="1" x14ac:dyDescent="0.4">
      <c r="A148" s="10">
        <f t="shared" si="26"/>
        <v>147</v>
      </c>
      <c r="B148" s="10">
        <f t="shared" si="27"/>
        <v>147</v>
      </c>
      <c r="C148" s="11" t="s">
        <v>16</v>
      </c>
      <c r="D148" s="11" t="s">
        <v>95</v>
      </c>
      <c r="E148" s="12" t="str">
        <f t="shared" si="25"/>
        <v/>
      </c>
      <c r="F148" s="11" t="s">
        <v>698</v>
      </c>
      <c r="G148" s="11" t="s">
        <v>699</v>
      </c>
      <c r="H148" s="11" t="s">
        <v>700</v>
      </c>
      <c r="I148" s="11" t="s">
        <v>701</v>
      </c>
      <c r="J148" s="63" t="s">
        <v>71</v>
      </c>
      <c r="K148" s="11" t="s">
        <v>702</v>
      </c>
      <c r="L148" s="11"/>
      <c r="M148" s="11"/>
      <c r="N148" s="12" t="s">
        <v>24</v>
      </c>
      <c r="O148" s="12" t="str">
        <f t="shared" si="28"/>
        <v>NO</v>
      </c>
      <c r="P148" s="12" t="str">
        <f t="shared" si="24"/>
        <v>🔴</v>
      </c>
      <c r="Q148" s="59"/>
    </row>
    <row r="149" spans="1:17" ht="18" hidden="1" customHeight="1" x14ac:dyDescent="0.4">
      <c r="A149" s="7">
        <f t="shared" si="26"/>
        <v>148</v>
      </c>
      <c r="B149" s="7">
        <f t="shared" si="27"/>
        <v>148</v>
      </c>
      <c r="C149" s="8" t="s">
        <v>16</v>
      </c>
      <c r="D149" s="8"/>
      <c r="E149" s="9" t="str">
        <f t="shared" si="25"/>
        <v/>
      </c>
      <c r="F149" s="8" t="s">
        <v>703</v>
      </c>
      <c r="G149" s="8" t="s">
        <v>704</v>
      </c>
      <c r="H149" s="8" t="s">
        <v>172</v>
      </c>
      <c r="I149" s="8" t="s">
        <v>705</v>
      </c>
      <c r="J149" s="63" t="s">
        <v>71</v>
      </c>
      <c r="K149" s="8" t="s">
        <v>706</v>
      </c>
      <c r="L149" s="8"/>
      <c r="M149" s="8"/>
      <c r="N149" s="9" t="s">
        <v>24</v>
      </c>
      <c r="O149" s="9" t="str">
        <f t="shared" si="28"/>
        <v>NO</v>
      </c>
      <c r="P149" s="9" t="str">
        <f t="shared" si="24"/>
        <v>🔴</v>
      </c>
      <c r="Q149" s="58"/>
    </row>
    <row r="150" spans="1:17" ht="18" hidden="1" customHeight="1" x14ac:dyDescent="0.4">
      <c r="A150" s="10">
        <f t="shared" si="26"/>
        <v>149</v>
      </c>
      <c r="B150" s="10">
        <f t="shared" si="27"/>
        <v>149</v>
      </c>
      <c r="C150" s="11" t="s">
        <v>16</v>
      </c>
      <c r="D150" s="11" t="s">
        <v>670</v>
      </c>
      <c r="E150" s="12" t="str">
        <f t="shared" si="25"/>
        <v/>
      </c>
      <c r="F150" s="11" t="s">
        <v>707</v>
      </c>
      <c r="G150" s="11" t="s">
        <v>473</v>
      </c>
      <c r="H150" s="11" t="s">
        <v>708</v>
      </c>
      <c r="I150" s="11" t="s">
        <v>709</v>
      </c>
      <c r="J150" s="63" t="s">
        <v>71</v>
      </c>
      <c r="K150" s="11" t="s">
        <v>710</v>
      </c>
      <c r="L150" s="11"/>
      <c r="M150" s="11"/>
      <c r="N150" s="12" t="s">
        <v>24</v>
      </c>
      <c r="O150" s="12" t="str">
        <f t="shared" si="28"/>
        <v>NO</v>
      </c>
      <c r="P150" s="12" t="str">
        <f t="shared" si="24"/>
        <v>🔴</v>
      </c>
      <c r="Q150" s="59"/>
    </row>
    <row r="151" spans="1:17" ht="18" hidden="1" customHeight="1" x14ac:dyDescent="0.4">
      <c r="A151" s="7">
        <f t="shared" si="26"/>
        <v>150</v>
      </c>
      <c r="B151" s="7">
        <f t="shared" si="27"/>
        <v>150</v>
      </c>
      <c r="C151" s="8" t="s">
        <v>16</v>
      </c>
      <c r="D151" s="8"/>
      <c r="E151" s="9" t="str">
        <f t="shared" si="25"/>
        <v/>
      </c>
      <c r="F151" s="8" t="s">
        <v>711</v>
      </c>
      <c r="G151" s="8" t="s">
        <v>712</v>
      </c>
      <c r="H151" s="8" t="s">
        <v>461</v>
      </c>
      <c r="I151" s="8"/>
      <c r="J151" s="62" t="s">
        <v>71</v>
      </c>
      <c r="K151" s="8" t="s">
        <v>713</v>
      </c>
      <c r="L151" s="8"/>
      <c r="M151" s="8"/>
      <c r="N151" s="9" t="s">
        <v>24</v>
      </c>
      <c r="O151" s="9" t="str">
        <f t="shared" si="28"/>
        <v>NO</v>
      </c>
      <c r="P151" s="9" t="str">
        <f t="shared" si="24"/>
        <v>🔴</v>
      </c>
      <c r="Q151" s="58" t="s">
        <v>714</v>
      </c>
    </row>
    <row r="152" spans="1:17" ht="18" hidden="1" customHeight="1" x14ac:dyDescent="0.4">
      <c r="A152" s="10">
        <f t="shared" si="26"/>
        <v>151</v>
      </c>
      <c r="B152" s="10">
        <f t="shared" si="27"/>
        <v>151</v>
      </c>
      <c r="C152" s="11" t="s">
        <v>16</v>
      </c>
      <c r="D152" s="11" t="s">
        <v>670</v>
      </c>
      <c r="E152" s="12" t="str">
        <f t="shared" si="25"/>
        <v/>
      </c>
      <c r="F152" s="11" t="s">
        <v>715</v>
      </c>
      <c r="G152" s="11" t="s">
        <v>666</v>
      </c>
      <c r="H152" s="11" t="s">
        <v>716</v>
      </c>
      <c r="I152" s="11" t="s">
        <v>405</v>
      </c>
      <c r="J152" s="62" t="s">
        <v>71</v>
      </c>
      <c r="K152" s="11" t="s">
        <v>717</v>
      </c>
      <c r="L152" s="11"/>
      <c r="M152" s="11"/>
      <c r="N152" s="12" t="s">
        <v>24</v>
      </c>
      <c r="O152" s="12" t="str">
        <f t="shared" si="28"/>
        <v>NO</v>
      </c>
      <c r="P152" s="12" t="str">
        <f t="shared" si="24"/>
        <v>🔴</v>
      </c>
      <c r="Q152" s="59" t="s">
        <v>718</v>
      </c>
    </row>
    <row r="153" spans="1:17" ht="18" hidden="1" customHeight="1" x14ac:dyDescent="0.4">
      <c r="A153" s="10">
        <f t="shared" si="26"/>
        <v>152</v>
      </c>
      <c r="B153" s="10">
        <f t="shared" si="27"/>
        <v>152</v>
      </c>
      <c r="C153" s="11" t="s">
        <v>16</v>
      </c>
      <c r="D153" s="11"/>
      <c r="E153" s="12" t="str">
        <f t="shared" si="25"/>
        <v/>
      </c>
      <c r="F153" s="11" t="s">
        <v>723</v>
      </c>
      <c r="G153" s="11" t="s">
        <v>724</v>
      </c>
      <c r="H153" s="11" t="s">
        <v>725</v>
      </c>
      <c r="I153" s="11"/>
      <c r="J153" s="63" t="s">
        <v>71</v>
      </c>
      <c r="K153" s="11" t="s">
        <v>726</v>
      </c>
      <c r="L153" s="11"/>
      <c r="M153" s="11"/>
      <c r="N153" s="12" t="s">
        <v>24</v>
      </c>
      <c r="O153" s="12" t="str">
        <f t="shared" si="28"/>
        <v>NO</v>
      </c>
      <c r="P153" s="12" t="str">
        <f t="shared" si="24"/>
        <v>🔴</v>
      </c>
      <c r="Q153" s="59"/>
    </row>
    <row r="154" spans="1:17" ht="18" hidden="1" customHeight="1" x14ac:dyDescent="0.4">
      <c r="A154" s="7">
        <f t="shared" si="26"/>
        <v>153</v>
      </c>
      <c r="B154" s="7">
        <f t="shared" si="27"/>
        <v>153</v>
      </c>
      <c r="C154" s="8" t="s">
        <v>16</v>
      </c>
      <c r="D154" s="8"/>
      <c r="E154" s="9" t="str">
        <f t="shared" si="25"/>
        <v/>
      </c>
      <c r="F154" s="8" t="s">
        <v>727</v>
      </c>
      <c r="G154" s="8" t="s">
        <v>91</v>
      </c>
      <c r="H154" s="8" t="s">
        <v>728</v>
      </c>
      <c r="I154" s="8"/>
      <c r="J154" s="63" t="s">
        <v>71</v>
      </c>
      <c r="K154" s="8" t="s">
        <v>726</v>
      </c>
      <c r="L154" s="8"/>
      <c r="M154" s="8"/>
      <c r="N154" s="9" t="s">
        <v>24</v>
      </c>
      <c r="O154" s="9" t="str">
        <f t="shared" si="28"/>
        <v>NO</v>
      </c>
      <c r="P154" s="9" t="str">
        <f t="shared" si="24"/>
        <v>🔴</v>
      </c>
      <c r="Q154" s="58"/>
    </row>
    <row r="155" spans="1:17" ht="18" hidden="1" customHeight="1" x14ac:dyDescent="0.4">
      <c r="A155" s="10">
        <f t="shared" si="26"/>
        <v>154</v>
      </c>
      <c r="B155" s="10">
        <f t="shared" si="27"/>
        <v>154</v>
      </c>
      <c r="C155" s="11" t="s">
        <v>16</v>
      </c>
      <c r="D155" s="11"/>
      <c r="E155" s="12" t="str">
        <f t="shared" si="25"/>
        <v/>
      </c>
      <c r="F155" s="11" t="s">
        <v>729</v>
      </c>
      <c r="G155" s="11" t="s">
        <v>120</v>
      </c>
      <c r="H155" s="11" t="s">
        <v>730</v>
      </c>
      <c r="I155" s="11"/>
      <c r="J155" s="63" t="s">
        <v>71</v>
      </c>
      <c r="K155" s="11" t="s">
        <v>726</v>
      </c>
      <c r="L155" s="11"/>
      <c r="M155" s="11"/>
      <c r="N155" s="12" t="s">
        <v>24</v>
      </c>
      <c r="O155" s="12" t="str">
        <f t="shared" si="28"/>
        <v>NO</v>
      </c>
      <c r="P155" s="12" t="str">
        <f t="shared" si="24"/>
        <v>🔴</v>
      </c>
      <c r="Q155" s="59"/>
    </row>
    <row r="156" spans="1:17" ht="18" hidden="1" customHeight="1" x14ac:dyDescent="0.4">
      <c r="A156" s="7">
        <f t="shared" si="26"/>
        <v>155</v>
      </c>
      <c r="B156" s="7">
        <f t="shared" si="27"/>
        <v>155</v>
      </c>
      <c r="C156" s="8" t="s">
        <v>16</v>
      </c>
      <c r="D156" s="8"/>
      <c r="E156" s="9" t="str">
        <f t="shared" si="25"/>
        <v/>
      </c>
      <c r="F156" s="8" t="s">
        <v>731</v>
      </c>
      <c r="G156" s="8" t="s">
        <v>704</v>
      </c>
      <c r="H156" s="8" t="s">
        <v>732</v>
      </c>
      <c r="I156" s="8"/>
      <c r="J156" s="63" t="s">
        <v>71</v>
      </c>
      <c r="K156" s="8" t="s">
        <v>733</v>
      </c>
      <c r="L156" s="8"/>
      <c r="M156" s="8"/>
      <c r="N156" s="9" t="s">
        <v>24</v>
      </c>
      <c r="O156" s="9" t="str">
        <f t="shared" si="28"/>
        <v>NO</v>
      </c>
      <c r="P156" s="9" t="str">
        <f t="shared" si="24"/>
        <v>🔴</v>
      </c>
      <c r="Q156" s="58"/>
    </row>
    <row r="157" spans="1:17" ht="18" hidden="1" customHeight="1" x14ac:dyDescent="0.4">
      <c r="A157" s="10">
        <f t="shared" si="26"/>
        <v>156</v>
      </c>
      <c r="B157" s="10">
        <f t="shared" si="27"/>
        <v>156</v>
      </c>
      <c r="C157" s="11" t="s">
        <v>16</v>
      </c>
      <c r="D157" s="11"/>
      <c r="E157" s="12" t="str">
        <f t="shared" si="25"/>
        <v/>
      </c>
      <c r="F157" s="11" t="s">
        <v>734</v>
      </c>
      <c r="G157" s="11" t="s">
        <v>519</v>
      </c>
      <c r="H157" s="11" t="s">
        <v>735</v>
      </c>
      <c r="I157" s="11"/>
      <c r="J157" s="63" t="s">
        <v>71</v>
      </c>
      <c r="K157" s="11" t="s">
        <v>736</v>
      </c>
      <c r="L157" s="11"/>
      <c r="M157" s="11"/>
      <c r="N157" s="12" t="s">
        <v>24</v>
      </c>
      <c r="O157" s="12" t="str">
        <f t="shared" si="28"/>
        <v>NO</v>
      </c>
      <c r="P157" s="12" t="str">
        <f t="shared" si="24"/>
        <v>🔴</v>
      </c>
      <c r="Q157" s="59"/>
    </row>
    <row r="158" spans="1:17" ht="18" hidden="1" customHeight="1" x14ac:dyDescent="0.4">
      <c r="A158" s="7">
        <f t="shared" si="26"/>
        <v>157</v>
      </c>
      <c r="B158" s="7">
        <f t="shared" si="27"/>
        <v>157</v>
      </c>
      <c r="C158" s="8" t="s">
        <v>16</v>
      </c>
      <c r="D158" s="8"/>
      <c r="E158" s="9" t="str">
        <f t="shared" si="25"/>
        <v/>
      </c>
      <c r="F158" s="8" t="s">
        <v>737</v>
      </c>
      <c r="G158" s="8" t="s">
        <v>488</v>
      </c>
      <c r="H158" s="8" t="s">
        <v>738</v>
      </c>
      <c r="I158" s="8" t="s">
        <v>739</v>
      </c>
      <c r="J158" s="62" t="s">
        <v>71</v>
      </c>
      <c r="K158" s="8" t="s">
        <v>740</v>
      </c>
      <c r="L158" s="8"/>
      <c r="M158" s="8"/>
      <c r="N158" s="9" t="s">
        <v>24</v>
      </c>
      <c r="O158" s="9" t="str">
        <f t="shared" si="28"/>
        <v>NO</v>
      </c>
      <c r="P158" s="9" t="str">
        <f t="shared" ref="P158:P189" si="29">IF(UPPER($J158)="SI","🟢",IF(UPPER($J158)="NO","🔴","🟡"))</f>
        <v>🔴</v>
      </c>
      <c r="Q158" s="58" t="s">
        <v>741</v>
      </c>
    </row>
    <row r="159" spans="1:17" ht="18" hidden="1" customHeight="1" x14ac:dyDescent="0.4">
      <c r="A159" s="10">
        <f t="shared" si="26"/>
        <v>158</v>
      </c>
      <c r="B159" s="10">
        <f t="shared" si="27"/>
        <v>158</v>
      </c>
      <c r="C159" s="11" t="s">
        <v>16</v>
      </c>
      <c r="D159" s="11"/>
      <c r="E159" s="12" t="str">
        <f t="shared" si="25"/>
        <v/>
      </c>
      <c r="F159" s="11" t="s">
        <v>742</v>
      </c>
      <c r="G159" s="11" t="s">
        <v>743</v>
      </c>
      <c r="H159" s="11" t="s">
        <v>450</v>
      </c>
      <c r="I159" s="11" t="s">
        <v>744</v>
      </c>
      <c r="J159" s="62" t="s">
        <v>71</v>
      </c>
      <c r="K159" s="11" t="s">
        <v>745</v>
      </c>
      <c r="L159" s="11"/>
      <c r="M159" s="11"/>
      <c r="N159" s="12" t="s">
        <v>24</v>
      </c>
      <c r="O159" s="12" t="str">
        <f t="shared" si="28"/>
        <v>NO</v>
      </c>
      <c r="P159" s="12" t="str">
        <f t="shared" si="29"/>
        <v>🔴</v>
      </c>
      <c r="Q159" s="59" t="s">
        <v>746</v>
      </c>
    </row>
    <row r="160" spans="1:17" ht="18" hidden="1" customHeight="1" x14ac:dyDescent="0.4">
      <c r="A160" s="7">
        <f t="shared" si="26"/>
        <v>159</v>
      </c>
      <c r="B160" s="7">
        <f t="shared" si="27"/>
        <v>159</v>
      </c>
      <c r="C160" s="8" t="s">
        <v>16</v>
      </c>
      <c r="D160" s="8"/>
      <c r="E160" s="9" t="str">
        <f t="shared" si="25"/>
        <v/>
      </c>
      <c r="F160" s="8" t="s">
        <v>747</v>
      </c>
      <c r="G160" s="8" t="s">
        <v>724</v>
      </c>
      <c r="H160" s="8" t="s">
        <v>748</v>
      </c>
      <c r="I160" s="8"/>
      <c r="J160" s="62" t="s">
        <v>71</v>
      </c>
      <c r="K160" s="8" t="s">
        <v>749</v>
      </c>
      <c r="L160" s="8"/>
      <c r="M160" s="8"/>
      <c r="N160" s="9" t="s">
        <v>24</v>
      </c>
      <c r="O160" s="9" t="str">
        <f t="shared" si="28"/>
        <v>NO</v>
      </c>
      <c r="P160" s="9" t="str">
        <f t="shared" si="29"/>
        <v>🔴</v>
      </c>
      <c r="Q160" s="58" t="s">
        <v>750</v>
      </c>
    </row>
    <row r="161" spans="1:17" ht="18" hidden="1" customHeight="1" x14ac:dyDescent="0.4">
      <c r="A161" s="10">
        <f t="shared" si="26"/>
        <v>160</v>
      </c>
      <c r="B161" s="10">
        <f t="shared" si="27"/>
        <v>160</v>
      </c>
      <c r="C161" s="11" t="s">
        <v>16</v>
      </c>
      <c r="D161" s="11" t="s">
        <v>751</v>
      </c>
      <c r="E161" s="12" t="str">
        <f t="shared" si="25"/>
        <v/>
      </c>
      <c r="F161" s="11" t="s">
        <v>752</v>
      </c>
      <c r="G161" s="11" t="s">
        <v>753</v>
      </c>
      <c r="H161" s="11" t="s">
        <v>754</v>
      </c>
      <c r="I161" s="11" t="s">
        <v>221</v>
      </c>
      <c r="J161" s="63" t="s">
        <v>71</v>
      </c>
      <c r="K161" s="11" t="s">
        <v>755</v>
      </c>
      <c r="L161" s="11"/>
      <c r="M161" s="11"/>
      <c r="N161" s="12" t="s">
        <v>24</v>
      </c>
      <c r="O161" s="12" t="str">
        <f t="shared" si="28"/>
        <v>NO</v>
      </c>
      <c r="P161" s="12" t="str">
        <f t="shared" si="29"/>
        <v>🔴</v>
      </c>
      <c r="Q161" s="59"/>
    </row>
    <row r="162" spans="1:17" ht="18" hidden="1" customHeight="1" x14ac:dyDescent="0.4">
      <c r="A162" s="7">
        <f t="shared" si="26"/>
        <v>161</v>
      </c>
      <c r="B162" s="7">
        <f t="shared" si="27"/>
        <v>161</v>
      </c>
      <c r="C162" s="8" t="s">
        <v>16</v>
      </c>
      <c r="D162" s="8"/>
      <c r="E162" s="9" t="str">
        <f t="shared" si="25"/>
        <v/>
      </c>
      <c r="F162" s="8" t="s">
        <v>756</v>
      </c>
      <c r="G162" s="8" t="s">
        <v>757</v>
      </c>
      <c r="H162" s="8" t="s">
        <v>426</v>
      </c>
      <c r="I162" s="8" t="s">
        <v>437</v>
      </c>
      <c r="J162" s="62" t="s">
        <v>71</v>
      </c>
      <c r="K162" s="8" t="s">
        <v>758</v>
      </c>
      <c r="L162" s="8"/>
      <c r="M162" s="8"/>
      <c r="N162" s="9" t="s">
        <v>24</v>
      </c>
      <c r="O162" s="9" t="str">
        <f t="shared" si="28"/>
        <v>NO</v>
      </c>
      <c r="P162" s="9" t="str">
        <f t="shared" si="29"/>
        <v>🔴</v>
      </c>
      <c r="Q162" s="58" t="s">
        <v>759</v>
      </c>
    </row>
    <row r="163" spans="1:17" ht="18" hidden="1" customHeight="1" x14ac:dyDescent="0.4">
      <c r="A163" s="10">
        <f t="shared" si="26"/>
        <v>162</v>
      </c>
      <c r="B163" s="10">
        <f t="shared" si="27"/>
        <v>162</v>
      </c>
      <c r="C163" s="11" t="s">
        <v>16</v>
      </c>
      <c r="D163" s="11"/>
      <c r="E163" s="12" t="str">
        <f t="shared" si="25"/>
        <v>VIP</v>
      </c>
      <c r="F163" s="11" t="s">
        <v>760</v>
      </c>
      <c r="G163" s="11" t="s">
        <v>761</v>
      </c>
      <c r="H163" s="11" t="s">
        <v>312</v>
      </c>
      <c r="I163" s="11" t="s">
        <v>308</v>
      </c>
      <c r="J163" s="61" t="s">
        <v>22</v>
      </c>
      <c r="K163" s="11" t="s">
        <v>762</v>
      </c>
      <c r="L163" s="11"/>
      <c r="M163" s="11"/>
      <c r="N163" s="12" t="s">
        <v>24</v>
      </c>
      <c r="O163" s="12" t="str">
        <f t="shared" si="28"/>
        <v>SI</v>
      </c>
      <c r="P163" s="12" t="str">
        <f t="shared" si="29"/>
        <v>🟢</v>
      </c>
      <c r="Q163" s="59" t="s">
        <v>763</v>
      </c>
    </row>
    <row r="164" spans="1:17" ht="18" hidden="1" customHeight="1" x14ac:dyDescent="0.4">
      <c r="A164" s="7">
        <f t="shared" si="26"/>
        <v>163</v>
      </c>
      <c r="B164" s="7">
        <f t="shared" si="27"/>
        <v>163</v>
      </c>
      <c r="C164" s="8" t="s">
        <v>16</v>
      </c>
      <c r="D164" s="8"/>
      <c r="E164" s="9" t="str">
        <f t="shared" si="25"/>
        <v>VIP</v>
      </c>
      <c r="F164" s="8" t="s">
        <v>764</v>
      </c>
      <c r="G164" s="8" t="s">
        <v>765</v>
      </c>
      <c r="H164" s="8" t="s">
        <v>312</v>
      </c>
      <c r="I164" s="8" t="s">
        <v>308</v>
      </c>
      <c r="J164" s="61" t="s">
        <v>22</v>
      </c>
      <c r="K164" s="8" t="s">
        <v>766</v>
      </c>
      <c r="L164" s="8"/>
      <c r="M164" s="8"/>
      <c r="N164" s="9" t="s">
        <v>24</v>
      </c>
      <c r="O164" s="9" t="str">
        <f t="shared" si="28"/>
        <v>SI</v>
      </c>
      <c r="P164" s="9" t="str">
        <f t="shared" si="29"/>
        <v>🟢</v>
      </c>
      <c r="Q164" s="58" t="s">
        <v>767</v>
      </c>
    </row>
    <row r="165" spans="1:17" ht="18" hidden="1" customHeight="1" x14ac:dyDescent="0.4">
      <c r="A165" s="10">
        <f t="shared" si="26"/>
        <v>164</v>
      </c>
      <c r="B165" s="10">
        <f t="shared" si="27"/>
        <v>164</v>
      </c>
      <c r="C165" s="11" t="s">
        <v>16</v>
      </c>
      <c r="D165" s="11"/>
      <c r="E165" s="12" t="str">
        <f t="shared" si="25"/>
        <v>VIP</v>
      </c>
      <c r="F165" s="11" t="s">
        <v>768</v>
      </c>
      <c r="G165" s="11" t="s">
        <v>769</v>
      </c>
      <c r="H165" s="11" t="s">
        <v>104</v>
      </c>
      <c r="I165" s="11" t="s">
        <v>770</v>
      </c>
      <c r="J165" s="61" t="s">
        <v>22</v>
      </c>
      <c r="K165" s="11" t="s">
        <v>3350</v>
      </c>
      <c r="L165" s="11"/>
      <c r="M165" s="11"/>
      <c r="N165" s="12" t="s">
        <v>24</v>
      </c>
      <c r="O165" s="12" t="str">
        <f t="shared" si="28"/>
        <v>SI</v>
      </c>
      <c r="P165" s="12" t="str">
        <f t="shared" si="29"/>
        <v>🟢</v>
      </c>
      <c r="Q165" s="59" t="s">
        <v>772</v>
      </c>
    </row>
    <row r="166" spans="1:17" ht="18" hidden="1" customHeight="1" x14ac:dyDescent="0.4">
      <c r="A166" s="7">
        <f t="shared" si="26"/>
        <v>165</v>
      </c>
      <c r="B166" s="7">
        <f t="shared" si="27"/>
        <v>165</v>
      </c>
      <c r="C166" s="8" t="s">
        <v>16</v>
      </c>
      <c r="D166" s="8" t="s">
        <v>46</v>
      </c>
      <c r="E166" s="9" t="str">
        <f t="shared" si="25"/>
        <v/>
      </c>
      <c r="F166" s="8" t="s">
        <v>773</v>
      </c>
      <c r="G166" s="8" t="s">
        <v>774</v>
      </c>
      <c r="H166" s="8" t="s">
        <v>775</v>
      </c>
      <c r="I166" s="8"/>
      <c r="J166" s="63" t="s">
        <v>71</v>
      </c>
      <c r="K166" s="8" t="s">
        <v>776</v>
      </c>
      <c r="L166" s="8" t="s">
        <v>777</v>
      </c>
      <c r="M166" s="8"/>
      <c r="N166" s="9" t="s">
        <v>24</v>
      </c>
      <c r="O166" s="9" t="str">
        <f t="shared" si="28"/>
        <v>NO</v>
      </c>
      <c r="P166" s="9" t="str">
        <f t="shared" si="29"/>
        <v>🔴</v>
      </c>
      <c r="Q166" s="58"/>
    </row>
    <row r="167" spans="1:17" ht="18" hidden="1" customHeight="1" x14ac:dyDescent="0.4">
      <c r="A167" s="10">
        <f t="shared" si="26"/>
        <v>166</v>
      </c>
      <c r="B167" s="10">
        <f t="shared" si="27"/>
        <v>166</v>
      </c>
      <c r="C167" s="11" t="s">
        <v>16</v>
      </c>
      <c r="D167" s="11" t="s">
        <v>670</v>
      </c>
      <c r="E167" s="12" t="str">
        <f t="shared" si="25"/>
        <v/>
      </c>
      <c r="F167" s="11" t="s">
        <v>778</v>
      </c>
      <c r="G167" s="11" t="s">
        <v>519</v>
      </c>
      <c r="H167" s="11" t="s">
        <v>779</v>
      </c>
      <c r="I167" s="11"/>
      <c r="J167" s="63" t="s">
        <v>71</v>
      </c>
      <c r="K167" s="11" t="s">
        <v>780</v>
      </c>
      <c r="L167" s="11" t="s">
        <v>777</v>
      </c>
      <c r="M167" s="11"/>
      <c r="N167" s="12" t="s">
        <v>24</v>
      </c>
      <c r="O167" s="12" t="str">
        <f t="shared" si="28"/>
        <v>NO</v>
      </c>
      <c r="P167" s="12" t="str">
        <f t="shared" si="29"/>
        <v>🔴</v>
      </c>
      <c r="Q167" s="59"/>
    </row>
    <row r="168" spans="1:17" ht="18" hidden="1" customHeight="1" x14ac:dyDescent="0.4">
      <c r="A168" s="7">
        <f t="shared" si="26"/>
        <v>167</v>
      </c>
      <c r="B168" s="7">
        <f t="shared" si="27"/>
        <v>167</v>
      </c>
      <c r="C168" s="8" t="s">
        <v>16</v>
      </c>
      <c r="D168" s="8" t="s">
        <v>670</v>
      </c>
      <c r="E168" s="9" t="str">
        <f t="shared" si="25"/>
        <v>VIP</v>
      </c>
      <c r="F168" s="8" t="s">
        <v>781</v>
      </c>
      <c r="G168" s="8" t="s">
        <v>782</v>
      </c>
      <c r="H168" s="8" t="s">
        <v>783</v>
      </c>
      <c r="I168" s="8" t="s">
        <v>784</v>
      </c>
      <c r="J168" s="61" t="s">
        <v>22</v>
      </c>
      <c r="K168" s="8" t="s">
        <v>785</v>
      </c>
      <c r="L168" s="8"/>
      <c r="M168" s="8"/>
      <c r="N168" s="9" t="s">
        <v>24</v>
      </c>
      <c r="O168" s="9" t="str">
        <f t="shared" si="28"/>
        <v>SI</v>
      </c>
      <c r="P168" s="9" t="str">
        <f t="shared" si="29"/>
        <v>🟢</v>
      </c>
      <c r="Q168" s="58" t="s">
        <v>786</v>
      </c>
    </row>
    <row r="169" spans="1:17" ht="18" hidden="1" customHeight="1" x14ac:dyDescent="0.4">
      <c r="A169" s="10">
        <f t="shared" si="26"/>
        <v>168</v>
      </c>
      <c r="B169" s="10">
        <f t="shared" si="27"/>
        <v>168</v>
      </c>
      <c r="C169" s="11" t="s">
        <v>16</v>
      </c>
      <c r="D169" s="11" t="s">
        <v>670</v>
      </c>
      <c r="E169" s="12" t="str">
        <f t="shared" si="25"/>
        <v>VIP</v>
      </c>
      <c r="F169" s="11" t="s">
        <v>787</v>
      </c>
      <c r="G169" s="11" t="s">
        <v>788</v>
      </c>
      <c r="H169" s="11" t="s">
        <v>312</v>
      </c>
      <c r="I169" s="11" t="s">
        <v>308</v>
      </c>
      <c r="J169" s="61" t="s">
        <v>22</v>
      </c>
      <c r="K169" s="11" t="s">
        <v>789</v>
      </c>
      <c r="L169" s="11"/>
      <c r="M169" s="11"/>
      <c r="N169" s="12" t="s">
        <v>24</v>
      </c>
      <c r="O169" s="12" t="str">
        <f t="shared" si="28"/>
        <v>SI</v>
      </c>
      <c r="P169" s="12" t="str">
        <f t="shared" si="29"/>
        <v>🟢</v>
      </c>
      <c r="Q169" s="59" t="s">
        <v>790</v>
      </c>
    </row>
    <row r="170" spans="1:17" ht="18" customHeight="1" x14ac:dyDescent="0.4">
      <c r="A170" s="10">
        <f t="shared" si="26"/>
        <v>169</v>
      </c>
      <c r="B170" s="13">
        <f t="shared" si="27"/>
        <v>169</v>
      </c>
      <c r="C170" s="26" t="s">
        <v>1737</v>
      </c>
      <c r="D170" s="26"/>
      <c r="E170" s="27" t="s">
        <v>1257</v>
      </c>
      <c r="F170" s="16" t="s">
        <v>1738</v>
      </c>
      <c r="G170" s="26" t="s">
        <v>998</v>
      </c>
      <c r="H170" s="26" t="s">
        <v>1739</v>
      </c>
      <c r="I170" s="26" t="s">
        <v>1740</v>
      </c>
      <c r="J170" s="61" t="s">
        <v>22</v>
      </c>
      <c r="K170" s="26" t="s">
        <v>1741</v>
      </c>
      <c r="L170" s="16" t="s">
        <v>3318</v>
      </c>
      <c r="M170" s="16">
        <v>3</v>
      </c>
      <c r="N170" s="17" t="s">
        <v>659</v>
      </c>
      <c r="O170" s="17" t="str">
        <f t="shared" si="28"/>
        <v>NO</v>
      </c>
      <c r="P170" s="17" t="str">
        <f t="shared" si="29"/>
        <v>🟢</v>
      </c>
      <c r="Q170" s="60"/>
    </row>
    <row r="171" spans="1:17" ht="18" customHeight="1" x14ac:dyDescent="0.4">
      <c r="A171" s="7">
        <f t="shared" si="26"/>
        <v>170</v>
      </c>
      <c r="B171" s="13">
        <f t="shared" si="27"/>
        <v>170</v>
      </c>
      <c r="C171" s="26" t="s">
        <v>1737</v>
      </c>
      <c r="D171" s="26"/>
      <c r="E171" s="27" t="s">
        <v>1257</v>
      </c>
      <c r="F171" s="16" t="s">
        <v>1742</v>
      </c>
      <c r="G171" s="26" t="s">
        <v>1593</v>
      </c>
      <c r="H171" s="26" t="s">
        <v>1743</v>
      </c>
      <c r="I171" s="26" t="s">
        <v>1744</v>
      </c>
      <c r="J171" s="61" t="s">
        <v>22</v>
      </c>
      <c r="K171" s="26" t="s">
        <v>1745</v>
      </c>
      <c r="L171" s="16" t="s">
        <v>3318</v>
      </c>
      <c r="M171" s="16">
        <v>4</v>
      </c>
      <c r="N171" s="17" t="s">
        <v>659</v>
      </c>
      <c r="O171" s="17" t="str">
        <f t="shared" si="28"/>
        <v>NO</v>
      </c>
      <c r="P171" s="17" t="str">
        <f t="shared" si="29"/>
        <v>🟢</v>
      </c>
      <c r="Q171" s="60"/>
    </row>
    <row r="172" spans="1:17" ht="18" hidden="1" customHeight="1" x14ac:dyDescent="0.4">
      <c r="A172" s="7">
        <f t="shared" si="26"/>
        <v>171</v>
      </c>
      <c r="B172" s="7">
        <f t="shared" si="27"/>
        <v>171</v>
      </c>
      <c r="C172" s="8" t="s">
        <v>16</v>
      </c>
      <c r="D172" s="8" t="s">
        <v>46</v>
      </c>
      <c r="E172" s="9" t="str">
        <f>IF(UPPER($J172)="NO","",$N172)</f>
        <v>VIP</v>
      </c>
      <c r="F172" s="8" t="s">
        <v>797</v>
      </c>
      <c r="G172" s="8" t="s">
        <v>798</v>
      </c>
      <c r="H172" s="8" t="s">
        <v>799</v>
      </c>
      <c r="I172" s="8" t="s">
        <v>104</v>
      </c>
      <c r="J172" s="61" t="s">
        <v>22</v>
      </c>
      <c r="K172" s="8" t="s">
        <v>800</v>
      </c>
      <c r="L172" s="8"/>
      <c r="M172" s="8"/>
      <c r="N172" s="9" t="s">
        <v>24</v>
      </c>
      <c r="O172" s="9" t="str">
        <f t="shared" si="28"/>
        <v>SI</v>
      </c>
      <c r="P172" s="9" t="str">
        <f t="shared" si="29"/>
        <v>🟢</v>
      </c>
      <c r="Q172" s="58" t="s">
        <v>801</v>
      </c>
    </row>
    <row r="173" spans="1:17" ht="18" hidden="1" customHeight="1" x14ac:dyDescent="0.4">
      <c r="A173" s="10">
        <f t="shared" si="26"/>
        <v>172</v>
      </c>
      <c r="B173" s="10">
        <f t="shared" si="27"/>
        <v>172</v>
      </c>
      <c r="C173" s="11" t="s">
        <v>16</v>
      </c>
      <c r="D173" s="11" t="s">
        <v>670</v>
      </c>
      <c r="E173" s="12" t="str">
        <f>IF(UPPER($J173)="NO","",$N173)</f>
        <v>VIP</v>
      </c>
      <c r="F173" s="11" t="s">
        <v>802</v>
      </c>
      <c r="G173" s="11" t="s">
        <v>120</v>
      </c>
      <c r="H173" s="11" t="s">
        <v>803</v>
      </c>
      <c r="I173" s="11"/>
      <c r="J173" s="62" t="s">
        <v>22</v>
      </c>
      <c r="K173" s="11" t="s">
        <v>804</v>
      </c>
      <c r="L173" s="11"/>
      <c r="M173" s="11"/>
      <c r="N173" s="12" t="s">
        <v>24</v>
      </c>
      <c r="O173" s="12" t="str">
        <f t="shared" si="28"/>
        <v>SI</v>
      </c>
      <c r="P173" s="12" t="str">
        <f t="shared" si="29"/>
        <v>🟢</v>
      </c>
      <c r="Q173" s="59" t="s">
        <v>805</v>
      </c>
    </row>
    <row r="174" spans="1:17" ht="18" customHeight="1" x14ac:dyDescent="0.4">
      <c r="A174" s="10">
        <f t="shared" ref="A174:A189" si="30">IF(COUNTA(C174:K174)=0,"",ROW()-1)</f>
        <v>173</v>
      </c>
      <c r="B174" s="13">
        <f t="shared" ref="B174:B189" si="31">IF($F174&lt;&gt;"",$A174,"")</f>
        <v>173</v>
      </c>
      <c r="C174" s="26" t="s">
        <v>1737</v>
      </c>
      <c r="D174" s="26"/>
      <c r="E174" s="27" t="s">
        <v>1257</v>
      </c>
      <c r="F174" s="16" t="s">
        <v>1746</v>
      </c>
      <c r="G174" s="26" t="s">
        <v>1747</v>
      </c>
      <c r="H174" s="26" t="s">
        <v>1748</v>
      </c>
      <c r="I174" s="26" t="s">
        <v>719</v>
      </c>
      <c r="J174" s="61" t="s">
        <v>22</v>
      </c>
      <c r="K174" s="26" t="s">
        <v>1749</v>
      </c>
      <c r="L174" s="16" t="s">
        <v>3318</v>
      </c>
      <c r="M174" s="16">
        <v>5</v>
      </c>
      <c r="N174" s="17" t="s">
        <v>659</v>
      </c>
      <c r="O174" s="17" t="str">
        <f t="shared" ref="O174:O189" si="32">IF(AND(UPPER($N174)="VIP",UPPER($J174)&lt;&gt;"NO",$F174&lt;&gt;""),"SI","NO")</f>
        <v>NO</v>
      </c>
      <c r="P174" s="17" t="str">
        <f t="shared" si="29"/>
        <v>🟢</v>
      </c>
      <c r="Q174" s="60"/>
    </row>
    <row r="175" spans="1:17" ht="18" hidden="1" customHeight="1" x14ac:dyDescent="0.4">
      <c r="A175" s="10">
        <f t="shared" si="30"/>
        <v>174</v>
      </c>
      <c r="B175" s="10">
        <f t="shared" si="31"/>
        <v>174</v>
      </c>
      <c r="C175" s="11" t="s">
        <v>16</v>
      </c>
      <c r="D175" s="11" t="s">
        <v>670</v>
      </c>
      <c r="E175" s="12" t="str">
        <f>IF(UPPER($J175)="NO","",$N175)</f>
        <v>VIP</v>
      </c>
      <c r="F175" s="11" t="s">
        <v>809</v>
      </c>
      <c r="G175" s="11" t="s">
        <v>810</v>
      </c>
      <c r="H175" s="11" t="s">
        <v>811</v>
      </c>
      <c r="I175" s="11"/>
      <c r="J175" s="62" t="s">
        <v>22</v>
      </c>
      <c r="K175" s="11" t="s">
        <v>812</v>
      </c>
      <c r="L175" s="11"/>
      <c r="M175" s="11"/>
      <c r="N175" s="12" t="s">
        <v>24</v>
      </c>
      <c r="O175" s="12" t="str">
        <f t="shared" si="32"/>
        <v>SI</v>
      </c>
      <c r="P175" s="12" t="str">
        <f t="shared" si="29"/>
        <v>🟢</v>
      </c>
      <c r="Q175" s="59" t="s">
        <v>813</v>
      </c>
    </row>
    <row r="176" spans="1:17" ht="18" customHeight="1" x14ac:dyDescent="0.4">
      <c r="A176" s="7">
        <f t="shared" si="30"/>
        <v>175</v>
      </c>
      <c r="B176" s="13">
        <f t="shared" si="31"/>
        <v>175</v>
      </c>
      <c r="C176" s="26" t="s">
        <v>1737</v>
      </c>
      <c r="D176" s="26"/>
      <c r="E176" s="27" t="s">
        <v>1257</v>
      </c>
      <c r="F176" s="16" t="s">
        <v>1750</v>
      </c>
      <c r="G176" s="26" t="s">
        <v>1751</v>
      </c>
      <c r="H176" s="26" t="s">
        <v>1752</v>
      </c>
      <c r="I176" s="26" t="s">
        <v>1753</v>
      </c>
      <c r="J176" s="61" t="s">
        <v>22</v>
      </c>
      <c r="K176" s="26" t="s">
        <v>1754</v>
      </c>
      <c r="L176" s="16" t="s">
        <v>3318</v>
      </c>
      <c r="M176" s="16">
        <v>6</v>
      </c>
      <c r="N176" s="17" t="s">
        <v>659</v>
      </c>
      <c r="O176" s="17" t="str">
        <f t="shared" si="32"/>
        <v>NO</v>
      </c>
      <c r="P176" s="17" t="str">
        <f t="shared" si="29"/>
        <v>🟢</v>
      </c>
      <c r="Q176" s="60"/>
    </row>
    <row r="177" spans="1:86" ht="18" customHeight="1" x14ac:dyDescent="0.4">
      <c r="A177" s="10">
        <f t="shared" si="30"/>
        <v>176</v>
      </c>
      <c r="B177" s="13">
        <f t="shared" si="31"/>
        <v>176</v>
      </c>
      <c r="C177" s="24" t="s">
        <v>1569</v>
      </c>
      <c r="D177" s="24" t="s">
        <v>1616</v>
      </c>
      <c r="E177" s="25" t="s">
        <v>3336</v>
      </c>
      <c r="F177" s="16" t="s">
        <v>1617</v>
      </c>
      <c r="G177" s="24" t="s">
        <v>1618</v>
      </c>
      <c r="H177" s="24" t="s">
        <v>1619</v>
      </c>
      <c r="I177" s="24" t="s">
        <v>135</v>
      </c>
      <c r="J177" s="61" t="s">
        <v>22</v>
      </c>
      <c r="K177" s="24" t="s">
        <v>1620</v>
      </c>
      <c r="L177" s="16" t="s">
        <v>3319</v>
      </c>
      <c r="M177" s="16">
        <v>1</v>
      </c>
      <c r="N177" s="17" t="s">
        <v>1257</v>
      </c>
      <c r="O177" s="17" t="str">
        <f t="shared" si="32"/>
        <v>NO</v>
      </c>
      <c r="P177" s="17" t="str">
        <f t="shared" si="29"/>
        <v>🟢</v>
      </c>
      <c r="Q177" s="60"/>
    </row>
    <row r="178" spans="1:86" ht="18" customHeight="1" x14ac:dyDescent="0.4">
      <c r="A178" s="7">
        <f t="shared" si="30"/>
        <v>177</v>
      </c>
      <c r="B178" s="13">
        <f t="shared" si="31"/>
        <v>177</v>
      </c>
      <c r="C178" s="32" t="s">
        <v>2532</v>
      </c>
      <c r="D178" s="32"/>
      <c r="E178" s="33" t="s">
        <v>3336</v>
      </c>
      <c r="F178" s="16" t="s">
        <v>2567</v>
      </c>
      <c r="G178" s="32" t="s">
        <v>1889</v>
      </c>
      <c r="H178" s="32" t="s">
        <v>349</v>
      </c>
      <c r="I178" s="32" t="s">
        <v>1867</v>
      </c>
      <c r="J178" s="61" t="s">
        <v>22</v>
      </c>
      <c r="K178" s="32" t="s">
        <v>2568</v>
      </c>
      <c r="L178" s="16" t="s">
        <v>3319</v>
      </c>
      <c r="M178" s="16">
        <v>2</v>
      </c>
      <c r="N178" s="17" t="s">
        <v>1257</v>
      </c>
      <c r="O178" s="17" t="str">
        <f t="shared" si="32"/>
        <v>NO</v>
      </c>
      <c r="P178" s="17" t="str">
        <f t="shared" si="29"/>
        <v>🟢</v>
      </c>
      <c r="Q178" s="60"/>
    </row>
    <row r="179" spans="1:86" ht="18" customHeight="1" x14ac:dyDescent="0.4">
      <c r="A179" s="7">
        <f t="shared" si="30"/>
        <v>178</v>
      </c>
      <c r="B179" s="13">
        <f t="shared" si="31"/>
        <v>178</v>
      </c>
      <c r="C179" s="28" t="s">
        <v>1770</v>
      </c>
      <c r="D179" s="16"/>
      <c r="E179" s="17" t="s">
        <v>1257</v>
      </c>
      <c r="F179" s="16" t="s">
        <v>2081</v>
      </c>
      <c r="G179" s="16" t="s">
        <v>757</v>
      </c>
      <c r="H179" s="16" t="s">
        <v>2082</v>
      </c>
      <c r="I179" s="16" t="s">
        <v>2083</v>
      </c>
      <c r="J179" s="61" t="s">
        <v>22</v>
      </c>
      <c r="K179" s="11" t="s">
        <v>2084</v>
      </c>
      <c r="L179" s="16" t="s">
        <v>3319</v>
      </c>
      <c r="M179" s="16">
        <v>3</v>
      </c>
      <c r="N179" s="17" t="s">
        <v>659</v>
      </c>
      <c r="O179" s="17" t="str">
        <f t="shared" si="32"/>
        <v>NO</v>
      </c>
      <c r="P179" s="17" t="str">
        <f t="shared" si="29"/>
        <v>🟢</v>
      </c>
      <c r="Q179" s="60"/>
    </row>
    <row r="180" spans="1:86" ht="18" customHeight="1" x14ac:dyDescent="0.4">
      <c r="A180" s="10">
        <f t="shared" si="30"/>
        <v>179</v>
      </c>
      <c r="B180" s="13">
        <f t="shared" si="31"/>
        <v>179</v>
      </c>
      <c r="C180" s="26" t="s">
        <v>1737</v>
      </c>
      <c r="D180" s="26"/>
      <c r="E180" s="27" t="s">
        <v>1257</v>
      </c>
      <c r="F180" s="16" t="s">
        <v>1755</v>
      </c>
      <c r="G180" s="26" t="s">
        <v>62</v>
      </c>
      <c r="H180" s="26" t="s">
        <v>1756</v>
      </c>
      <c r="I180" s="26" t="s">
        <v>1757</v>
      </c>
      <c r="J180" s="61" t="s">
        <v>22</v>
      </c>
      <c r="K180" s="26" t="s">
        <v>3378</v>
      </c>
      <c r="L180" s="16" t="s">
        <v>3318</v>
      </c>
      <c r="M180" s="16">
        <v>7</v>
      </c>
      <c r="N180" s="17" t="s">
        <v>659</v>
      </c>
      <c r="O180" s="17" t="str">
        <f t="shared" si="32"/>
        <v>NO</v>
      </c>
      <c r="P180" s="17" t="str">
        <f t="shared" si="29"/>
        <v>🟢</v>
      </c>
      <c r="Q180" s="60"/>
    </row>
    <row r="181" spans="1:86" s="2" customFormat="1" ht="18" customHeight="1" x14ac:dyDescent="0.4">
      <c r="A181" s="7">
        <f t="shared" si="30"/>
        <v>180</v>
      </c>
      <c r="B181" s="13">
        <f t="shared" si="31"/>
        <v>180</v>
      </c>
      <c r="C181" s="26" t="s">
        <v>1737</v>
      </c>
      <c r="D181" s="26"/>
      <c r="E181" s="27" t="s">
        <v>1257</v>
      </c>
      <c r="F181" s="16" t="s">
        <v>1758</v>
      </c>
      <c r="G181" s="26" t="s">
        <v>1759</v>
      </c>
      <c r="H181" s="26" t="s">
        <v>1760</v>
      </c>
      <c r="I181" s="26" t="s">
        <v>1761</v>
      </c>
      <c r="J181" s="61" t="s">
        <v>22</v>
      </c>
      <c r="K181" s="26" t="s">
        <v>1762</v>
      </c>
      <c r="L181" s="16" t="s">
        <v>3318</v>
      </c>
      <c r="M181" s="16">
        <v>8</v>
      </c>
      <c r="N181" s="17" t="s">
        <v>659</v>
      </c>
      <c r="O181" s="17" t="str">
        <f t="shared" si="32"/>
        <v>NO</v>
      </c>
      <c r="P181" s="17" t="str">
        <f t="shared" si="29"/>
        <v>🟢</v>
      </c>
      <c r="Q181" s="6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s="2" customFormat="1" ht="18" hidden="1" customHeight="1" x14ac:dyDescent="0.4">
      <c r="A182" s="7">
        <f t="shared" si="30"/>
        <v>181</v>
      </c>
      <c r="B182" s="7">
        <f t="shared" si="31"/>
        <v>181</v>
      </c>
      <c r="C182" s="8" t="s">
        <v>16</v>
      </c>
      <c r="D182" s="8" t="s">
        <v>46</v>
      </c>
      <c r="E182" s="9" t="str">
        <f>IF(UPPER($J182)="NO","",$N182)</f>
        <v/>
      </c>
      <c r="F182" s="8" t="s">
        <v>837</v>
      </c>
      <c r="G182" s="8" t="s">
        <v>761</v>
      </c>
      <c r="H182" s="8" t="s">
        <v>104</v>
      </c>
      <c r="I182" s="8"/>
      <c r="J182" s="62" t="s">
        <v>71</v>
      </c>
      <c r="K182" s="8" t="s">
        <v>838</v>
      </c>
      <c r="L182" s="8"/>
      <c r="M182" s="8"/>
      <c r="N182" s="9" t="s">
        <v>24</v>
      </c>
      <c r="O182" s="9" t="str">
        <f t="shared" si="32"/>
        <v>NO</v>
      </c>
      <c r="P182" s="9" t="str">
        <f t="shared" si="29"/>
        <v>🔴</v>
      </c>
      <c r="Q182" s="58" t="s">
        <v>839</v>
      </c>
    </row>
    <row r="183" spans="1:86" ht="18" customHeight="1" x14ac:dyDescent="0.4">
      <c r="A183" s="10">
        <f t="shared" si="30"/>
        <v>182</v>
      </c>
      <c r="B183" s="13">
        <f t="shared" si="31"/>
        <v>182</v>
      </c>
      <c r="C183" s="26" t="s">
        <v>1737</v>
      </c>
      <c r="D183" s="26"/>
      <c r="E183" s="27" t="s">
        <v>1257</v>
      </c>
      <c r="F183" s="16" t="s">
        <v>1763</v>
      </c>
      <c r="G183" s="26" t="s">
        <v>1764</v>
      </c>
      <c r="H183" s="26" t="s">
        <v>1765</v>
      </c>
      <c r="I183" s="26" t="s">
        <v>244</v>
      </c>
      <c r="J183" s="61" t="s">
        <v>22</v>
      </c>
      <c r="K183" s="26" t="s">
        <v>1762</v>
      </c>
      <c r="L183" s="16" t="s">
        <v>3318</v>
      </c>
      <c r="M183" s="16">
        <v>9</v>
      </c>
      <c r="N183" s="17" t="s">
        <v>659</v>
      </c>
      <c r="O183" s="17" t="str">
        <f t="shared" si="32"/>
        <v>NO</v>
      </c>
      <c r="P183" s="17" t="str">
        <f t="shared" si="29"/>
        <v>🟢</v>
      </c>
      <c r="Q183" s="60"/>
    </row>
    <row r="184" spans="1:86" ht="18" customHeight="1" x14ac:dyDescent="0.4">
      <c r="A184" s="7">
        <f t="shared" si="30"/>
        <v>183</v>
      </c>
      <c r="B184" s="13">
        <f t="shared" si="31"/>
        <v>183</v>
      </c>
      <c r="C184" s="26" t="s">
        <v>1737</v>
      </c>
      <c r="D184" s="26"/>
      <c r="E184" s="27" t="s">
        <v>1257</v>
      </c>
      <c r="F184" s="16" t="s">
        <v>1766</v>
      </c>
      <c r="G184" s="26" t="s">
        <v>153</v>
      </c>
      <c r="H184" s="26" t="s">
        <v>1767</v>
      </c>
      <c r="I184" s="26" t="s">
        <v>1768</v>
      </c>
      <c r="J184" s="61" t="s">
        <v>22</v>
      </c>
      <c r="K184" s="26" t="s">
        <v>1769</v>
      </c>
      <c r="L184" s="16" t="s">
        <v>3318</v>
      </c>
      <c r="M184" s="16">
        <v>10</v>
      </c>
      <c r="N184" s="17" t="s">
        <v>659</v>
      </c>
      <c r="O184" s="17" t="str">
        <f t="shared" si="32"/>
        <v>NO</v>
      </c>
      <c r="P184" s="17" t="str">
        <f t="shared" si="29"/>
        <v>🟢</v>
      </c>
      <c r="Q184" s="60"/>
    </row>
    <row r="185" spans="1:86" s="2" customFormat="1" ht="18" hidden="1" customHeight="1" x14ac:dyDescent="0.4">
      <c r="A185" s="10">
        <f t="shared" si="30"/>
        <v>184</v>
      </c>
      <c r="B185" s="10">
        <f t="shared" si="31"/>
        <v>184</v>
      </c>
      <c r="C185" s="11" t="s">
        <v>840</v>
      </c>
      <c r="D185" s="11" t="s">
        <v>645</v>
      </c>
      <c r="E185" s="12" t="str">
        <f>IF(UPPER($J185)="NO","",$N185)</f>
        <v/>
      </c>
      <c r="F185" s="11" t="s">
        <v>855</v>
      </c>
      <c r="G185" s="11" t="s">
        <v>856</v>
      </c>
      <c r="H185" s="11" t="s">
        <v>857</v>
      </c>
      <c r="I185" s="11" t="s">
        <v>858</v>
      </c>
      <c r="J185" s="63" t="s">
        <v>71</v>
      </c>
      <c r="K185" s="11" t="s">
        <v>859</v>
      </c>
      <c r="L185" s="11"/>
      <c r="M185" s="11"/>
      <c r="N185" s="12"/>
      <c r="O185" s="12" t="str">
        <f t="shared" si="32"/>
        <v>NO</v>
      </c>
      <c r="P185" s="12" t="str">
        <f t="shared" si="29"/>
        <v>🔴</v>
      </c>
      <c r="Q185" s="59"/>
    </row>
    <row r="186" spans="1:86" ht="18" hidden="1" customHeight="1" x14ac:dyDescent="0.4">
      <c r="A186" s="7">
        <f t="shared" si="30"/>
        <v>185</v>
      </c>
      <c r="B186" s="7">
        <f t="shared" si="31"/>
        <v>185</v>
      </c>
      <c r="C186" s="8" t="s">
        <v>840</v>
      </c>
      <c r="D186" s="8" t="s">
        <v>860</v>
      </c>
      <c r="E186" s="9" t="str">
        <f>IF(UPPER($J186)="NO","",$N186)</f>
        <v/>
      </c>
      <c r="F186" s="8" t="s">
        <v>861</v>
      </c>
      <c r="G186" s="8" t="s">
        <v>862</v>
      </c>
      <c r="H186" s="8" t="s">
        <v>863</v>
      </c>
      <c r="I186" s="8" t="s">
        <v>864</v>
      </c>
      <c r="J186" s="62" t="s">
        <v>71</v>
      </c>
      <c r="K186" s="8" t="s">
        <v>865</v>
      </c>
      <c r="L186" s="8"/>
      <c r="M186" s="8"/>
      <c r="N186" s="9" t="s">
        <v>24</v>
      </c>
      <c r="O186" s="9" t="str">
        <f t="shared" si="32"/>
        <v>NO</v>
      </c>
      <c r="P186" s="9" t="str">
        <f t="shared" si="29"/>
        <v>🔴</v>
      </c>
      <c r="Q186" s="58" t="s">
        <v>866</v>
      </c>
    </row>
    <row r="187" spans="1:86" ht="18" hidden="1" customHeight="1" x14ac:dyDescent="0.4">
      <c r="A187" s="10">
        <f t="shared" si="30"/>
        <v>186</v>
      </c>
      <c r="B187" s="10">
        <f t="shared" si="31"/>
        <v>186</v>
      </c>
      <c r="C187" s="11" t="s">
        <v>840</v>
      </c>
      <c r="D187" s="11" t="s">
        <v>860</v>
      </c>
      <c r="E187" s="12" t="str">
        <f>IF(UPPER($J187)="NO","",$N187)</f>
        <v>VIP</v>
      </c>
      <c r="F187" s="11" t="s">
        <v>867</v>
      </c>
      <c r="G187" s="11" t="s">
        <v>317</v>
      </c>
      <c r="H187" s="11" t="s">
        <v>868</v>
      </c>
      <c r="I187" s="11" t="s">
        <v>869</v>
      </c>
      <c r="J187" s="61" t="s">
        <v>22</v>
      </c>
      <c r="K187" s="11" t="s">
        <v>870</v>
      </c>
      <c r="L187" s="11"/>
      <c r="M187" s="11"/>
      <c r="N187" s="12" t="s">
        <v>24</v>
      </c>
      <c r="O187" s="12" t="str">
        <f t="shared" si="32"/>
        <v>SI</v>
      </c>
      <c r="P187" s="12" t="str">
        <f t="shared" si="29"/>
        <v>🟢</v>
      </c>
      <c r="Q187" s="59" t="s">
        <v>871</v>
      </c>
    </row>
    <row r="188" spans="1:86" ht="18" hidden="1" customHeight="1" x14ac:dyDescent="0.4">
      <c r="A188" s="7">
        <f t="shared" si="30"/>
        <v>187</v>
      </c>
      <c r="B188" s="7">
        <f t="shared" si="31"/>
        <v>187</v>
      </c>
      <c r="C188" s="8" t="s">
        <v>840</v>
      </c>
      <c r="D188" s="8" t="s">
        <v>860</v>
      </c>
      <c r="E188" s="9" t="str">
        <f>IF(UPPER($J188)="NO","",$N188)</f>
        <v/>
      </c>
      <c r="F188" s="8" t="s">
        <v>872</v>
      </c>
      <c r="G188" s="8" t="s">
        <v>873</v>
      </c>
      <c r="H188" s="8" t="s">
        <v>874</v>
      </c>
      <c r="I188" s="8" t="s">
        <v>329</v>
      </c>
      <c r="J188" s="63" t="s">
        <v>71</v>
      </c>
      <c r="K188" s="8" t="s">
        <v>875</v>
      </c>
      <c r="L188" s="8"/>
      <c r="M188" s="8"/>
      <c r="N188" s="9" t="s">
        <v>24</v>
      </c>
      <c r="O188" s="9" t="str">
        <f t="shared" si="32"/>
        <v>NO</v>
      </c>
      <c r="P188" s="9" t="str">
        <f t="shared" si="29"/>
        <v>🔴</v>
      </c>
      <c r="Q188" s="58"/>
    </row>
    <row r="189" spans="1:86" ht="18" hidden="1" customHeight="1" x14ac:dyDescent="0.4">
      <c r="A189" s="10">
        <f t="shared" si="30"/>
        <v>188</v>
      </c>
      <c r="B189" s="10">
        <f t="shared" si="31"/>
        <v>188</v>
      </c>
      <c r="C189" s="11" t="s">
        <v>840</v>
      </c>
      <c r="D189" s="11" t="s">
        <v>860</v>
      </c>
      <c r="E189" s="12" t="str">
        <f>IF(UPPER($J189)="NO","",$N189)</f>
        <v>VIP</v>
      </c>
      <c r="F189" s="11" t="s">
        <v>876</v>
      </c>
      <c r="G189" s="11" t="s">
        <v>877</v>
      </c>
      <c r="H189" s="11" t="s">
        <v>878</v>
      </c>
      <c r="I189" s="11" t="s">
        <v>879</v>
      </c>
      <c r="J189" s="61" t="s">
        <v>22</v>
      </c>
      <c r="K189" s="11" t="s">
        <v>880</v>
      </c>
      <c r="L189" s="11"/>
      <c r="M189" s="11"/>
      <c r="N189" s="12" t="s">
        <v>24</v>
      </c>
      <c r="O189" s="12" t="str">
        <f t="shared" si="32"/>
        <v>SI</v>
      </c>
      <c r="P189" s="12" t="str">
        <f t="shared" si="29"/>
        <v>🟢</v>
      </c>
      <c r="Q189" s="59" t="s">
        <v>881</v>
      </c>
    </row>
    <row r="190" spans="1:86" ht="18" hidden="1" customHeight="1" x14ac:dyDescent="0.4">
      <c r="A190" s="10"/>
      <c r="B190" s="10"/>
      <c r="C190" s="11"/>
      <c r="D190" s="11"/>
      <c r="E190" s="12" t="s">
        <v>24</v>
      </c>
      <c r="F190" s="11"/>
      <c r="G190" s="16" t="s">
        <v>3353</v>
      </c>
      <c r="H190" s="16" t="s">
        <v>1275</v>
      </c>
      <c r="I190" s="16" t="s">
        <v>3339</v>
      </c>
      <c r="J190" s="61" t="s">
        <v>22</v>
      </c>
      <c r="K190" s="11" t="s">
        <v>3333</v>
      </c>
      <c r="L190" s="11"/>
      <c r="M190" s="11"/>
      <c r="N190" s="12"/>
      <c r="O190" s="12"/>
      <c r="P190" s="12"/>
      <c r="Q190" s="59"/>
    </row>
    <row r="191" spans="1:86" ht="18" hidden="1" customHeight="1" x14ac:dyDescent="0.4">
      <c r="A191" s="10"/>
      <c r="B191" s="10"/>
      <c r="C191" s="11"/>
      <c r="D191" s="11"/>
      <c r="E191" s="12" t="s">
        <v>24</v>
      </c>
      <c r="F191" s="11"/>
      <c r="G191" s="16" t="s">
        <v>394</v>
      </c>
      <c r="H191" s="16" t="s">
        <v>687</v>
      </c>
      <c r="I191" s="16" t="s">
        <v>444</v>
      </c>
      <c r="J191" s="61" t="s">
        <v>22</v>
      </c>
      <c r="K191" s="11" t="s">
        <v>3334</v>
      </c>
      <c r="L191" s="11"/>
      <c r="M191" s="11"/>
      <c r="N191" s="12"/>
      <c r="O191" s="12"/>
      <c r="P191" s="12"/>
      <c r="Q191" s="59"/>
    </row>
    <row r="192" spans="1:86" ht="18" hidden="1" customHeight="1" x14ac:dyDescent="0.4">
      <c r="A192" s="10"/>
      <c r="B192" s="10"/>
      <c r="C192" s="11"/>
      <c r="D192" s="11"/>
      <c r="E192" s="12"/>
      <c r="F192" s="11"/>
      <c r="G192" s="16" t="s">
        <v>895</v>
      </c>
      <c r="H192" s="16" t="s">
        <v>3340</v>
      </c>
      <c r="I192" s="16" t="s">
        <v>3341</v>
      </c>
      <c r="J192" s="61" t="s">
        <v>71</v>
      </c>
      <c r="K192" s="11" t="s">
        <v>3335</v>
      </c>
      <c r="L192" s="11"/>
      <c r="M192" s="11"/>
      <c r="N192" s="12"/>
      <c r="O192" s="12"/>
      <c r="P192" s="12"/>
      <c r="Q192" s="59"/>
    </row>
    <row r="193" spans="1:86" ht="18" hidden="1" customHeight="1" x14ac:dyDescent="0.4">
      <c r="A193" s="10"/>
      <c r="B193" s="10"/>
      <c r="C193" s="11"/>
      <c r="D193" s="11"/>
      <c r="E193" s="12" t="s">
        <v>24</v>
      </c>
      <c r="F193" s="11"/>
      <c r="G193" s="16" t="s">
        <v>128</v>
      </c>
      <c r="H193" s="16" t="s">
        <v>189</v>
      </c>
      <c r="I193" s="16" t="s">
        <v>3352</v>
      </c>
      <c r="J193" s="61" t="s">
        <v>22</v>
      </c>
      <c r="K193" s="11" t="s">
        <v>3344</v>
      </c>
      <c r="L193" s="11"/>
      <c r="M193" s="11"/>
      <c r="N193" s="12"/>
      <c r="O193" s="12"/>
      <c r="P193" s="12"/>
      <c r="Q193" s="59"/>
    </row>
    <row r="194" spans="1:86" ht="18" hidden="1" customHeight="1" x14ac:dyDescent="0.4">
      <c r="A194" s="7">
        <f t="shared" ref="A194:A231" si="33">IF(COUNTA(C194:K194)=0,"",ROW()-1)</f>
        <v>193</v>
      </c>
      <c r="B194" s="7">
        <f t="shared" ref="B194:B231" si="34">IF($F194&lt;&gt;"",$A194,"")</f>
        <v>193</v>
      </c>
      <c r="C194" s="8" t="s">
        <v>840</v>
      </c>
      <c r="D194" s="8" t="s">
        <v>882</v>
      </c>
      <c r="E194" s="9" t="str">
        <f t="shared" ref="E194:E231" si="35">IF(UPPER($J194)="NO","",$N194)</f>
        <v/>
      </c>
      <c r="F194" s="8" t="s">
        <v>883</v>
      </c>
      <c r="G194" s="8" t="s">
        <v>873</v>
      </c>
      <c r="H194" s="8" t="s">
        <v>884</v>
      </c>
      <c r="I194" s="8" t="s">
        <v>885</v>
      </c>
      <c r="J194" s="62" t="s">
        <v>71</v>
      </c>
      <c r="K194" s="8" t="s">
        <v>886</v>
      </c>
      <c r="L194" s="8"/>
      <c r="M194" s="8"/>
      <c r="N194" s="9" t="s">
        <v>24</v>
      </c>
      <c r="O194" s="9" t="str">
        <f t="shared" ref="O194:O231" si="36">IF(AND(UPPER($N194)="VIP",UPPER($J194)&lt;&gt;"NO",$F194&lt;&gt;""),"SI","NO")</f>
        <v>NO</v>
      </c>
      <c r="P194" s="9" t="str">
        <f t="shared" ref="P194:P225" si="37">IF(UPPER($J194)="SI","🟢",IF(UPPER($J194)="NO","🔴","🟡"))</f>
        <v>🔴</v>
      </c>
      <c r="Q194" s="58" t="s">
        <v>887</v>
      </c>
    </row>
    <row r="195" spans="1:86" ht="18" hidden="1" customHeight="1" x14ac:dyDescent="0.4">
      <c r="A195" s="10">
        <f t="shared" si="33"/>
        <v>194</v>
      </c>
      <c r="B195" s="10">
        <f t="shared" si="34"/>
        <v>194</v>
      </c>
      <c r="C195" s="11" t="s">
        <v>840</v>
      </c>
      <c r="D195" s="11" t="s">
        <v>888</v>
      </c>
      <c r="E195" s="12" t="str">
        <f t="shared" si="35"/>
        <v>VIP</v>
      </c>
      <c r="F195" s="11" t="s">
        <v>889</v>
      </c>
      <c r="G195" s="11" t="s">
        <v>890</v>
      </c>
      <c r="H195" s="11" t="s">
        <v>891</v>
      </c>
      <c r="I195" s="11" t="s">
        <v>524</v>
      </c>
      <c r="J195" s="61" t="s">
        <v>22</v>
      </c>
      <c r="K195" s="11" t="s">
        <v>892</v>
      </c>
      <c r="L195" s="11"/>
      <c r="M195" s="11"/>
      <c r="N195" s="12" t="s">
        <v>24</v>
      </c>
      <c r="O195" s="12" t="str">
        <f t="shared" si="36"/>
        <v>SI</v>
      </c>
      <c r="P195" s="12" t="str">
        <f t="shared" si="37"/>
        <v>🟢</v>
      </c>
      <c r="Q195" s="59" t="s">
        <v>893</v>
      </c>
    </row>
    <row r="196" spans="1:86" ht="18" hidden="1" customHeight="1" x14ac:dyDescent="0.4">
      <c r="A196" s="7">
        <f t="shared" si="33"/>
        <v>195</v>
      </c>
      <c r="B196" s="7">
        <f t="shared" si="34"/>
        <v>195</v>
      </c>
      <c r="C196" s="8" t="s">
        <v>840</v>
      </c>
      <c r="D196" s="8" t="s">
        <v>751</v>
      </c>
      <c r="E196" s="9" t="str">
        <f t="shared" si="35"/>
        <v/>
      </c>
      <c r="F196" s="8" t="s">
        <v>894</v>
      </c>
      <c r="G196" s="8" t="s">
        <v>895</v>
      </c>
      <c r="H196" s="8" t="s">
        <v>896</v>
      </c>
      <c r="I196" s="8" t="s">
        <v>582</v>
      </c>
      <c r="J196" s="61" t="s">
        <v>71</v>
      </c>
      <c r="K196" s="8" t="s">
        <v>897</v>
      </c>
      <c r="L196" s="8"/>
      <c r="M196" s="8"/>
      <c r="N196" s="9" t="s">
        <v>24</v>
      </c>
      <c r="O196" s="9" t="str">
        <f t="shared" si="36"/>
        <v>NO</v>
      </c>
      <c r="P196" s="9" t="str">
        <f t="shared" si="37"/>
        <v>🔴</v>
      </c>
      <c r="Q196" s="58" t="s">
        <v>898</v>
      </c>
    </row>
    <row r="197" spans="1:86" s="5" customFormat="1" ht="18" hidden="1" customHeight="1" x14ac:dyDescent="0.4">
      <c r="A197" s="10">
        <f t="shared" si="33"/>
        <v>196</v>
      </c>
      <c r="B197" s="10">
        <f t="shared" si="34"/>
        <v>196</v>
      </c>
      <c r="C197" s="11" t="s">
        <v>840</v>
      </c>
      <c r="D197" s="11" t="s">
        <v>899</v>
      </c>
      <c r="E197" s="12" t="str">
        <f t="shared" si="35"/>
        <v/>
      </c>
      <c r="F197" s="11" t="s">
        <v>900</v>
      </c>
      <c r="G197" s="11" t="s">
        <v>454</v>
      </c>
      <c r="H197" s="11" t="s">
        <v>578</v>
      </c>
      <c r="I197" s="11" t="s">
        <v>506</v>
      </c>
      <c r="J197" s="62" t="s">
        <v>71</v>
      </c>
      <c r="K197" s="11" t="s">
        <v>901</v>
      </c>
      <c r="L197" s="11"/>
      <c r="M197" s="11"/>
      <c r="N197" s="12" t="s">
        <v>24</v>
      </c>
      <c r="O197" s="12" t="str">
        <f t="shared" si="36"/>
        <v>NO</v>
      </c>
      <c r="P197" s="12" t="str">
        <f t="shared" si="37"/>
        <v>🔴</v>
      </c>
      <c r="Q197" s="59" t="s">
        <v>902</v>
      </c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ht="18" hidden="1" customHeight="1" x14ac:dyDescent="0.4">
      <c r="A198" s="7">
        <f t="shared" si="33"/>
        <v>197</v>
      </c>
      <c r="B198" s="7">
        <f t="shared" si="34"/>
        <v>197</v>
      </c>
      <c r="C198" s="8" t="s">
        <v>903</v>
      </c>
      <c r="D198" s="8" t="s">
        <v>645</v>
      </c>
      <c r="E198" s="9" t="str">
        <f t="shared" si="35"/>
        <v>VIP</v>
      </c>
      <c r="F198" s="8" t="s">
        <v>904</v>
      </c>
      <c r="G198" s="8" t="s">
        <v>68</v>
      </c>
      <c r="H198" s="8" t="s">
        <v>905</v>
      </c>
      <c r="I198" s="8"/>
      <c r="J198" s="61" t="s">
        <v>22</v>
      </c>
      <c r="K198" s="8" t="s">
        <v>906</v>
      </c>
      <c r="L198" s="8"/>
      <c r="M198" s="8"/>
      <c r="N198" s="9" t="s">
        <v>24</v>
      </c>
      <c r="O198" s="9" t="str">
        <f t="shared" si="36"/>
        <v>SI</v>
      </c>
      <c r="P198" s="9" t="str">
        <f t="shared" si="37"/>
        <v>🟢</v>
      </c>
      <c r="Q198" s="58" t="s">
        <v>907</v>
      </c>
    </row>
    <row r="199" spans="1:86" ht="18" hidden="1" customHeight="1" x14ac:dyDescent="0.4">
      <c r="A199" s="10">
        <f t="shared" si="33"/>
        <v>198</v>
      </c>
      <c r="B199" s="10">
        <f t="shared" si="34"/>
        <v>198</v>
      </c>
      <c r="C199" s="11" t="s">
        <v>903</v>
      </c>
      <c r="D199" s="11" t="s">
        <v>908</v>
      </c>
      <c r="E199" s="12" t="str">
        <f t="shared" si="35"/>
        <v>VIP</v>
      </c>
      <c r="F199" s="11" t="s">
        <v>909</v>
      </c>
      <c r="G199" s="11" t="s">
        <v>910</v>
      </c>
      <c r="H199" s="11" t="s">
        <v>911</v>
      </c>
      <c r="I199" s="11"/>
      <c r="J199" s="61" t="s">
        <v>22</v>
      </c>
      <c r="K199" s="11" t="s">
        <v>912</v>
      </c>
      <c r="L199" s="11"/>
      <c r="M199" s="11"/>
      <c r="N199" s="12" t="s">
        <v>24</v>
      </c>
      <c r="O199" s="12" t="str">
        <f t="shared" si="36"/>
        <v>SI</v>
      </c>
      <c r="P199" s="12" t="str">
        <f t="shared" si="37"/>
        <v>🟢</v>
      </c>
      <c r="Q199" s="59" t="s">
        <v>913</v>
      </c>
    </row>
    <row r="200" spans="1:86" ht="18" hidden="1" customHeight="1" x14ac:dyDescent="0.4">
      <c r="A200" s="7">
        <f t="shared" si="33"/>
        <v>199</v>
      </c>
      <c r="B200" s="7">
        <f t="shared" si="34"/>
        <v>199</v>
      </c>
      <c r="C200" s="8" t="s">
        <v>903</v>
      </c>
      <c r="D200" s="8" t="s">
        <v>751</v>
      </c>
      <c r="E200" s="9" t="str">
        <f t="shared" si="35"/>
        <v>VIP</v>
      </c>
      <c r="F200" s="8" t="s">
        <v>914</v>
      </c>
      <c r="G200" s="8" t="s">
        <v>114</v>
      </c>
      <c r="H200" s="8" t="s">
        <v>915</v>
      </c>
      <c r="I200" s="8" t="s">
        <v>916</v>
      </c>
      <c r="J200" s="62" t="s">
        <v>57</v>
      </c>
      <c r="K200" s="8" t="s">
        <v>917</v>
      </c>
      <c r="L200" s="8"/>
      <c r="M200" s="8"/>
      <c r="N200" s="9" t="s">
        <v>24</v>
      </c>
      <c r="O200" s="9" t="str">
        <f t="shared" si="36"/>
        <v>SI</v>
      </c>
      <c r="P200" s="9" t="str">
        <f t="shared" si="37"/>
        <v>🟡</v>
      </c>
      <c r="Q200" s="58" t="s">
        <v>918</v>
      </c>
    </row>
    <row r="201" spans="1:86" ht="18" hidden="1" customHeight="1" x14ac:dyDescent="0.4">
      <c r="A201" s="10">
        <f t="shared" si="33"/>
        <v>200</v>
      </c>
      <c r="B201" s="10">
        <f t="shared" si="34"/>
        <v>200</v>
      </c>
      <c r="C201" s="11" t="s">
        <v>903</v>
      </c>
      <c r="D201" s="11" t="s">
        <v>751</v>
      </c>
      <c r="E201" s="12" t="str">
        <f t="shared" si="35"/>
        <v>VIP</v>
      </c>
      <c r="F201" s="11" t="s">
        <v>919</v>
      </c>
      <c r="G201" s="11" t="s">
        <v>920</v>
      </c>
      <c r="H201" s="11" t="s">
        <v>921</v>
      </c>
      <c r="I201" s="11" t="s">
        <v>922</v>
      </c>
      <c r="J201" s="61" t="s">
        <v>22</v>
      </c>
      <c r="K201" s="11" t="s">
        <v>923</v>
      </c>
      <c r="L201" s="11"/>
      <c r="M201" s="11"/>
      <c r="N201" s="12" t="s">
        <v>24</v>
      </c>
      <c r="O201" s="12" t="str">
        <f t="shared" si="36"/>
        <v>SI</v>
      </c>
      <c r="P201" s="12" t="str">
        <f t="shared" si="37"/>
        <v>🟢</v>
      </c>
      <c r="Q201" s="59" t="s">
        <v>924</v>
      </c>
    </row>
    <row r="202" spans="1:86" ht="18" hidden="1" customHeight="1" x14ac:dyDescent="0.4">
      <c r="A202" s="7">
        <f t="shared" si="33"/>
        <v>201</v>
      </c>
      <c r="B202" s="7">
        <f t="shared" si="34"/>
        <v>201</v>
      </c>
      <c r="C202" s="8" t="s">
        <v>903</v>
      </c>
      <c r="D202" s="8" t="s">
        <v>925</v>
      </c>
      <c r="E202" s="9" t="str">
        <f t="shared" si="35"/>
        <v/>
      </c>
      <c r="F202" s="8" t="s">
        <v>926</v>
      </c>
      <c r="G202" s="8" t="s">
        <v>640</v>
      </c>
      <c r="H202" s="8" t="s">
        <v>42</v>
      </c>
      <c r="I202" s="8" t="s">
        <v>927</v>
      </c>
      <c r="J202" s="64" t="s">
        <v>71</v>
      </c>
      <c r="K202" s="8" t="s">
        <v>928</v>
      </c>
      <c r="L202" s="8"/>
      <c r="M202" s="8"/>
      <c r="N202" s="9" t="s">
        <v>24</v>
      </c>
      <c r="O202" s="9" t="str">
        <f t="shared" si="36"/>
        <v>NO</v>
      </c>
      <c r="P202" s="9" t="str">
        <f t="shared" si="37"/>
        <v>🔴</v>
      </c>
      <c r="Q202" s="58" t="s">
        <v>929</v>
      </c>
    </row>
    <row r="203" spans="1:86" ht="18" hidden="1" customHeight="1" x14ac:dyDescent="0.4">
      <c r="A203" s="10">
        <f t="shared" si="33"/>
        <v>202</v>
      </c>
      <c r="B203" s="10">
        <f t="shared" si="34"/>
        <v>202</v>
      </c>
      <c r="C203" s="11" t="s">
        <v>903</v>
      </c>
      <c r="D203" s="11" t="s">
        <v>899</v>
      </c>
      <c r="E203" s="12" t="str">
        <f t="shared" si="35"/>
        <v/>
      </c>
      <c r="F203" s="11" t="s">
        <v>930</v>
      </c>
      <c r="G203" s="11" t="s">
        <v>91</v>
      </c>
      <c r="H203" s="11" t="s">
        <v>931</v>
      </c>
      <c r="I203" s="11" t="s">
        <v>932</v>
      </c>
      <c r="J203" s="63" t="s">
        <v>71</v>
      </c>
      <c r="K203" s="11" t="s">
        <v>933</v>
      </c>
      <c r="L203" s="11"/>
      <c r="M203" s="11"/>
      <c r="N203" s="12" t="s">
        <v>24</v>
      </c>
      <c r="O203" s="12" t="str">
        <f t="shared" si="36"/>
        <v>NO</v>
      </c>
      <c r="P203" s="12" t="str">
        <f t="shared" si="37"/>
        <v>🔴</v>
      </c>
      <c r="Q203" s="59"/>
    </row>
    <row r="204" spans="1:86" s="5" customFormat="1" ht="18" hidden="1" customHeight="1" x14ac:dyDescent="0.4">
      <c r="A204" s="7">
        <f t="shared" si="33"/>
        <v>203</v>
      </c>
      <c r="B204" s="7">
        <f t="shared" si="34"/>
        <v>203</v>
      </c>
      <c r="C204" s="8" t="s">
        <v>903</v>
      </c>
      <c r="D204" s="8" t="s">
        <v>751</v>
      </c>
      <c r="E204" s="9" t="str">
        <f t="shared" si="35"/>
        <v/>
      </c>
      <c r="F204" s="8" t="s">
        <v>934</v>
      </c>
      <c r="G204" s="8" t="s">
        <v>935</v>
      </c>
      <c r="H204" s="8" t="s">
        <v>936</v>
      </c>
      <c r="I204" s="8" t="s">
        <v>461</v>
      </c>
      <c r="J204" s="62" t="s">
        <v>71</v>
      </c>
      <c r="K204" s="8" t="s">
        <v>937</v>
      </c>
      <c r="L204" s="8"/>
      <c r="M204" s="8"/>
      <c r="N204" s="9" t="s">
        <v>24</v>
      </c>
      <c r="O204" s="9" t="str">
        <f t="shared" si="36"/>
        <v>NO</v>
      </c>
      <c r="P204" s="9" t="str">
        <f t="shared" si="37"/>
        <v>🔴</v>
      </c>
      <c r="Q204" s="58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ht="18" hidden="1" customHeight="1" x14ac:dyDescent="0.4">
      <c r="A205" s="10">
        <f t="shared" si="33"/>
        <v>204</v>
      </c>
      <c r="B205" s="10">
        <f t="shared" si="34"/>
        <v>204</v>
      </c>
      <c r="C205" s="11" t="s">
        <v>938</v>
      </c>
      <c r="D205" s="11" t="s">
        <v>939</v>
      </c>
      <c r="E205" s="12" t="str">
        <f t="shared" si="35"/>
        <v>VIP</v>
      </c>
      <c r="F205" s="11" t="s">
        <v>940</v>
      </c>
      <c r="G205" s="11" t="s">
        <v>941</v>
      </c>
      <c r="H205" s="11" t="s">
        <v>99</v>
      </c>
      <c r="I205" s="11" t="s">
        <v>942</v>
      </c>
      <c r="J205" s="62" t="s">
        <v>22</v>
      </c>
      <c r="K205" s="11" t="s">
        <v>943</v>
      </c>
      <c r="L205" s="11"/>
      <c r="M205" s="11"/>
      <c r="N205" s="12" t="s">
        <v>24</v>
      </c>
      <c r="O205" s="12" t="str">
        <f t="shared" si="36"/>
        <v>SI</v>
      </c>
      <c r="P205" s="12" t="str">
        <f t="shared" si="37"/>
        <v>🟢</v>
      </c>
      <c r="Q205" s="59" t="s">
        <v>944</v>
      </c>
    </row>
    <row r="206" spans="1:86" ht="18" hidden="1" customHeight="1" x14ac:dyDescent="0.4">
      <c r="A206" s="7">
        <f t="shared" si="33"/>
        <v>205</v>
      </c>
      <c r="B206" s="7">
        <f t="shared" si="34"/>
        <v>205</v>
      </c>
      <c r="C206" s="8" t="s">
        <v>938</v>
      </c>
      <c r="D206" s="8" t="s">
        <v>939</v>
      </c>
      <c r="E206" s="9" t="str">
        <f t="shared" si="35"/>
        <v>VIP</v>
      </c>
      <c r="F206" s="8" t="s">
        <v>945</v>
      </c>
      <c r="G206" s="8" t="s">
        <v>322</v>
      </c>
      <c r="H206" s="8" t="s">
        <v>946</v>
      </c>
      <c r="I206" s="8" t="s">
        <v>947</v>
      </c>
      <c r="J206" s="61" t="s">
        <v>22</v>
      </c>
      <c r="K206" s="8" t="s">
        <v>948</v>
      </c>
      <c r="L206" s="8"/>
      <c r="M206" s="8"/>
      <c r="N206" s="9" t="s">
        <v>24</v>
      </c>
      <c r="O206" s="9" t="str">
        <f t="shared" si="36"/>
        <v>SI</v>
      </c>
      <c r="P206" s="9" t="str">
        <f t="shared" si="37"/>
        <v>🟢</v>
      </c>
      <c r="Q206" s="58" t="s">
        <v>949</v>
      </c>
    </row>
    <row r="207" spans="1:86" ht="18" hidden="1" customHeight="1" x14ac:dyDescent="0.4">
      <c r="A207" s="10">
        <f t="shared" si="33"/>
        <v>206</v>
      </c>
      <c r="B207" s="10">
        <f t="shared" si="34"/>
        <v>206</v>
      </c>
      <c r="C207" s="11" t="s">
        <v>938</v>
      </c>
      <c r="D207" s="11" t="s">
        <v>939</v>
      </c>
      <c r="E207" s="12" t="str">
        <f t="shared" si="35"/>
        <v>VIP</v>
      </c>
      <c r="F207" s="11" t="s">
        <v>950</v>
      </c>
      <c r="G207" s="11" t="s">
        <v>91</v>
      </c>
      <c r="H207" s="11" t="s">
        <v>400</v>
      </c>
      <c r="I207" s="11" t="s">
        <v>683</v>
      </c>
      <c r="J207" s="61" t="s">
        <v>22</v>
      </c>
      <c r="K207" s="11" t="s">
        <v>951</v>
      </c>
      <c r="L207" s="11"/>
      <c r="M207" s="11"/>
      <c r="N207" s="12" t="s">
        <v>24</v>
      </c>
      <c r="O207" s="12" t="str">
        <f t="shared" si="36"/>
        <v>SI</v>
      </c>
      <c r="P207" s="12" t="str">
        <f t="shared" si="37"/>
        <v>🟢</v>
      </c>
      <c r="Q207" s="59" t="s">
        <v>952</v>
      </c>
    </row>
    <row r="208" spans="1:86" ht="18" hidden="1" customHeight="1" x14ac:dyDescent="0.4">
      <c r="A208" s="7">
        <f t="shared" si="33"/>
        <v>207</v>
      </c>
      <c r="B208" s="7">
        <f t="shared" si="34"/>
        <v>207</v>
      </c>
      <c r="C208" s="8" t="s">
        <v>938</v>
      </c>
      <c r="D208" s="8" t="s">
        <v>939</v>
      </c>
      <c r="E208" s="9" t="str">
        <f t="shared" si="35"/>
        <v>VIP</v>
      </c>
      <c r="F208" s="8" t="s">
        <v>953</v>
      </c>
      <c r="G208" s="8" t="s">
        <v>690</v>
      </c>
      <c r="H208" s="8" t="s">
        <v>954</v>
      </c>
      <c r="I208" s="8" t="s">
        <v>955</v>
      </c>
      <c r="J208" s="61" t="s">
        <v>22</v>
      </c>
      <c r="K208" s="8" t="s">
        <v>956</v>
      </c>
      <c r="L208" s="8"/>
      <c r="M208" s="8"/>
      <c r="N208" s="9" t="s">
        <v>24</v>
      </c>
      <c r="O208" s="9" t="str">
        <f t="shared" si="36"/>
        <v>SI</v>
      </c>
      <c r="P208" s="9" t="str">
        <f t="shared" si="37"/>
        <v>🟢</v>
      </c>
      <c r="Q208" s="58" t="s">
        <v>957</v>
      </c>
    </row>
    <row r="209" spans="1:86" ht="18" hidden="1" customHeight="1" x14ac:dyDescent="0.4">
      <c r="A209" s="10">
        <f t="shared" si="33"/>
        <v>208</v>
      </c>
      <c r="B209" s="10">
        <f t="shared" si="34"/>
        <v>208</v>
      </c>
      <c r="C209" s="11" t="s">
        <v>938</v>
      </c>
      <c r="D209" s="11" t="s">
        <v>939</v>
      </c>
      <c r="E209" s="12" t="str">
        <f t="shared" si="35"/>
        <v>VIP</v>
      </c>
      <c r="F209" s="11" t="s">
        <v>958</v>
      </c>
      <c r="G209" s="11" t="s">
        <v>615</v>
      </c>
      <c r="H209" s="11" t="s">
        <v>959</v>
      </c>
      <c r="I209" s="11" t="s">
        <v>960</v>
      </c>
      <c r="J209" s="62" t="s">
        <v>57</v>
      </c>
      <c r="K209" s="11" t="s">
        <v>961</v>
      </c>
      <c r="L209" s="11"/>
      <c r="M209" s="11"/>
      <c r="N209" s="12" t="s">
        <v>24</v>
      </c>
      <c r="O209" s="12" t="str">
        <f t="shared" si="36"/>
        <v>SI</v>
      </c>
      <c r="P209" s="12" t="str">
        <f t="shared" si="37"/>
        <v>🟡</v>
      </c>
      <c r="Q209" s="59" t="s">
        <v>962</v>
      </c>
    </row>
    <row r="210" spans="1:86" ht="18" hidden="1" customHeight="1" x14ac:dyDescent="0.4">
      <c r="A210" s="7">
        <f t="shared" si="33"/>
        <v>209</v>
      </c>
      <c r="B210" s="7">
        <f t="shared" si="34"/>
        <v>209</v>
      </c>
      <c r="C210" s="8" t="s">
        <v>938</v>
      </c>
      <c r="D210" s="8" t="s">
        <v>939</v>
      </c>
      <c r="E210" s="9" t="str">
        <f t="shared" si="35"/>
        <v/>
      </c>
      <c r="F210" s="8" t="s">
        <v>963</v>
      </c>
      <c r="G210" s="8" t="s">
        <v>394</v>
      </c>
      <c r="H210" s="8" t="s">
        <v>964</v>
      </c>
      <c r="I210" s="8" t="s">
        <v>965</v>
      </c>
      <c r="J210" s="63" t="s">
        <v>71</v>
      </c>
      <c r="K210" s="8" t="s">
        <v>966</v>
      </c>
      <c r="L210" s="8"/>
      <c r="M210" s="8"/>
      <c r="N210" s="9" t="s">
        <v>24</v>
      </c>
      <c r="O210" s="9" t="str">
        <f t="shared" si="36"/>
        <v>NO</v>
      </c>
      <c r="P210" s="9" t="str">
        <f t="shared" si="37"/>
        <v>🔴</v>
      </c>
      <c r="Q210" s="58"/>
    </row>
    <row r="211" spans="1:86" ht="18" hidden="1" customHeight="1" x14ac:dyDescent="0.4">
      <c r="A211" s="10">
        <f t="shared" si="33"/>
        <v>210</v>
      </c>
      <c r="B211" s="10">
        <f t="shared" si="34"/>
        <v>210</v>
      </c>
      <c r="C211" s="11" t="s">
        <v>938</v>
      </c>
      <c r="D211" s="11" t="s">
        <v>939</v>
      </c>
      <c r="E211" s="12" t="str">
        <f t="shared" si="35"/>
        <v/>
      </c>
      <c r="F211" s="11" t="s">
        <v>967</v>
      </c>
      <c r="G211" s="11" t="s">
        <v>114</v>
      </c>
      <c r="H211" s="11" t="s">
        <v>968</v>
      </c>
      <c r="I211" s="11" t="s">
        <v>969</v>
      </c>
      <c r="J211" s="62" t="s">
        <v>71</v>
      </c>
      <c r="K211" s="11" t="s">
        <v>970</v>
      </c>
      <c r="L211" s="11"/>
      <c r="M211" s="11"/>
      <c r="N211" s="12" t="s">
        <v>24</v>
      </c>
      <c r="O211" s="12" t="str">
        <f t="shared" si="36"/>
        <v>NO</v>
      </c>
      <c r="P211" s="12" t="str">
        <f t="shared" si="37"/>
        <v>🔴</v>
      </c>
      <c r="Q211" s="59" t="s">
        <v>971</v>
      </c>
    </row>
    <row r="212" spans="1:86" ht="18" hidden="1" customHeight="1" x14ac:dyDescent="0.4">
      <c r="A212" s="7">
        <f t="shared" si="33"/>
        <v>211</v>
      </c>
      <c r="B212" s="7">
        <f t="shared" si="34"/>
        <v>211</v>
      </c>
      <c r="C212" s="8" t="s">
        <v>938</v>
      </c>
      <c r="D212" s="8" t="s">
        <v>751</v>
      </c>
      <c r="E212" s="9" t="str">
        <f t="shared" si="35"/>
        <v>VIP</v>
      </c>
      <c r="F212" s="8" t="s">
        <v>972</v>
      </c>
      <c r="G212" s="8" t="s">
        <v>973</v>
      </c>
      <c r="H212" s="8" t="s">
        <v>974</v>
      </c>
      <c r="I212" s="8" t="s">
        <v>975</v>
      </c>
      <c r="J212" s="61" t="s">
        <v>22</v>
      </c>
      <c r="K212" s="8" t="s">
        <v>976</v>
      </c>
      <c r="L212" s="8"/>
      <c r="M212" s="8"/>
      <c r="N212" s="9" t="s">
        <v>24</v>
      </c>
      <c r="O212" s="9" t="str">
        <f t="shared" si="36"/>
        <v>SI</v>
      </c>
      <c r="P212" s="9" t="str">
        <f t="shared" si="37"/>
        <v>🟢</v>
      </c>
      <c r="Q212" s="58" t="s">
        <v>977</v>
      </c>
    </row>
    <row r="213" spans="1:86" ht="18" hidden="1" customHeight="1" x14ac:dyDescent="0.4">
      <c r="A213" s="10">
        <f t="shared" si="33"/>
        <v>212</v>
      </c>
      <c r="B213" s="10">
        <f t="shared" si="34"/>
        <v>212</v>
      </c>
      <c r="C213" s="11" t="s">
        <v>938</v>
      </c>
      <c r="D213" s="11" t="s">
        <v>95</v>
      </c>
      <c r="E213" s="12" t="str">
        <f t="shared" si="35"/>
        <v>VIP</v>
      </c>
      <c r="F213" s="11" t="s">
        <v>978</v>
      </c>
      <c r="G213" s="11" t="s">
        <v>724</v>
      </c>
      <c r="H213" s="11" t="s">
        <v>979</v>
      </c>
      <c r="I213" s="11" t="s">
        <v>172</v>
      </c>
      <c r="J213" s="61" t="s">
        <v>22</v>
      </c>
      <c r="K213" s="11" t="s">
        <v>980</v>
      </c>
      <c r="L213" s="11"/>
      <c r="M213" s="11"/>
      <c r="N213" s="12" t="s">
        <v>24</v>
      </c>
      <c r="O213" s="12" t="str">
        <f t="shared" si="36"/>
        <v>SI</v>
      </c>
      <c r="P213" s="12" t="str">
        <f t="shared" si="37"/>
        <v>🟢</v>
      </c>
      <c r="Q213" s="59" t="s">
        <v>981</v>
      </c>
    </row>
    <row r="214" spans="1:86" ht="18" hidden="1" customHeight="1" x14ac:dyDescent="0.4">
      <c r="A214" s="7">
        <f t="shared" si="33"/>
        <v>213</v>
      </c>
      <c r="B214" s="7">
        <f t="shared" si="34"/>
        <v>213</v>
      </c>
      <c r="C214" s="8" t="s">
        <v>938</v>
      </c>
      <c r="D214" s="8"/>
      <c r="E214" s="9" t="str">
        <f t="shared" si="35"/>
        <v>VIP</v>
      </c>
      <c r="F214" s="8" t="s">
        <v>982</v>
      </c>
      <c r="G214" s="8" t="s">
        <v>355</v>
      </c>
      <c r="H214" s="8" t="s">
        <v>983</v>
      </c>
      <c r="I214" s="8" t="s">
        <v>984</v>
      </c>
      <c r="J214" s="61" t="s">
        <v>22</v>
      </c>
      <c r="K214" s="8" t="s">
        <v>985</v>
      </c>
      <c r="L214" s="8"/>
      <c r="M214" s="8"/>
      <c r="N214" s="9" t="s">
        <v>24</v>
      </c>
      <c r="O214" s="9" t="str">
        <f t="shared" si="36"/>
        <v>SI</v>
      </c>
      <c r="P214" s="9" t="str">
        <f t="shared" si="37"/>
        <v>🟢</v>
      </c>
      <c r="Q214" s="58" t="s">
        <v>986</v>
      </c>
    </row>
    <row r="215" spans="1:86" ht="18" hidden="1" customHeight="1" x14ac:dyDescent="0.4">
      <c r="A215" s="10">
        <f t="shared" si="33"/>
        <v>214</v>
      </c>
      <c r="B215" s="10">
        <f t="shared" si="34"/>
        <v>214</v>
      </c>
      <c r="C215" s="11" t="s">
        <v>938</v>
      </c>
      <c r="D215" s="11"/>
      <c r="E215" s="12" t="str">
        <f t="shared" si="35"/>
        <v>VIP</v>
      </c>
      <c r="F215" s="11" t="s">
        <v>987</v>
      </c>
      <c r="G215" s="11" t="s">
        <v>114</v>
      </c>
      <c r="H215" s="11" t="s">
        <v>116</v>
      </c>
      <c r="I215" s="11" t="s">
        <v>988</v>
      </c>
      <c r="J215" s="61" t="s">
        <v>22</v>
      </c>
      <c r="K215" s="11" t="s">
        <v>989</v>
      </c>
      <c r="L215" s="11"/>
      <c r="M215" s="11"/>
      <c r="N215" s="12" t="s">
        <v>24</v>
      </c>
      <c r="O215" s="12" t="str">
        <f t="shared" si="36"/>
        <v>SI</v>
      </c>
      <c r="P215" s="12" t="str">
        <f t="shared" si="37"/>
        <v>🟢</v>
      </c>
      <c r="Q215" s="59" t="s">
        <v>990</v>
      </c>
    </row>
    <row r="216" spans="1:86" ht="18" hidden="1" customHeight="1" x14ac:dyDescent="0.4">
      <c r="A216" s="7">
        <f t="shared" si="33"/>
        <v>215</v>
      </c>
      <c r="B216" s="7">
        <f t="shared" si="34"/>
        <v>215</v>
      </c>
      <c r="C216" s="8" t="s">
        <v>938</v>
      </c>
      <c r="D216" s="8"/>
      <c r="E216" s="9" t="str">
        <f t="shared" si="35"/>
        <v>VIP</v>
      </c>
      <c r="F216" s="8" t="s">
        <v>991</v>
      </c>
      <c r="G216" s="8" t="s">
        <v>992</v>
      </c>
      <c r="H216" s="8" t="s">
        <v>993</v>
      </c>
      <c r="I216" s="8" t="s">
        <v>994</v>
      </c>
      <c r="J216" s="61" t="s">
        <v>22</v>
      </c>
      <c r="K216" s="8" t="s">
        <v>995</v>
      </c>
      <c r="L216" s="8"/>
      <c r="M216" s="8"/>
      <c r="N216" s="9" t="s">
        <v>24</v>
      </c>
      <c r="O216" s="9" t="str">
        <f t="shared" si="36"/>
        <v>SI</v>
      </c>
      <c r="P216" s="9" t="str">
        <f t="shared" si="37"/>
        <v>🟢</v>
      </c>
      <c r="Q216" s="58" t="s">
        <v>996</v>
      </c>
    </row>
    <row r="217" spans="1:86" ht="18" hidden="1" customHeight="1" x14ac:dyDescent="0.4">
      <c r="A217" s="10">
        <f t="shared" si="33"/>
        <v>216</v>
      </c>
      <c r="B217" s="10">
        <f t="shared" si="34"/>
        <v>216</v>
      </c>
      <c r="C217" s="11" t="s">
        <v>938</v>
      </c>
      <c r="D217" s="11"/>
      <c r="E217" s="12" t="str">
        <f t="shared" si="35"/>
        <v>VIP</v>
      </c>
      <c r="F217" s="11" t="s">
        <v>997</v>
      </c>
      <c r="G217" s="11" t="s">
        <v>998</v>
      </c>
      <c r="H217" s="11" t="s">
        <v>946</v>
      </c>
      <c r="I217" s="11" t="s">
        <v>999</v>
      </c>
      <c r="J217" s="62" t="s">
        <v>22</v>
      </c>
      <c r="K217" s="11" t="s">
        <v>1000</v>
      </c>
      <c r="L217" s="11"/>
      <c r="M217" s="11"/>
      <c r="N217" s="12" t="s">
        <v>24</v>
      </c>
      <c r="O217" s="12" t="str">
        <f t="shared" si="36"/>
        <v>SI</v>
      </c>
      <c r="P217" s="12" t="str">
        <f t="shared" si="37"/>
        <v>🟢</v>
      </c>
      <c r="Q217" s="59" t="s">
        <v>1001</v>
      </c>
    </row>
    <row r="218" spans="1:86" ht="18" hidden="1" customHeight="1" x14ac:dyDescent="0.4">
      <c r="A218" s="7">
        <f t="shared" si="33"/>
        <v>217</v>
      </c>
      <c r="B218" s="7">
        <f t="shared" si="34"/>
        <v>217</v>
      </c>
      <c r="C218" s="8" t="s">
        <v>938</v>
      </c>
      <c r="D218" s="8"/>
      <c r="E218" s="9" t="str">
        <f t="shared" si="35"/>
        <v/>
      </c>
      <c r="F218" s="8" t="s">
        <v>1002</v>
      </c>
      <c r="G218" s="8" t="s">
        <v>473</v>
      </c>
      <c r="H218" s="8" t="s">
        <v>1003</v>
      </c>
      <c r="I218" s="8" t="s">
        <v>1004</v>
      </c>
      <c r="J218" s="61" t="s">
        <v>71</v>
      </c>
      <c r="K218" s="8" t="s">
        <v>1005</v>
      </c>
      <c r="L218" s="8"/>
      <c r="M218" s="8"/>
      <c r="N218" s="9" t="s">
        <v>24</v>
      </c>
      <c r="O218" s="9" t="str">
        <f t="shared" si="36"/>
        <v>NO</v>
      </c>
      <c r="P218" s="9" t="str">
        <f t="shared" si="37"/>
        <v>🔴</v>
      </c>
      <c r="Q218" s="58" t="s">
        <v>1006</v>
      </c>
    </row>
    <row r="219" spans="1:86" s="5" customFormat="1" ht="18" hidden="1" customHeight="1" x14ac:dyDescent="0.4">
      <c r="A219" s="10">
        <f t="shared" si="33"/>
        <v>218</v>
      </c>
      <c r="B219" s="10">
        <f t="shared" si="34"/>
        <v>218</v>
      </c>
      <c r="C219" s="11" t="s">
        <v>938</v>
      </c>
      <c r="D219" s="11"/>
      <c r="E219" s="12" t="str">
        <f t="shared" si="35"/>
        <v>VIP</v>
      </c>
      <c r="F219" s="11" t="s">
        <v>1007</v>
      </c>
      <c r="G219" s="11" t="s">
        <v>1008</v>
      </c>
      <c r="H219" s="11" t="s">
        <v>1009</v>
      </c>
      <c r="I219" s="11" t="s">
        <v>1010</v>
      </c>
      <c r="J219" s="61" t="s">
        <v>22</v>
      </c>
      <c r="K219" s="11" t="s">
        <v>1011</v>
      </c>
      <c r="L219" s="11"/>
      <c r="M219" s="11"/>
      <c r="N219" s="12" t="s">
        <v>24</v>
      </c>
      <c r="O219" s="12" t="str">
        <f t="shared" si="36"/>
        <v>SI</v>
      </c>
      <c r="P219" s="12" t="str">
        <f t="shared" si="37"/>
        <v>🟢</v>
      </c>
      <c r="Q219" s="59" t="s">
        <v>1012</v>
      </c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ht="18" hidden="1" customHeight="1" x14ac:dyDescent="0.4">
      <c r="A220" s="7">
        <f t="shared" si="33"/>
        <v>219</v>
      </c>
      <c r="B220" s="7">
        <f t="shared" si="34"/>
        <v>219</v>
      </c>
      <c r="C220" s="8" t="s">
        <v>1013</v>
      </c>
      <c r="D220" s="8" t="s">
        <v>315</v>
      </c>
      <c r="E220" s="9" t="str">
        <f t="shared" si="35"/>
        <v>VIP</v>
      </c>
      <c r="F220" s="8" t="s">
        <v>1014</v>
      </c>
      <c r="G220" s="8" t="s">
        <v>1015</v>
      </c>
      <c r="H220" s="8" t="s">
        <v>1016</v>
      </c>
      <c r="I220" s="8" t="s">
        <v>1017</v>
      </c>
      <c r="J220" s="61" t="s">
        <v>22</v>
      </c>
      <c r="K220" s="8" t="s">
        <v>1018</v>
      </c>
      <c r="L220" s="8"/>
      <c r="M220" s="8"/>
      <c r="N220" s="9" t="s">
        <v>24</v>
      </c>
      <c r="O220" s="9" t="str">
        <f t="shared" si="36"/>
        <v>SI</v>
      </c>
      <c r="P220" s="9" t="str">
        <f t="shared" si="37"/>
        <v>🟢</v>
      </c>
      <c r="Q220" s="58" t="s">
        <v>1019</v>
      </c>
    </row>
    <row r="221" spans="1:86" ht="18" hidden="1" customHeight="1" x14ac:dyDescent="0.4">
      <c r="A221" s="10">
        <f t="shared" si="33"/>
        <v>220</v>
      </c>
      <c r="B221" s="10">
        <f t="shared" si="34"/>
        <v>220</v>
      </c>
      <c r="C221" s="11" t="s">
        <v>1013</v>
      </c>
      <c r="D221" s="11" t="s">
        <v>925</v>
      </c>
      <c r="E221" s="12" t="str">
        <f t="shared" si="35"/>
        <v/>
      </c>
      <c r="F221" s="11" t="s">
        <v>1020</v>
      </c>
      <c r="G221" s="11" t="s">
        <v>473</v>
      </c>
      <c r="H221" s="11" t="s">
        <v>99</v>
      </c>
      <c r="I221" s="11" t="s">
        <v>1021</v>
      </c>
      <c r="J221" s="63" t="s">
        <v>71</v>
      </c>
      <c r="K221" s="11" t="s">
        <v>1022</v>
      </c>
      <c r="L221" s="11"/>
      <c r="M221" s="11"/>
      <c r="N221" s="12" t="s">
        <v>24</v>
      </c>
      <c r="O221" s="12" t="str">
        <f t="shared" si="36"/>
        <v>NO</v>
      </c>
      <c r="P221" s="12" t="str">
        <f t="shared" si="37"/>
        <v>🔴</v>
      </c>
      <c r="Q221" s="59"/>
    </row>
    <row r="222" spans="1:86" ht="18" hidden="1" customHeight="1" x14ac:dyDescent="0.4">
      <c r="A222" s="7">
        <f t="shared" si="33"/>
        <v>221</v>
      </c>
      <c r="B222" s="7">
        <f t="shared" si="34"/>
        <v>221</v>
      </c>
      <c r="C222" s="8" t="s">
        <v>1013</v>
      </c>
      <c r="D222" s="8" t="s">
        <v>645</v>
      </c>
      <c r="E222" s="9" t="str">
        <f t="shared" si="35"/>
        <v>VIP</v>
      </c>
      <c r="F222" s="8" t="s">
        <v>1023</v>
      </c>
      <c r="G222" s="8" t="s">
        <v>481</v>
      </c>
      <c r="H222" s="8" t="s">
        <v>1024</v>
      </c>
      <c r="I222" s="8" t="s">
        <v>1025</v>
      </c>
      <c r="J222" s="61" t="s">
        <v>22</v>
      </c>
      <c r="K222" s="8" t="s">
        <v>1026</v>
      </c>
      <c r="L222" s="8"/>
      <c r="M222" s="8"/>
      <c r="N222" s="9" t="s">
        <v>24</v>
      </c>
      <c r="O222" s="9" t="str">
        <f t="shared" si="36"/>
        <v>SI</v>
      </c>
      <c r="P222" s="9" t="str">
        <f t="shared" si="37"/>
        <v>🟢</v>
      </c>
      <c r="Q222" s="58" t="s">
        <v>1027</v>
      </c>
    </row>
    <row r="223" spans="1:86" ht="18" hidden="1" customHeight="1" x14ac:dyDescent="0.4">
      <c r="A223" s="10">
        <f t="shared" si="33"/>
        <v>222</v>
      </c>
      <c r="B223" s="10">
        <f t="shared" si="34"/>
        <v>222</v>
      </c>
      <c r="C223" s="11" t="s">
        <v>1013</v>
      </c>
      <c r="D223" s="11" t="s">
        <v>645</v>
      </c>
      <c r="E223" s="12" t="str">
        <f t="shared" si="35"/>
        <v>VIP</v>
      </c>
      <c r="F223" s="11" t="s">
        <v>1028</v>
      </c>
      <c r="G223" s="11" t="s">
        <v>1029</v>
      </c>
      <c r="H223" s="11" t="s">
        <v>1030</v>
      </c>
      <c r="I223" s="11" t="s">
        <v>1031</v>
      </c>
      <c r="J223" s="61" t="s">
        <v>22</v>
      </c>
      <c r="K223" s="11" t="s">
        <v>3349</v>
      </c>
      <c r="L223" s="11"/>
      <c r="M223" s="11"/>
      <c r="N223" s="12" t="s">
        <v>24</v>
      </c>
      <c r="O223" s="12" t="str">
        <f t="shared" si="36"/>
        <v>SI</v>
      </c>
      <c r="P223" s="12" t="str">
        <f t="shared" si="37"/>
        <v>🟢</v>
      </c>
      <c r="Q223" s="59" t="s">
        <v>1033</v>
      </c>
    </row>
    <row r="224" spans="1:86" ht="18" hidden="1" customHeight="1" x14ac:dyDescent="0.4">
      <c r="A224" s="7">
        <f t="shared" si="33"/>
        <v>223</v>
      </c>
      <c r="B224" s="7">
        <f t="shared" si="34"/>
        <v>223</v>
      </c>
      <c r="C224" s="8" t="s">
        <v>1013</v>
      </c>
      <c r="D224" s="8" t="s">
        <v>645</v>
      </c>
      <c r="E224" s="9" t="str">
        <f t="shared" si="35"/>
        <v>VIP</v>
      </c>
      <c r="F224" s="8" t="s">
        <v>1034</v>
      </c>
      <c r="G224" s="8" t="s">
        <v>1035</v>
      </c>
      <c r="H224" s="8" t="s">
        <v>590</v>
      </c>
      <c r="I224" s="8" t="s">
        <v>1036</v>
      </c>
      <c r="J224" s="61" t="s">
        <v>22</v>
      </c>
      <c r="K224" s="8" t="s">
        <v>1037</v>
      </c>
      <c r="L224" s="8"/>
      <c r="M224" s="8"/>
      <c r="N224" s="9" t="s">
        <v>24</v>
      </c>
      <c r="O224" s="9" t="str">
        <f t="shared" si="36"/>
        <v>SI</v>
      </c>
      <c r="P224" s="9" t="str">
        <f t="shared" si="37"/>
        <v>🟢</v>
      </c>
      <c r="Q224" s="58" t="s">
        <v>1038</v>
      </c>
    </row>
    <row r="225" spans="1:17" ht="18" hidden="1" customHeight="1" x14ac:dyDescent="0.4">
      <c r="A225" s="10">
        <f t="shared" si="33"/>
        <v>224</v>
      </c>
      <c r="B225" s="10">
        <f t="shared" si="34"/>
        <v>224</v>
      </c>
      <c r="C225" s="11" t="s">
        <v>1013</v>
      </c>
      <c r="D225" s="11" t="s">
        <v>645</v>
      </c>
      <c r="E225" s="12" t="str">
        <f t="shared" si="35"/>
        <v>VIP</v>
      </c>
      <c r="F225" s="11" t="s">
        <v>1039</v>
      </c>
      <c r="G225" s="11" t="s">
        <v>1040</v>
      </c>
      <c r="H225" s="11" t="s">
        <v>1041</v>
      </c>
      <c r="I225" s="11" t="s">
        <v>1042</v>
      </c>
      <c r="J225" s="61" t="s">
        <v>22</v>
      </c>
      <c r="K225" s="11" t="s">
        <v>1043</v>
      </c>
      <c r="L225" s="11"/>
      <c r="M225" s="11"/>
      <c r="N225" s="12" t="s">
        <v>24</v>
      </c>
      <c r="O225" s="12" t="str">
        <f t="shared" si="36"/>
        <v>SI</v>
      </c>
      <c r="P225" s="12" t="str">
        <f t="shared" si="37"/>
        <v>🟢</v>
      </c>
      <c r="Q225" s="59" t="s">
        <v>1044</v>
      </c>
    </row>
    <row r="226" spans="1:17" ht="18" hidden="1" customHeight="1" x14ac:dyDescent="0.4">
      <c r="A226" s="7">
        <f t="shared" si="33"/>
        <v>225</v>
      </c>
      <c r="B226" s="7">
        <f t="shared" si="34"/>
        <v>225</v>
      </c>
      <c r="C226" s="8" t="s">
        <v>1013</v>
      </c>
      <c r="D226" s="8" t="s">
        <v>645</v>
      </c>
      <c r="E226" s="9" t="str">
        <f t="shared" si="35"/>
        <v>VIP</v>
      </c>
      <c r="F226" s="8" t="s">
        <v>1045</v>
      </c>
      <c r="G226" s="8" t="s">
        <v>627</v>
      </c>
      <c r="H226" s="8" t="s">
        <v>1046</v>
      </c>
      <c r="I226" s="8" t="s">
        <v>172</v>
      </c>
      <c r="J226" s="61" t="s">
        <v>22</v>
      </c>
      <c r="K226" s="8" t="s">
        <v>1047</v>
      </c>
      <c r="L226" s="8"/>
      <c r="M226" s="8"/>
      <c r="N226" s="9" t="s">
        <v>24</v>
      </c>
      <c r="O226" s="9" t="str">
        <f t="shared" si="36"/>
        <v>SI</v>
      </c>
      <c r="P226" s="9" t="str">
        <f t="shared" ref="P226:P257" si="38">IF(UPPER($J226)="SI","🟢",IF(UPPER($J226)="NO","🔴","🟡"))</f>
        <v>🟢</v>
      </c>
      <c r="Q226" s="58" t="s">
        <v>1048</v>
      </c>
    </row>
    <row r="227" spans="1:17" ht="18" hidden="1" customHeight="1" x14ac:dyDescent="0.4">
      <c r="A227" s="10">
        <f t="shared" si="33"/>
        <v>226</v>
      </c>
      <c r="B227" s="10">
        <f t="shared" si="34"/>
        <v>226</v>
      </c>
      <c r="C227" s="11" t="s">
        <v>1013</v>
      </c>
      <c r="D227" s="11" t="s">
        <v>645</v>
      </c>
      <c r="E227" s="12" t="str">
        <f t="shared" si="35"/>
        <v>VIP</v>
      </c>
      <c r="F227" s="11" t="s">
        <v>1049</v>
      </c>
      <c r="G227" s="11" t="s">
        <v>128</v>
      </c>
      <c r="H227" s="11" t="s">
        <v>99</v>
      </c>
      <c r="I227" s="11" t="s">
        <v>1050</v>
      </c>
      <c r="J227" s="61" t="s">
        <v>22</v>
      </c>
      <c r="K227" s="11" t="s">
        <v>1051</v>
      </c>
      <c r="L227" s="11"/>
      <c r="M227" s="11"/>
      <c r="N227" s="12" t="s">
        <v>24</v>
      </c>
      <c r="O227" s="12" t="str">
        <f t="shared" si="36"/>
        <v>SI</v>
      </c>
      <c r="P227" s="12" t="str">
        <f t="shared" si="38"/>
        <v>🟢</v>
      </c>
      <c r="Q227" s="59" t="s">
        <v>1052</v>
      </c>
    </row>
    <row r="228" spans="1:17" ht="18" hidden="1" customHeight="1" x14ac:dyDescent="0.4">
      <c r="A228" s="7">
        <f t="shared" si="33"/>
        <v>227</v>
      </c>
      <c r="B228" s="7">
        <f t="shared" si="34"/>
        <v>227</v>
      </c>
      <c r="C228" s="8" t="s">
        <v>1013</v>
      </c>
      <c r="D228" s="8" t="s">
        <v>908</v>
      </c>
      <c r="E228" s="9" t="str">
        <f t="shared" si="35"/>
        <v>VIP</v>
      </c>
      <c r="F228" s="8" t="s">
        <v>1053</v>
      </c>
      <c r="G228" s="8" t="s">
        <v>1054</v>
      </c>
      <c r="H228" s="8" t="s">
        <v>965</v>
      </c>
      <c r="I228" s="8" t="s">
        <v>1055</v>
      </c>
      <c r="J228" s="61" t="s">
        <v>22</v>
      </c>
      <c r="K228" s="8" t="s">
        <v>1056</v>
      </c>
      <c r="L228" s="8"/>
      <c r="M228" s="8"/>
      <c r="N228" s="9" t="s">
        <v>24</v>
      </c>
      <c r="O228" s="9" t="str">
        <f t="shared" si="36"/>
        <v>SI</v>
      </c>
      <c r="P228" s="9" t="str">
        <f t="shared" si="38"/>
        <v>🟢</v>
      </c>
      <c r="Q228" s="58" t="s">
        <v>1057</v>
      </c>
    </row>
    <row r="229" spans="1:17" ht="18" hidden="1" customHeight="1" x14ac:dyDescent="0.4">
      <c r="A229" s="10">
        <f t="shared" si="33"/>
        <v>228</v>
      </c>
      <c r="B229" s="10">
        <f t="shared" si="34"/>
        <v>228</v>
      </c>
      <c r="C229" s="11" t="s">
        <v>1013</v>
      </c>
      <c r="D229" s="11" t="s">
        <v>908</v>
      </c>
      <c r="E229" s="12" t="str">
        <f t="shared" si="35"/>
        <v>VIP</v>
      </c>
      <c r="F229" s="11" t="s">
        <v>1058</v>
      </c>
      <c r="G229" s="11" t="s">
        <v>998</v>
      </c>
      <c r="H229" s="11" t="s">
        <v>1059</v>
      </c>
      <c r="I229" s="11" t="s">
        <v>1060</v>
      </c>
      <c r="J229" s="61" t="s">
        <v>22</v>
      </c>
      <c r="K229" s="11" t="s">
        <v>1061</v>
      </c>
      <c r="L229" s="11"/>
      <c r="M229" s="11"/>
      <c r="N229" s="12" t="s">
        <v>24</v>
      </c>
      <c r="O229" s="12" t="str">
        <f t="shared" si="36"/>
        <v>SI</v>
      </c>
      <c r="P229" s="12" t="str">
        <f t="shared" si="38"/>
        <v>🟢</v>
      </c>
      <c r="Q229" s="59" t="s">
        <v>1062</v>
      </c>
    </row>
    <row r="230" spans="1:17" ht="18" hidden="1" customHeight="1" x14ac:dyDescent="0.4">
      <c r="A230" s="7">
        <f t="shared" si="33"/>
        <v>229</v>
      </c>
      <c r="B230" s="7">
        <f t="shared" si="34"/>
        <v>229</v>
      </c>
      <c r="C230" s="8" t="s">
        <v>1013</v>
      </c>
      <c r="D230" s="8" t="s">
        <v>908</v>
      </c>
      <c r="E230" s="9" t="str">
        <f t="shared" si="35"/>
        <v>VIP</v>
      </c>
      <c r="F230" s="8" t="s">
        <v>1063</v>
      </c>
      <c r="G230" s="8" t="s">
        <v>1064</v>
      </c>
      <c r="H230" s="8" t="s">
        <v>1065</v>
      </c>
      <c r="I230" s="8" t="s">
        <v>1066</v>
      </c>
      <c r="J230" s="61" t="s">
        <v>22</v>
      </c>
      <c r="K230" s="8" t="s">
        <v>1067</v>
      </c>
      <c r="L230" s="8"/>
      <c r="M230" s="8"/>
      <c r="N230" s="9" t="s">
        <v>24</v>
      </c>
      <c r="O230" s="9" t="str">
        <f t="shared" si="36"/>
        <v>SI</v>
      </c>
      <c r="P230" s="9" t="str">
        <f t="shared" si="38"/>
        <v>🟢</v>
      </c>
      <c r="Q230" s="58" t="s">
        <v>1068</v>
      </c>
    </row>
    <row r="231" spans="1:17" ht="18" hidden="1" customHeight="1" x14ac:dyDescent="0.4">
      <c r="A231" s="10">
        <f t="shared" si="33"/>
        <v>230</v>
      </c>
      <c r="B231" s="10">
        <f t="shared" si="34"/>
        <v>230</v>
      </c>
      <c r="C231" s="11" t="s">
        <v>1013</v>
      </c>
      <c r="D231" s="11" t="s">
        <v>908</v>
      </c>
      <c r="E231" s="12" t="str">
        <f t="shared" si="35"/>
        <v>VIP</v>
      </c>
      <c r="F231" s="11" t="s">
        <v>1069</v>
      </c>
      <c r="G231" s="11" t="s">
        <v>1070</v>
      </c>
      <c r="H231" s="11" t="s">
        <v>1071</v>
      </c>
      <c r="I231" s="11" t="s">
        <v>104</v>
      </c>
      <c r="J231" s="61" t="s">
        <v>22</v>
      </c>
      <c r="K231" s="11" t="s">
        <v>1072</v>
      </c>
      <c r="L231" s="11"/>
      <c r="M231" s="11"/>
      <c r="N231" s="12" t="s">
        <v>24</v>
      </c>
      <c r="O231" s="12" t="str">
        <f t="shared" si="36"/>
        <v>SI</v>
      </c>
      <c r="P231" s="12" t="str">
        <f t="shared" si="38"/>
        <v>🟢</v>
      </c>
      <c r="Q231" s="59" t="s">
        <v>1073</v>
      </c>
    </row>
    <row r="232" spans="1:17" ht="18" hidden="1" customHeight="1" x14ac:dyDescent="0.4">
      <c r="A232" s="10"/>
      <c r="B232" s="10"/>
      <c r="C232" s="11"/>
      <c r="D232" s="11"/>
      <c r="E232" s="12" t="s">
        <v>24</v>
      </c>
      <c r="F232" s="11"/>
      <c r="G232" s="11" t="s">
        <v>3374</v>
      </c>
      <c r="H232" s="11" t="s">
        <v>3375</v>
      </c>
      <c r="I232" s="11" t="s">
        <v>1010</v>
      </c>
      <c r="J232" s="61" t="s">
        <v>22</v>
      </c>
      <c r="K232" s="11" t="s">
        <v>3376</v>
      </c>
      <c r="L232" s="11"/>
      <c r="M232" s="11"/>
      <c r="N232" s="12"/>
      <c r="O232" s="12"/>
      <c r="P232" s="12" t="str">
        <f t="shared" si="38"/>
        <v>🟢</v>
      </c>
      <c r="Q232" s="59"/>
    </row>
    <row r="233" spans="1:17" ht="18" hidden="1" customHeight="1" x14ac:dyDescent="0.4">
      <c r="A233" s="7">
        <f t="shared" ref="A233:A254" si="39">IF(COUNTA(C233:K233)=0,"",ROW()-1)</f>
        <v>232</v>
      </c>
      <c r="B233" s="7">
        <f t="shared" ref="B233:B254" si="40">IF($F233&lt;&gt;"",$A233,"")</f>
        <v>232</v>
      </c>
      <c r="C233" s="8" t="s">
        <v>1013</v>
      </c>
      <c r="D233" s="8" t="s">
        <v>908</v>
      </c>
      <c r="E233" s="9" t="str">
        <f t="shared" ref="E233:E244" si="41">IF(UPPER($J233)="NO","",$N233)</f>
        <v>VIP</v>
      </c>
      <c r="F233" s="8" t="s">
        <v>1074</v>
      </c>
      <c r="G233" s="8" t="s">
        <v>1075</v>
      </c>
      <c r="H233" s="8" t="s">
        <v>1076</v>
      </c>
      <c r="I233" s="8" t="s">
        <v>140</v>
      </c>
      <c r="J233" s="61" t="s">
        <v>22</v>
      </c>
      <c r="K233" s="8" t="s">
        <v>1077</v>
      </c>
      <c r="L233" s="8"/>
      <c r="M233" s="8"/>
      <c r="N233" s="9" t="s">
        <v>24</v>
      </c>
      <c r="O233" s="9" t="str">
        <f t="shared" ref="O233:O254" si="42">IF(AND(UPPER($N233)="VIP",UPPER($J233)&lt;&gt;"NO",$F233&lt;&gt;""),"SI","NO")</f>
        <v>SI</v>
      </c>
      <c r="P233" s="9" t="str">
        <f t="shared" si="38"/>
        <v>🟢</v>
      </c>
      <c r="Q233" s="58" t="s">
        <v>1078</v>
      </c>
    </row>
    <row r="234" spans="1:17" ht="18" hidden="1" customHeight="1" x14ac:dyDescent="0.4">
      <c r="A234" s="10">
        <f t="shared" si="39"/>
        <v>233</v>
      </c>
      <c r="B234" s="10">
        <f t="shared" si="40"/>
        <v>233</v>
      </c>
      <c r="C234" s="11" t="s">
        <v>1013</v>
      </c>
      <c r="D234" s="11" t="s">
        <v>46</v>
      </c>
      <c r="E234" s="12" t="str">
        <f t="shared" si="41"/>
        <v>VIP</v>
      </c>
      <c r="F234" s="11" t="s">
        <v>1079</v>
      </c>
      <c r="G234" s="11" t="s">
        <v>1080</v>
      </c>
      <c r="H234" s="11" t="s">
        <v>1081</v>
      </c>
      <c r="I234" s="11" t="s">
        <v>1082</v>
      </c>
      <c r="J234" s="61" t="s">
        <v>22</v>
      </c>
      <c r="K234" s="11" t="s">
        <v>1083</v>
      </c>
      <c r="L234" s="11"/>
      <c r="M234" s="11"/>
      <c r="N234" s="12" t="s">
        <v>24</v>
      </c>
      <c r="O234" s="12" t="str">
        <f t="shared" si="42"/>
        <v>SI</v>
      </c>
      <c r="P234" s="12" t="str">
        <f t="shared" si="38"/>
        <v>🟢</v>
      </c>
      <c r="Q234" s="59" t="s">
        <v>1084</v>
      </c>
    </row>
    <row r="235" spans="1:17" ht="18" hidden="1" customHeight="1" x14ac:dyDescent="0.4">
      <c r="A235" s="7">
        <f t="shared" si="39"/>
        <v>234</v>
      </c>
      <c r="B235" s="7">
        <f t="shared" si="40"/>
        <v>234</v>
      </c>
      <c r="C235" s="8" t="s">
        <v>1013</v>
      </c>
      <c r="D235" s="8" t="s">
        <v>1085</v>
      </c>
      <c r="E235" s="9" t="str">
        <f t="shared" si="41"/>
        <v>VIP</v>
      </c>
      <c r="F235" s="8" t="s">
        <v>1086</v>
      </c>
      <c r="G235" s="8" t="s">
        <v>128</v>
      </c>
      <c r="H235" s="8" t="s">
        <v>1087</v>
      </c>
      <c r="I235" s="8" t="s">
        <v>652</v>
      </c>
      <c r="J235" s="61" t="s">
        <v>22</v>
      </c>
      <c r="K235" s="8" t="s">
        <v>1088</v>
      </c>
      <c r="L235" s="8"/>
      <c r="M235" s="8"/>
      <c r="N235" s="9" t="s">
        <v>24</v>
      </c>
      <c r="O235" s="9" t="str">
        <f t="shared" si="42"/>
        <v>SI</v>
      </c>
      <c r="P235" s="9" t="str">
        <f t="shared" si="38"/>
        <v>🟢</v>
      </c>
      <c r="Q235" s="58" t="s">
        <v>1089</v>
      </c>
    </row>
    <row r="236" spans="1:17" ht="18" hidden="1" customHeight="1" x14ac:dyDescent="0.4">
      <c r="A236" s="10">
        <f t="shared" si="39"/>
        <v>235</v>
      </c>
      <c r="B236" s="10">
        <f t="shared" si="40"/>
        <v>235</v>
      </c>
      <c r="C236" s="11" t="s">
        <v>1013</v>
      </c>
      <c r="D236" s="11" t="s">
        <v>908</v>
      </c>
      <c r="E236" s="12" t="str">
        <f t="shared" si="41"/>
        <v>VIP</v>
      </c>
      <c r="F236" s="11" t="s">
        <v>1090</v>
      </c>
      <c r="G236" s="11" t="s">
        <v>1091</v>
      </c>
      <c r="H236" s="11" t="s">
        <v>390</v>
      </c>
      <c r="I236" s="11" t="s">
        <v>371</v>
      </c>
      <c r="J236" s="61" t="s">
        <v>22</v>
      </c>
      <c r="K236" s="11" t="s">
        <v>1092</v>
      </c>
      <c r="L236" s="11"/>
      <c r="M236" s="11"/>
      <c r="N236" s="12" t="s">
        <v>24</v>
      </c>
      <c r="O236" s="12" t="str">
        <f t="shared" si="42"/>
        <v>SI</v>
      </c>
      <c r="P236" s="12" t="str">
        <f t="shared" si="38"/>
        <v>🟢</v>
      </c>
      <c r="Q236" s="59" t="s">
        <v>1093</v>
      </c>
    </row>
    <row r="237" spans="1:17" ht="18" hidden="1" customHeight="1" x14ac:dyDescent="0.4">
      <c r="A237" s="7">
        <f t="shared" si="39"/>
        <v>236</v>
      </c>
      <c r="B237" s="7">
        <f t="shared" si="40"/>
        <v>236</v>
      </c>
      <c r="C237" s="8" t="s">
        <v>1013</v>
      </c>
      <c r="D237" s="8" t="s">
        <v>908</v>
      </c>
      <c r="E237" s="9" t="str">
        <f t="shared" si="41"/>
        <v>VIP</v>
      </c>
      <c r="F237" s="8" t="s">
        <v>1094</v>
      </c>
      <c r="G237" s="8" t="s">
        <v>114</v>
      </c>
      <c r="H237" s="8" t="s">
        <v>99</v>
      </c>
      <c r="I237" s="8" t="s">
        <v>42</v>
      </c>
      <c r="J237" s="61" t="s">
        <v>22</v>
      </c>
      <c r="K237" s="8" t="s">
        <v>1095</v>
      </c>
      <c r="L237" s="8"/>
      <c r="M237" s="8"/>
      <c r="N237" s="9" t="s">
        <v>24</v>
      </c>
      <c r="O237" s="9" t="str">
        <f t="shared" si="42"/>
        <v>SI</v>
      </c>
      <c r="P237" s="9" t="str">
        <f t="shared" si="38"/>
        <v>🟢</v>
      </c>
      <c r="Q237" s="58" t="s">
        <v>1096</v>
      </c>
    </row>
    <row r="238" spans="1:17" ht="18" hidden="1" customHeight="1" x14ac:dyDescent="0.4">
      <c r="A238" s="10">
        <f t="shared" si="39"/>
        <v>237</v>
      </c>
      <c r="B238" s="10">
        <f t="shared" si="40"/>
        <v>237</v>
      </c>
      <c r="C238" s="11" t="s">
        <v>1013</v>
      </c>
      <c r="D238" s="11" t="s">
        <v>1097</v>
      </c>
      <c r="E238" s="12" t="str">
        <f t="shared" si="41"/>
        <v>VIP</v>
      </c>
      <c r="F238" s="11" t="s">
        <v>1098</v>
      </c>
      <c r="G238" s="11" t="s">
        <v>1099</v>
      </c>
      <c r="H238" s="11" t="s">
        <v>1100</v>
      </c>
      <c r="I238" s="11" t="s">
        <v>1101</v>
      </c>
      <c r="J238" s="61" t="s">
        <v>22</v>
      </c>
      <c r="K238" s="11" t="s">
        <v>1102</v>
      </c>
      <c r="L238" s="11"/>
      <c r="M238" s="11"/>
      <c r="N238" s="12" t="s">
        <v>24</v>
      </c>
      <c r="O238" s="12" t="str">
        <f t="shared" si="42"/>
        <v>SI</v>
      </c>
      <c r="P238" s="12" t="str">
        <f t="shared" si="38"/>
        <v>🟢</v>
      </c>
      <c r="Q238" s="59" t="s">
        <v>1103</v>
      </c>
    </row>
    <row r="239" spans="1:17" ht="18" hidden="1" customHeight="1" x14ac:dyDescent="0.4">
      <c r="A239" s="7">
        <f t="shared" si="39"/>
        <v>238</v>
      </c>
      <c r="B239" s="7">
        <f t="shared" si="40"/>
        <v>238</v>
      </c>
      <c r="C239" s="8" t="s">
        <v>1013</v>
      </c>
      <c r="D239" s="8" t="s">
        <v>908</v>
      </c>
      <c r="E239" s="9" t="str">
        <f t="shared" si="41"/>
        <v>VIP</v>
      </c>
      <c r="F239" s="8" t="s">
        <v>1104</v>
      </c>
      <c r="G239" s="8" t="s">
        <v>757</v>
      </c>
      <c r="H239" s="8" t="s">
        <v>611</v>
      </c>
      <c r="I239" s="8" t="s">
        <v>1105</v>
      </c>
      <c r="J239" s="61" t="s">
        <v>22</v>
      </c>
      <c r="K239" s="8" t="s">
        <v>1106</v>
      </c>
      <c r="L239" s="8"/>
      <c r="M239" s="8"/>
      <c r="N239" s="9" t="s">
        <v>24</v>
      </c>
      <c r="O239" s="9" t="str">
        <f t="shared" si="42"/>
        <v>SI</v>
      </c>
      <c r="P239" s="9" t="str">
        <f t="shared" si="38"/>
        <v>🟢</v>
      </c>
      <c r="Q239" s="58" t="s">
        <v>1107</v>
      </c>
    </row>
    <row r="240" spans="1:17" ht="18" hidden="1" customHeight="1" x14ac:dyDescent="0.4">
      <c r="A240" s="10">
        <f t="shared" si="39"/>
        <v>239</v>
      </c>
      <c r="B240" s="10">
        <f t="shared" si="40"/>
        <v>239</v>
      </c>
      <c r="C240" s="11" t="s">
        <v>1013</v>
      </c>
      <c r="D240" s="11" t="s">
        <v>908</v>
      </c>
      <c r="E240" s="12" t="str">
        <f t="shared" si="41"/>
        <v>VIP</v>
      </c>
      <c r="F240" s="11" t="s">
        <v>1108</v>
      </c>
      <c r="G240" s="11" t="s">
        <v>1109</v>
      </c>
      <c r="H240" s="11" t="s">
        <v>1110</v>
      </c>
      <c r="I240" s="11" t="s">
        <v>974</v>
      </c>
      <c r="J240" s="61" t="s">
        <v>22</v>
      </c>
      <c r="K240" s="11" t="s">
        <v>1111</v>
      </c>
      <c r="L240" s="11"/>
      <c r="M240" s="11"/>
      <c r="N240" s="12" t="s">
        <v>24</v>
      </c>
      <c r="O240" s="12" t="str">
        <f t="shared" si="42"/>
        <v>SI</v>
      </c>
      <c r="P240" s="12" t="str">
        <f t="shared" si="38"/>
        <v>🟢</v>
      </c>
      <c r="Q240" s="59" t="s">
        <v>1112</v>
      </c>
    </row>
    <row r="241" spans="1:86" ht="18" hidden="1" customHeight="1" x14ac:dyDescent="0.4">
      <c r="A241" s="7">
        <f t="shared" si="39"/>
        <v>240</v>
      </c>
      <c r="B241" s="7">
        <f t="shared" si="40"/>
        <v>240</v>
      </c>
      <c r="C241" s="8" t="s">
        <v>1013</v>
      </c>
      <c r="D241" s="8" t="s">
        <v>1113</v>
      </c>
      <c r="E241" s="9" t="str">
        <f t="shared" si="41"/>
        <v>VIP</v>
      </c>
      <c r="F241" s="8" t="s">
        <v>1114</v>
      </c>
      <c r="G241" s="8" t="s">
        <v>1115</v>
      </c>
      <c r="H241" s="8" t="s">
        <v>1116</v>
      </c>
      <c r="I241" s="8" t="s">
        <v>1117</v>
      </c>
      <c r="J241" s="61" t="s">
        <v>22</v>
      </c>
      <c r="K241" s="8" t="s">
        <v>1118</v>
      </c>
      <c r="L241" s="8"/>
      <c r="M241" s="8"/>
      <c r="N241" s="9" t="s">
        <v>24</v>
      </c>
      <c r="O241" s="9" t="str">
        <f t="shared" si="42"/>
        <v>SI</v>
      </c>
      <c r="P241" s="9" t="str">
        <f t="shared" si="38"/>
        <v>🟢</v>
      </c>
      <c r="Q241" s="58" t="s">
        <v>1119</v>
      </c>
    </row>
    <row r="242" spans="1:86" ht="18" hidden="1" customHeight="1" x14ac:dyDescent="0.4">
      <c r="A242" s="10">
        <f t="shared" si="39"/>
        <v>241</v>
      </c>
      <c r="B242" s="10">
        <f t="shared" si="40"/>
        <v>241</v>
      </c>
      <c r="C242" s="11" t="s">
        <v>1013</v>
      </c>
      <c r="D242" s="11" t="s">
        <v>1120</v>
      </c>
      <c r="E242" s="12" t="str">
        <f t="shared" si="41"/>
        <v>VIP</v>
      </c>
      <c r="F242" s="11" t="s">
        <v>1121</v>
      </c>
      <c r="G242" s="11" t="s">
        <v>68</v>
      </c>
      <c r="H242" s="11" t="s">
        <v>1122</v>
      </c>
      <c r="I242" s="11" t="s">
        <v>1123</v>
      </c>
      <c r="J242" s="61" t="s">
        <v>22</v>
      </c>
      <c r="K242" s="11" t="s">
        <v>1124</v>
      </c>
      <c r="L242" s="11"/>
      <c r="M242" s="11"/>
      <c r="N242" s="12" t="s">
        <v>24</v>
      </c>
      <c r="O242" s="12" t="str">
        <f t="shared" si="42"/>
        <v>SI</v>
      </c>
      <c r="P242" s="12" t="str">
        <f t="shared" si="38"/>
        <v>🟢</v>
      </c>
      <c r="Q242" s="59" t="s">
        <v>1125</v>
      </c>
    </row>
    <row r="243" spans="1:86" ht="18" hidden="1" customHeight="1" x14ac:dyDescent="0.4">
      <c r="A243" s="7">
        <f t="shared" si="39"/>
        <v>242</v>
      </c>
      <c r="B243" s="7">
        <f t="shared" si="40"/>
        <v>242</v>
      </c>
      <c r="C243" s="8" t="s">
        <v>1013</v>
      </c>
      <c r="D243" s="8" t="s">
        <v>899</v>
      </c>
      <c r="E243" s="9" t="str">
        <f t="shared" si="41"/>
        <v/>
      </c>
      <c r="F243" s="8" t="s">
        <v>1126</v>
      </c>
      <c r="G243" s="8" t="s">
        <v>498</v>
      </c>
      <c r="H243" s="8" t="s">
        <v>796</v>
      </c>
      <c r="I243" s="8" t="s">
        <v>345</v>
      </c>
      <c r="J243" s="62" t="s">
        <v>71</v>
      </c>
      <c r="K243" s="8" t="s">
        <v>1127</v>
      </c>
      <c r="L243" s="8"/>
      <c r="M243" s="8"/>
      <c r="N243" s="9" t="s">
        <v>24</v>
      </c>
      <c r="O243" s="9" t="str">
        <f t="shared" si="42"/>
        <v>NO</v>
      </c>
      <c r="P243" s="9" t="str">
        <f t="shared" si="38"/>
        <v>🔴</v>
      </c>
      <c r="Q243" s="58"/>
    </row>
    <row r="244" spans="1:86" s="5" customFormat="1" ht="18" hidden="1" customHeight="1" x14ac:dyDescent="0.4">
      <c r="A244" s="10">
        <f t="shared" si="39"/>
        <v>243</v>
      </c>
      <c r="B244" s="10">
        <f t="shared" si="40"/>
        <v>243</v>
      </c>
      <c r="C244" s="11" t="s">
        <v>1013</v>
      </c>
      <c r="D244" s="11" t="s">
        <v>1128</v>
      </c>
      <c r="E244" s="17" t="str">
        <f t="shared" si="41"/>
        <v>VIP</v>
      </c>
      <c r="F244" s="11" t="s">
        <v>1129</v>
      </c>
      <c r="G244" s="11" t="s">
        <v>1130</v>
      </c>
      <c r="H244" s="11" t="s">
        <v>1131</v>
      </c>
      <c r="I244" s="11" t="s">
        <v>1132</v>
      </c>
      <c r="J244" s="63" t="s">
        <v>22</v>
      </c>
      <c r="K244" s="11" t="s">
        <v>1133</v>
      </c>
      <c r="L244" s="11"/>
      <c r="M244" s="11"/>
      <c r="N244" s="12" t="s">
        <v>24</v>
      </c>
      <c r="O244" s="12" t="str">
        <f t="shared" si="42"/>
        <v>SI</v>
      </c>
      <c r="P244" s="12" t="str">
        <f t="shared" si="38"/>
        <v>🟢</v>
      </c>
      <c r="Q244" s="59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ht="18" customHeight="1" x14ac:dyDescent="0.4">
      <c r="A245" s="10">
        <f t="shared" si="39"/>
        <v>244</v>
      </c>
      <c r="B245" s="13">
        <f t="shared" si="40"/>
        <v>244</v>
      </c>
      <c r="C245" s="28" t="s">
        <v>1770</v>
      </c>
      <c r="D245" s="28"/>
      <c r="E245" s="17" t="s">
        <v>1257</v>
      </c>
      <c r="F245" s="16" t="s">
        <v>2085</v>
      </c>
      <c r="G245" s="28" t="s">
        <v>2138</v>
      </c>
      <c r="H245" s="28" t="s">
        <v>172</v>
      </c>
      <c r="I245" s="28"/>
      <c r="J245" s="62" t="s">
        <v>22</v>
      </c>
      <c r="K245" s="28" t="s">
        <v>2086</v>
      </c>
      <c r="L245" s="16" t="s">
        <v>3319</v>
      </c>
      <c r="M245" s="16">
        <v>4</v>
      </c>
      <c r="N245" s="17" t="s">
        <v>1257</v>
      </c>
      <c r="O245" s="17" t="str">
        <f t="shared" si="42"/>
        <v>NO</v>
      </c>
      <c r="P245" s="17" t="str">
        <f t="shared" si="38"/>
        <v>🟢</v>
      </c>
      <c r="Q245" s="60"/>
    </row>
    <row r="246" spans="1:86" ht="18" hidden="1" customHeight="1" x14ac:dyDescent="0.4">
      <c r="A246" s="7">
        <f t="shared" si="39"/>
        <v>245</v>
      </c>
      <c r="B246" s="13">
        <f t="shared" si="40"/>
        <v>245</v>
      </c>
      <c r="C246" s="14" t="s">
        <v>1134</v>
      </c>
      <c r="D246" s="14" t="s">
        <v>670</v>
      </c>
      <c r="E246" s="15" t="str">
        <f>IF(UPPER($J246)="NO","",$N246)</f>
        <v>VIP</v>
      </c>
      <c r="F246" s="16" t="s">
        <v>1135</v>
      </c>
      <c r="G246" s="14" t="s">
        <v>1136</v>
      </c>
      <c r="H246" s="14" t="s">
        <v>720</v>
      </c>
      <c r="I246" s="14" t="s">
        <v>503</v>
      </c>
      <c r="J246" s="61" t="s">
        <v>22</v>
      </c>
      <c r="K246" s="14" t="s">
        <v>1137</v>
      </c>
      <c r="L246" s="16"/>
      <c r="M246" s="16"/>
      <c r="N246" s="17" t="s">
        <v>24</v>
      </c>
      <c r="O246" s="17" t="str">
        <f t="shared" si="42"/>
        <v>SI</v>
      </c>
      <c r="P246" s="17" t="str">
        <f t="shared" si="38"/>
        <v>🟢</v>
      </c>
      <c r="Q246" s="60" t="s">
        <v>1138</v>
      </c>
    </row>
    <row r="247" spans="1:86" ht="18" hidden="1" customHeight="1" x14ac:dyDescent="0.4">
      <c r="A247" s="10">
        <f t="shared" si="39"/>
        <v>246</v>
      </c>
      <c r="B247" s="13">
        <f t="shared" si="40"/>
        <v>246</v>
      </c>
      <c r="C247" s="16" t="s">
        <v>1389</v>
      </c>
      <c r="D247" s="16" t="s">
        <v>908</v>
      </c>
      <c r="E247" s="17"/>
      <c r="F247" s="16" t="s">
        <v>1418</v>
      </c>
      <c r="G247" s="16" t="s">
        <v>615</v>
      </c>
      <c r="H247" s="16" t="s">
        <v>1419</v>
      </c>
      <c r="I247" s="16" t="s">
        <v>1420</v>
      </c>
      <c r="J247" s="62" t="s">
        <v>71</v>
      </c>
      <c r="K247" s="16" t="s">
        <v>1421</v>
      </c>
      <c r="L247" s="16"/>
      <c r="M247" s="16"/>
      <c r="N247" s="17" t="s">
        <v>659</v>
      </c>
      <c r="O247" s="17" t="str">
        <f t="shared" si="42"/>
        <v>NO</v>
      </c>
      <c r="P247" s="17" t="str">
        <f t="shared" si="38"/>
        <v>🔴</v>
      </c>
      <c r="Q247" s="60"/>
    </row>
    <row r="248" spans="1:86" ht="18" hidden="1" customHeight="1" x14ac:dyDescent="0.4">
      <c r="A248" s="7">
        <f t="shared" si="39"/>
        <v>247</v>
      </c>
      <c r="B248" s="13">
        <f t="shared" si="40"/>
        <v>247</v>
      </c>
      <c r="C248" s="11" t="s">
        <v>1134</v>
      </c>
      <c r="D248" s="11" t="s">
        <v>751</v>
      </c>
      <c r="E248" s="12" t="str">
        <f>IF(UPPER($J248)="NO","",$N248)</f>
        <v>VIP</v>
      </c>
      <c r="F248" s="16" t="s">
        <v>1142</v>
      </c>
      <c r="G248" s="16" t="s">
        <v>1143</v>
      </c>
      <c r="H248" s="16" t="s">
        <v>1144</v>
      </c>
      <c r="I248" s="16" t="s">
        <v>1145</v>
      </c>
      <c r="J248" s="64" t="s">
        <v>22</v>
      </c>
      <c r="K248" s="11" t="s">
        <v>1146</v>
      </c>
      <c r="L248" s="16"/>
      <c r="M248" s="16"/>
      <c r="N248" s="17" t="s">
        <v>24</v>
      </c>
      <c r="O248" s="17" t="str">
        <f t="shared" si="42"/>
        <v>SI</v>
      </c>
      <c r="P248" s="17" t="str">
        <f t="shared" si="38"/>
        <v>🟢</v>
      </c>
      <c r="Q248" s="60" t="s">
        <v>1147</v>
      </c>
    </row>
    <row r="249" spans="1:86" ht="18" hidden="1" customHeight="1" x14ac:dyDescent="0.4">
      <c r="A249" s="10">
        <f t="shared" si="39"/>
        <v>248</v>
      </c>
      <c r="B249" s="13">
        <f t="shared" si="40"/>
        <v>248</v>
      </c>
      <c r="C249" s="14" t="s">
        <v>1134</v>
      </c>
      <c r="D249" s="14" t="s">
        <v>751</v>
      </c>
      <c r="E249" s="15" t="str">
        <f>IF(UPPER($J249)="NO","",$N249)</f>
        <v/>
      </c>
      <c r="F249" s="16" t="s">
        <v>1148</v>
      </c>
      <c r="G249" s="14" t="s">
        <v>1149</v>
      </c>
      <c r="H249" s="14" t="s">
        <v>1150</v>
      </c>
      <c r="I249" s="14" t="s">
        <v>1150</v>
      </c>
      <c r="J249" s="62" t="s">
        <v>71</v>
      </c>
      <c r="K249" s="14" t="s">
        <v>1151</v>
      </c>
      <c r="L249" s="16"/>
      <c r="M249" s="16"/>
      <c r="N249" s="17" t="s">
        <v>24</v>
      </c>
      <c r="O249" s="17" t="str">
        <f t="shared" si="42"/>
        <v>NO</v>
      </c>
      <c r="P249" s="17" t="str">
        <f t="shared" si="38"/>
        <v>🔴</v>
      </c>
      <c r="Q249" s="60" t="s">
        <v>1152</v>
      </c>
    </row>
    <row r="250" spans="1:86" ht="18" customHeight="1" x14ac:dyDescent="0.4">
      <c r="A250" s="7">
        <f t="shared" si="39"/>
        <v>249</v>
      </c>
      <c r="B250" s="13">
        <f t="shared" si="40"/>
        <v>249</v>
      </c>
      <c r="C250" s="22" t="s">
        <v>1389</v>
      </c>
      <c r="D250" s="22" t="s">
        <v>1397</v>
      </c>
      <c r="E250" s="17" t="s">
        <v>1257</v>
      </c>
      <c r="F250" s="16" t="s">
        <v>1437</v>
      </c>
      <c r="G250" s="22" t="s">
        <v>621</v>
      </c>
      <c r="H250" s="22" t="s">
        <v>1438</v>
      </c>
      <c r="I250" s="22" t="s">
        <v>1439</v>
      </c>
      <c r="J250" s="61" t="s">
        <v>22</v>
      </c>
      <c r="K250" s="22" t="s">
        <v>1440</v>
      </c>
      <c r="L250" s="16" t="s">
        <v>3318</v>
      </c>
      <c r="M250" s="16">
        <v>11</v>
      </c>
      <c r="N250" s="17" t="s">
        <v>24</v>
      </c>
      <c r="O250" s="17" t="str">
        <f t="shared" si="42"/>
        <v>SI</v>
      </c>
      <c r="P250" s="17" t="str">
        <f t="shared" si="38"/>
        <v>🟢</v>
      </c>
      <c r="Q250" s="60" t="s">
        <v>1152</v>
      </c>
    </row>
    <row r="251" spans="1:86" ht="18" customHeight="1" x14ac:dyDescent="0.4">
      <c r="A251" s="10">
        <f t="shared" si="39"/>
        <v>250</v>
      </c>
      <c r="B251" s="13">
        <f t="shared" si="40"/>
        <v>250</v>
      </c>
      <c r="C251" s="28" t="s">
        <v>1770</v>
      </c>
      <c r="D251" s="28"/>
      <c r="E251" s="17" t="s">
        <v>1257</v>
      </c>
      <c r="F251" s="16" t="s">
        <v>2091</v>
      </c>
      <c r="G251" s="28" t="s">
        <v>519</v>
      </c>
      <c r="H251" s="28" t="s">
        <v>2092</v>
      </c>
      <c r="I251" s="28" t="s">
        <v>2093</v>
      </c>
      <c r="J251" s="61" t="s">
        <v>22</v>
      </c>
      <c r="K251" s="28" t="s">
        <v>2094</v>
      </c>
      <c r="L251" s="16" t="s">
        <v>3319</v>
      </c>
      <c r="M251" s="16">
        <v>5</v>
      </c>
      <c r="N251" s="17" t="s">
        <v>659</v>
      </c>
      <c r="O251" s="17" t="str">
        <f t="shared" si="42"/>
        <v>NO</v>
      </c>
      <c r="P251" s="17" t="str">
        <f t="shared" si="38"/>
        <v>🟢</v>
      </c>
      <c r="Q251" s="60"/>
    </row>
    <row r="252" spans="1:86" ht="18" hidden="1" customHeight="1" x14ac:dyDescent="0.4">
      <c r="A252" s="10">
        <f t="shared" si="39"/>
        <v>251</v>
      </c>
      <c r="B252" s="13">
        <f t="shared" si="40"/>
        <v>251</v>
      </c>
      <c r="C252" s="16" t="s">
        <v>1134</v>
      </c>
      <c r="D252" s="16" t="s">
        <v>751</v>
      </c>
      <c r="E252" s="17" t="str">
        <f>IF(UPPER($J252)="NO","",$N252)</f>
        <v>VIP</v>
      </c>
      <c r="F252" s="16" t="s">
        <v>1156</v>
      </c>
      <c r="G252" s="16" t="s">
        <v>1157</v>
      </c>
      <c r="H252" s="16" t="s">
        <v>543</v>
      </c>
      <c r="I252" s="16" t="s">
        <v>1158</v>
      </c>
      <c r="J252" s="61" t="s">
        <v>22</v>
      </c>
      <c r="K252" s="16" t="s">
        <v>1159</v>
      </c>
      <c r="L252" s="16"/>
      <c r="M252" s="16"/>
      <c r="N252" s="17" t="s">
        <v>24</v>
      </c>
      <c r="O252" s="17" t="str">
        <f t="shared" si="42"/>
        <v>SI</v>
      </c>
      <c r="P252" s="17" t="str">
        <f t="shared" si="38"/>
        <v>🟢</v>
      </c>
      <c r="Q252" s="60" t="s">
        <v>1152</v>
      </c>
    </row>
    <row r="253" spans="1:86" ht="18" hidden="1" customHeight="1" x14ac:dyDescent="0.4">
      <c r="A253" s="7">
        <f t="shared" si="39"/>
        <v>252</v>
      </c>
      <c r="B253" s="13">
        <f t="shared" si="40"/>
        <v>252</v>
      </c>
      <c r="C253" s="16" t="s">
        <v>1134</v>
      </c>
      <c r="D253" s="16" t="s">
        <v>751</v>
      </c>
      <c r="E253" s="17" t="str">
        <f>IF(UPPER($J253)="NO","",$N253)</f>
        <v/>
      </c>
      <c r="F253" s="16" t="s">
        <v>1160</v>
      </c>
      <c r="G253" s="16" t="s">
        <v>1161</v>
      </c>
      <c r="H253" s="16" t="s">
        <v>261</v>
      </c>
      <c r="I253" s="16" t="s">
        <v>1162</v>
      </c>
      <c r="J253" s="63" t="s">
        <v>71</v>
      </c>
      <c r="K253" s="16" t="s">
        <v>1163</v>
      </c>
      <c r="L253" s="16"/>
      <c r="M253" s="16"/>
      <c r="N253" s="17" t="s">
        <v>24</v>
      </c>
      <c r="O253" s="17" t="str">
        <f t="shared" si="42"/>
        <v>NO</v>
      </c>
      <c r="P253" s="17" t="str">
        <f t="shared" si="38"/>
        <v>🔴</v>
      </c>
      <c r="Q253" s="60"/>
    </row>
    <row r="254" spans="1:86" ht="18" hidden="1" customHeight="1" x14ac:dyDescent="0.4">
      <c r="A254" s="10">
        <f t="shared" si="39"/>
        <v>253</v>
      </c>
      <c r="B254" s="13">
        <f t="shared" si="40"/>
        <v>253</v>
      </c>
      <c r="C254" s="14" t="s">
        <v>1134</v>
      </c>
      <c r="D254" s="14" t="s">
        <v>751</v>
      </c>
      <c r="E254" s="15" t="str">
        <f>IF(UPPER($J254)="NO","",$N254)</f>
        <v/>
      </c>
      <c r="F254" s="16" t="s">
        <v>1164</v>
      </c>
      <c r="G254" s="14" t="s">
        <v>1165</v>
      </c>
      <c r="H254" s="14" t="s">
        <v>1166</v>
      </c>
      <c r="I254" s="14" t="s">
        <v>1167</v>
      </c>
      <c r="J254" s="62" t="s">
        <v>71</v>
      </c>
      <c r="K254" s="14" t="s">
        <v>1168</v>
      </c>
      <c r="L254" s="16"/>
      <c r="M254" s="16"/>
      <c r="N254" s="17" t="s">
        <v>24</v>
      </c>
      <c r="O254" s="17" t="str">
        <f t="shared" si="42"/>
        <v>NO</v>
      </c>
      <c r="P254" s="17" t="str">
        <f t="shared" si="38"/>
        <v>🔴</v>
      </c>
      <c r="Q254" s="60" t="s">
        <v>1152</v>
      </c>
    </row>
    <row r="255" spans="1:86" ht="18" customHeight="1" x14ac:dyDescent="0.4">
      <c r="A255" s="10"/>
      <c r="B255" s="13"/>
      <c r="C255" s="28"/>
      <c r="D255" s="28"/>
      <c r="E255" s="29" t="s">
        <v>1257</v>
      </c>
      <c r="F255" s="16"/>
      <c r="G255" s="16" t="s">
        <v>74</v>
      </c>
      <c r="H255" s="16" t="s">
        <v>390</v>
      </c>
      <c r="I255" s="16"/>
      <c r="J255" s="61" t="s">
        <v>22</v>
      </c>
      <c r="K255" s="28" t="s">
        <v>3365</v>
      </c>
      <c r="L255" s="16" t="s">
        <v>3318</v>
      </c>
      <c r="M255" s="16">
        <v>12</v>
      </c>
      <c r="N255" s="17"/>
      <c r="O255" s="17"/>
      <c r="P255" s="17" t="str">
        <f t="shared" si="38"/>
        <v>🟢</v>
      </c>
      <c r="Q255" s="60"/>
    </row>
    <row r="256" spans="1:86" ht="18" customHeight="1" x14ac:dyDescent="0.4">
      <c r="A256" s="10">
        <f t="shared" ref="A256:A296" si="43">IF(COUNTA(C256:K256)=0,"",ROW()-1)</f>
        <v>255</v>
      </c>
      <c r="B256" s="13">
        <f t="shared" ref="B256:B296" si="44">IF($F256&lt;&gt;"",$A256,"")</f>
        <v>255</v>
      </c>
      <c r="C256" s="16" t="s">
        <v>1770</v>
      </c>
      <c r="D256" s="16" t="s">
        <v>1887</v>
      </c>
      <c r="E256" s="17" t="s">
        <v>1257</v>
      </c>
      <c r="F256" s="16" t="s">
        <v>1891</v>
      </c>
      <c r="G256" s="16" t="s">
        <v>133</v>
      </c>
      <c r="H256" s="16" t="s">
        <v>927</v>
      </c>
      <c r="I256" s="16" t="s">
        <v>213</v>
      </c>
      <c r="J256" s="62" t="s">
        <v>22</v>
      </c>
      <c r="K256" s="16" t="s">
        <v>1892</v>
      </c>
      <c r="L256" s="16" t="s">
        <v>3318</v>
      </c>
      <c r="M256" s="16">
        <v>13</v>
      </c>
      <c r="N256" s="17" t="s">
        <v>1257</v>
      </c>
      <c r="O256" s="17" t="str">
        <f t="shared" ref="O256:O296" si="45">IF(AND(UPPER($N256)="VIP",UPPER($J256)&lt;&gt;"NO",$F256&lt;&gt;""),"SI","NO")</f>
        <v>NO</v>
      </c>
      <c r="P256" s="17" t="str">
        <f t="shared" si="38"/>
        <v>🟢</v>
      </c>
      <c r="Q256" s="60"/>
    </row>
    <row r="257" spans="1:86" ht="18" customHeight="1" x14ac:dyDescent="0.4">
      <c r="A257" s="7">
        <f t="shared" si="43"/>
        <v>256</v>
      </c>
      <c r="B257" s="13">
        <f t="shared" si="44"/>
        <v>256</v>
      </c>
      <c r="C257" s="28" t="s">
        <v>1770</v>
      </c>
      <c r="D257" s="28"/>
      <c r="E257" s="17" t="s">
        <v>1257</v>
      </c>
      <c r="F257" s="16" t="s">
        <v>2125</v>
      </c>
      <c r="G257" s="28" t="s">
        <v>2126</v>
      </c>
      <c r="H257" s="28" t="s">
        <v>678</v>
      </c>
      <c r="I257" s="28" t="s">
        <v>2127</v>
      </c>
      <c r="J257" s="61" t="s">
        <v>22</v>
      </c>
      <c r="K257" s="28" t="s">
        <v>2128</v>
      </c>
      <c r="L257" s="16" t="s">
        <v>3319</v>
      </c>
      <c r="M257" s="16">
        <v>6</v>
      </c>
      <c r="N257" s="17" t="s">
        <v>659</v>
      </c>
      <c r="O257" s="17" t="str">
        <f t="shared" si="45"/>
        <v>NO</v>
      </c>
      <c r="P257" s="17" t="str">
        <f t="shared" si="38"/>
        <v>🟢</v>
      </c>
      <c r="Q257" s="60"/>
    </row>
    <row r="258" spans="1:86" ht="18" hidden="1" customHeight="1" x14ac:dyDescent="0.4">
      <c r="A258" s="10">
        <f t="shared" si="43"/>
        <v>257</v>
      </c>
      <c r="B258" s="13">
        <f t="shared" si="44"/>
        <v>257</v>
      </c>
      <c r="C258" s="16" t="s">
        <v>1134</v>
      </c>
      <c r="D258" s="16" t="s">
        <v>751</v>
      </c>
      <c r="E258" s="17" t="str">
        <f>IF(UPPER($J258)="NO","",$N258)</f>
        <v/>
      </c>
      <c r="F258" s="16" t="s">
        <v>1176</v>
      </c>
      <c r="G258" s="16" t="s">
        <v>1177</v>
      </c>
      <c r="H258" s="16" t="s">
        <v>1178</v>
      </c>
      <c r="I258" s="16" t="s">
        <v>686</v>
      </c>
      <c r="J258" s="62" t="s">
        <v>71</v>
      </c>
      <c r="K258" s="16" t="s">
        <v>1179</v>
      </c>
      <c r="L258" s="16"/>
      <c r="M258" s="16"/>
      <c r="N258" s="17" t="s">
        <v>24</v>
      </c>
      <c r="O258" s="17" t="str">
        <f t="shared" si="45"/>
        <v>NO</v>
      </c>
      <c r="P258" s="17" t="str">
        <f t="shared" ref="P258:P289" si="46">IF(UPPER($J258)="SI","🟢",IF(UPPER($J258)="NO","🔴","🟡"))</f>
        <v>🔴</v>
      </c>
      <c r="Q258" s="60" t="s">
        <v>1152</v>
      </c>
    </row>
    <row r="259" spans="1:86" ht="18" hidden="1" customHeight="1" x14ac:dyDescent="0.4">
      <c r="A259" s="7">
        <f t="shared" si="43"/>
        <v>258</v>
      </c>
      <c r="B259" s="13">
        <f t="shared" si="44"/>
        <v>258</v>
      </c>
      <c r="C259" s="14" t="s">
        <v>1134</v>
      </c>
      <c r="D259" s="14" t="s">
        <v>751</v>
      </c>
      <c r="E259" s="15" t="str">
        <f>IF(UPPER($J259)="NO","",$N259)</f>
        <v/>
      </c>
      <c r="F259" s="16" t="s">
        <v>1180</v>
      </c>
      <c r="G259" s="14" t="s">
        <v>1075</v>
      </c>
      <c r="H259" s="14" t="s">
        <v>130</v>
      </c>
      <c r="I259" s="14" t="s">
        <v>1181</v>
      </c>
      <c r="J259" s="62" t="s">
        <v>71</v>
      </c>
      <c r="K259" s="14" t="s">
        <v>1182</v>
      </c>
      <c r="L259" s="16"/>
      <c r="M259" s="16"/>
      <c r="N259" s="17" t="s">
        <v>24</v>
      </c>
      <c r="O259" s="17" t="str">
        <f t="shared" si="45"/>
        <v>NO</v>
      </c>
      <c r="P259" s="17" t="str">
        <f t="shared" si="46"/>
        <v>🔴</v>
      </c>
      <c r="Q259" s="60" t="s">
        <v>1152</v>
      </c>
    </row>
    <row r="260" spans="1:86" ht="18" hidden="1" customHeight="1" x14ac:dyDescent="0.4">
      <c r="A260" s="10">
        <f t="shared" si="43"/>
        <v>259</v>
      </c>
      <c r="B260" s="13">
        <f t="shared" si="44"/>
        <v>259</v>
      </c>
      <c r="C260" s="14" t="s">
        <v>1134</v>
      </c>
      <c r="D260" s="14" t="s">
        <v>751</v>
      </c>
      <c r="E260" s="15" t="str">
        <f>IF(UPPER($J260)="NO","",$N260)</f>
        <v/>
      </c>
      <c r="F260" s="16" t="s">
        <v>1183</v>
      </c>
      <c r="G260" s="14" t="s">
        <v>1184</v>
      </c>
      <c r="H260" s="14" t="s">
        <v>1185</v>
      </c>
      <c r="I260" s="14" t="s">
        <v>1186</v>
      </c>
      <c r="J260" s="63" t="s">
        <v>71</v>
      </c>
      <c r="K260" s="14" t="s">
        <v>1187</v>
      </c>
      <c r="L260" s="16"/>
      <c r="M260" s="16"/>
      <c r="N260" s="17"/>
      <c r="O260" s="17" t="str">
        <f t="shared" si="45"/>
        <v>NO</v>
      </c>
      <c r="P260" s="17" t="str">
        <f t="shared" si="46"/>
        <v>🔴</v>
      </c>
      <c r="Q260" s="60"/>
    </row>
    <row r="261" spans="1:86" ht="18" customHeight="1" x14ac:dyDescent="0.4">
      <c r="A261" s="7">
        <f t="shared" si="43"/>
        <v>260</v>
      </c>
      <c r="B261" s="13">
        <f t="shared" si="44"/>
        <v>260</v>
      </c>
      <c r="C261" s="16" t="s">
        <v>1770</v>
      </c>
      <c r="D261" s="16" t="s">
        <v>1887</v>
      </c>
      <c r="E261" s="17" t="s">
        <v>1257</v>
      </c>
      <c r="F261" s="16" t="s">
        <v>1888</v>
      </c>
      <c r="G261" s="16" t="s">
        <v>1889</v>
      </c>
      <c r="H261" s="16" t="s">
        <v>135</v>
      </c>
      <c r="I261" s="16" t="s">
        <v>719</v>
      </c>
      <c r="J261" s="62" t="s">
        <v>22</v>
      </c>
      <c r="K261" s="16" t="s">
        <v>1890</v>
      </c>
      <c r="L261" s="16" t="s">
        <v>3318</v>
      </c>
      <c r="M261" s="16">
        <v>14</v>
      </c>
      <c r="N261" s="17" t="s">
        <v>1257</v>
      </c>
      <c r="O261" s="17" t="str">
        <f t="shared" si="45"/>
        <v>NO</v>
      </c>
      <c r="P261" s="17" t="str">
        <f t="shared" si="46"/>
        <v>🟢</v>
      </c>
      <c r="Q261" s="60"/>
    </row>
    <row r="262" spans="1:86" ht="18" hidden="1" customHeight="1" x14ac:dyDescent="0.4">
      <c r="A262" s="10">
        <f t="shared" si="43"/>
        <v>261</v>
      </c>
      <c r="B262" s="13">
        <f t="shared" si="44"/>
        <v>261</v>
      </c>
      <c r="C262" s="16" t="s">
        <v>1134</v>
      </c>
      <c r="D262" s="16" t="s">
        <v>751</v>
      </c>
      <c r="E262" s="17" t="str">
        <f>IF(UPPER($J262)="NO","",$N262)</f>
        <v>VIP</v>
      </c>
      <c r="F262" s="16" t="s">
        <v>1190</v>
      </c>
      <c r="G262" s="16" t="s">
        <v>1191</v>
      </c>
      <c r="H262" s="16" t="s">
        <v>1192</v>
      </c>
      <c r="I262" s="16" t="s">
        <v>1193</v>
      </c>
      <c r="J262" s="62" t="s">
        <v>22</v>
      </c>
      <c r="K262" s="16" t="s">
        <v>1194</v>
      </c>
      <c r="L262" s="16"/>
      <c r="M262" s="16"/>
      <c r="N262" s="17" t="s">
        <v>24</v>
      </c>
      <c r="O262" s="17" t="str">
        <f t="shared" si="45"/>
        <v>SI</v>
      </c>
      <c r="P262" s="17" t="str">
        <f t="shared" si="46"/>
        <v>🟢</v>
      </c>
      <c r="Q262" s="60" t="s">
        <v>1152</v>
      </c>
    </row>
    <row r="263" spans="1:86" ht="18" hidden="1" customHeight="1" x14ac:dyDescent="0.4">
      <c r="A263" s="7">
        <f t="shared" si="43"/>
        <v>262</v>
      </c>
      <c r="B263" s="13">
        <f t="shared" si="44"/>
        <v>262</v>
      </c>
      <c r="C263" s="14" t="s">
        <v>1134</v>
      </c>
      <c r="D263" s="14" t="s">
        <v>751</v>
      </c>
      <c r="E263" s="15" t="str">
        <f>IF(UPPER($J263)="NO","",$N263)</f>
        <v>VIP</v>
      </c>
      <c r="F263" s="16" t="s">
        <v>1195</v>
      </c>
      <c r="G263" s="14" t="s">
        <v>114</v>
      </c>
      <c r="H263" s="14" t="s">
        <v>140</v>
      </c>
      <c r="I263" s="14" t="s">
        <v>1196</v>
      </c>
      <c r="J263" s="62" t="s">
        <v>22</v>
      </c>
      <c r="K263" s="14" t="s">
        <v>1197</v>
      </c>
      <c r="L263" s="16"/>
      <c r="M263" s="16"/>
      <c r="N263" s="17" t="s">
        <v>24</v>
      </c>
      <c r="O263" s="17" t="str">
        <f t="shared" si="45"/>
        <v>SI</v>
      </c>
      <c r="P263" s="17" t="str">
        <f t="shared" si="46"/>
        <v>🟢</v>
      </c>
      <c r="Q263" s="60" t="s">
        <v>1152</v>
      </c>
    </row>
    <row r="264" spans="1:86" ht="18" customHeight="1" x14ac:dyDescent="0.4">
      <c r="A264" s="10">
        <f t="shared" si="43"/>
        <v>263</v>
      </c>
      <c r="B264" s="13">
        <f t="shared" si="44"/>
        <v>263</v>
      </c>
      <c r="C264" s="24" t="s">
        <v>1569</v>
      </c>
      <c r="D264" s="24" t="s">
        <v>1397</v>
      </c>
      <c r="E264" s="17" t="s">
        <v>1257</v>
      </c>
      <c r="F264" s="16" t="s">
        <v>1597</v>
      </c>
      <c r="G264" s="24" t="s">
        <v>1598</v>
      </c>
      <c r="H264" s="24" t="s">
        <v>1599</v>
      </c>
      <c r="I264" s="24" t="s">
        <v>1024</v>
      </c>
      <c r="J264" s="61" t="s">
        <v>22</v>
      </c>
      <c r="K264" s="24" t="s">
        <v>1600</v>
      </c>
      <c r="L264" s="16" t="s">
        <v>3319</v>
      </c>
      <c r="M264" s="16">
        <v>7</v>
      </c>
      <c r="N264" s="17" t="s">
        <v>659</v>
      </c>
      <c r="O264" s="17" t="str">
        <f t="shared" si="45"/>
        <v>NO</v>
      </c>
      <c r="P264" s="17" t="str">
        <f t="shared" si="46"/>
        <v>🟢</v>
      </c>
      <c r="Q264" s="60"/>
    </row>
    <row r="265" spans="1:86" ht="18" hidden="1" customHeight="1" x14ac:dyDescent="0.4">
      <c r="A265" s="7">
        <f t="shared" si="43"/>
        <v>264</v>
      </c>
      <c r="B265" s="13">
        <f t="shared" si="44"/>
        <v>264</v>
      </c>
      <c r="C265" s="16" t="s">
        <v>1134</v>
      </c>
      <c r="D265" s="16" t="s">
        <v>751</v>
      </c>
      <c r="E265" s="17" t="str">
        <f>IF(UPPER($J265)="NO","",$N265)</f>
        <v>VIP</v>
      </c>
      <c r="F265" s="16" t="s">
        <v>1200</v>
      </c>
      <c r="G265" s="16" t="s">
        <v>895</v>
      </c>
      <c r="H265" s="16" t="s">
        <v>1201</v>
      </c>
      <c r="I265" s="16" t="s">
        <v>705</v>
      </c>
      <c r="J265" s="64" t="s">
        <v>22</v>
      </c>
      <c r="K265" s="16" t="s">
        <v>1202</v>
      </c>
      <c r="L265" s="16"/>
      <c r="M265" s="16"/>
      <c r="N265" s="17" t="s">
        <v>24</v>
      </c>
      <c r="O265" s="17" t="str">
        <f t="shared" si="45"/>
        <v>SI</v>
      </c>
      <c r="P265" s="17" t="str">
        <f t="shared" si="46"/>
        <v>🟢</v>
      </c>
      <c r="Q265" s="60" t="s">
        <v>1152</v>
      </c>
    </row>
    <row r="266" spans="1:86" ht="18" hidden="1" customHeight="1" x14ac:dyDescent="0.4">
      <c r="A266" s="10">
        <f t="shared" si="43"/>
        <v>265</v>
      </c>
      <c r="B266" s="13">
        <f t="shared" si="44"/>
        <v>265</v>
      </c>
      <c r="C266" s="14" t="s">
        <v>1134</v>
      </c>
      <c r="D266" s="14" t="s">
        <v>751</v>
      </c>
      <c r="E266" s="15" t="str">
        <f>IF(UPPER($J266)="NO","",$N266)</f>
        <v>VIP</v>
      </c>
      <c r="F266" s="16" t="s">
        <v>1203</v>
      </c>
      <c r="G266" s="14" t="s">
        <v>473</v>
      </c>
      <c r="H266" s="14" t="s">
        <v>1204</v>
      </c>
      <c r="I266" s="14" t="s">
        <v>539</v>
      </c>
      <c r="J266" s="62" t="s">
        <v>57</v>
      </c>
      <c r="K266" s="14" t="s">
        <v>1205</v>
      </c>
      <c r="L266" s="16"/>
      <c r="M266" s="16"/>
      <c r="N266" s="17" t="s">
        <v>24</v>
      </c>
      <c r="O266" s="17" t="str">
        <f t="shared" si="45"/>
        <v>SI</v>
      </c>
      <c r="P266" s="17" t="str">
        <f t="shared" si="46"/>
        <v>🟡</v>
      </c>
      <c r="Q266" s="60" t="s">
        <v>1152</v>
      </c>
    </row>
    <row r="267" spans="1:86" ht="18" customHeight="1" x14ac:dyDescent="0.4">
      <c r="A267" s="10">
        <f t="shared" si="43"/>
        <v>266</v>
      </c>
      <c r="B267" s="13">
        <f t="shared" si="44"/>
        <v>266</v>
      </c>
      <c r="C267" s="32" t="s">
        <v>2441</v>
      </c>
      <c r="D267" s="32" t="s">
        <v>46</v>
      </c>
      <c r="E267" s="17" t="s">
        <v>1257</v>
      </c>
      <c r="F267" s="16" t="s">
        <v>2473</v>
      </c>
      <c r="G267" s="32" t="s">
        <v>2474</v>
      </c>
      <c r="H267" s="32" t="s">
        <v>1358</v>
      </c>
      <c r="I267" s="32" t="s">
        <v>683</v>
      </c>
      <c r="J267" s="61" t="s">
        <v>22</v>
      </c>
      <c r="K267" s="32" t="s">
        <v>2475</v>
      </c>
      <c r="L267" s="16"/>
      <c r="M267" s="16"/>
      <c r="N267" s="17" t="s">
        <v>1257</v>
      </c>
      <c r="O267" s="17" t="str">
        <f t="shared" si="45"/>
        <v>NO</v>
      </c>
      <c r="P267" s="17" t="str">
        <f t="shared" si="46"/>
        <v>🟢</v>
      </c>
      <c r="Q267" s="60"/>
    </row>
    <row r="268" spans="1:86" ht="18" hidden="1" customHeight="1" x14ac:dyDescent="0.4">
      <c r="A268" s="10">
        <f t="shared" si="43"/>
        <v>267</v>
      </c>
      <c r="B268" s="13">
        <f t="shared" si="44"/>
        <v>267</v>
      </c>
      <c r="C268" s="16" t="s">
        <v>1134</v>
      </c>
      <c r="D268" s="16" t="s">
        <v>46</v>
      </c>
      <c r="E268" s="17" t="str">
        <f>IF(UPPER($J268)="NO","",$N268)</f>
        <v>VIP</v>
      </c>
      <c r="F268" s="16" t="s">
        <v>1209</v>
      </c>
      <c r="G268" s="16" t="s">
        <v>569</v>
      </c>
      <c r="H268" s="16" t="s">
        <v>1210</v>
      </c>
      <c r="I268" s="16" t="s">
        <v>1211</v>
      </c>
      <c r="J268" s="61" t="s">
        <v>22</v>
      </c>
      <c r="K268" s="16" t="s">
        <v>1212</v>
      </c>
      <c r="L268" s="16"/>
      <c r="M268" s="16"/>
      <c r="N268" s="17" t="s">
        <v>24</v>
      </c>
      <c r="O268" s="17" t="str">
        <f t="shared" si="45"/>
        <v>SI</v>
      </c>
      <c r="P268" s="17" t="str">
        <f t="shared" si="46"/>
        <v>🟢</v>
      </c>
      <c r="Q268" s="60" t="s">
        <v>1152</v>
      </c>
    </row>
    <row r="269" spans="1:86" ht="18" hidden="1" customHeight="1" x14ac:dyDescent="0.4">
      <c r="A269" s="7">
        <f t="shared" si="43"/>
        <v>268</v>
      </c>
      <c r="B269" s="13">
        <f t="shared" si="44"/>
        <v>268</v>
      </c>
      <c r="C269" s="16" t="s">
        <v>1770</v>
      </c>
      <c r="D269" s="16" t="s">
        <v>882</v>
      </c>
      <c r="E269" s="17" t="s">
        <v>24</v>
      </c>
      <c r="F269" s="16" t="s">
        <v>1820</v>
      </c>
      <c r="G269" s="16" t="s">
        <v>1821</v>
      </c>
      <c r="H269" s="16" t="s">
        <v>1822</v>
      </c>
      <c r="I269" s="16" t="s">
        <v>1154</v>
      </c>
      <c r="J269" s="61" t="s">
        <v>22</v>
      </c>
      <c r="K269" s="16" t="s">
        <v>1823</v>
      </c>
      <c r="L269" s="16"/>
      <c r="M269" s="16"/>
      <c r="N269" s="17" t="s">
        <v>659</v>
      </c>
      <c r="O269" s="17" t="str">
        <f t="shared" si="45"/>
        <v>NO</v>
      </c>
      <c r="P269" s="17" t="str">
        <f t="shared" si="46"/>
        <v>🟢</v>
      </c>
      <c r="Q269" s="60"/>
    </row>
    <row r="270" spans="1:86" ht="18" customHeight="1" x14ac:dyDescent="0.4">
      <c r="A270" s="7">
        <f t="shared" si="43"/>
        <v>269</v>
      </c>
      <c r="B270" s="13">
        <f t="shared" si="44"/>
        <v>269</v>
      </c>
      <c r="C270" s="16" t="s">
        <v>1569</v>
      </c>
      <c r="D270" s="16" t="s">
        <v>817</v>
      </c>
      <c r="E270" s="17" t="str">
        <f>IF(UPPER($J270)="NO","",$N270)</f>
        <v>LATERAL</v>
      </c>
      <c r="F270" s="16" t="s">
        <v>1682</v>
      </c>
      <c r="G270" s="16" t="s">
        <v>1683</v>
      </c>
      <c r="H270" s="16" t="s">
        <v>1684</v>
      </c>
      <c r="I270" s="16" t="s">
        <v>1685</v>
      </c>
      <c r="J270" s="63" t="s">
        <v>22</v>
      </c>
      <c r="K270" s="16" t="s">
        <v>1686</v>
      </c>
      <c r="L270" s="16" t="s">
        <v>3320</v>
      </c>
      <c r="M270" s="16">
        <v>1</v>
      </c>
      <c r="N270" s="17" t="s">
        <v>1257</v>
      </c>
      <c r="O270" s="17" t="str">
        <f t="shared" si="45"/>
        <v>NO</v>
      </c>
      <c r="P270" s="17" t="str">
        <f t="shared" si="46"/>
        <v>🟢</v>
      </c>
      <c r="Q270" s="60"/>
    </row>
    <row r="271" spans="1:86" s="5" customFormat="1" ht="18" customHeight="1" x14ac:dyDescent="0.4">
      <c r="A271" s="7">
        <f t="shared" si="43"/>
        <v>270</v>
      </c>
      <c r="B271" s="13">
        <f t="shared" si="44"/>
        <v>270</v>
      </c>
      <c r="C271" s="30" t="s">
        <v>2162</v>
      </c>
      <c r="D271" s="30"/>
      <c r="E271" s="17" t="s">
        <v>1257</v>
      </c>
      <c r="F271" s="16" t="s">
        <v>2245</v>
      </c>
      <c r="G271" s="30" t="s">
        <v>473</v>
      </c>
      <c r="H271" s="30" t="s">
        <v>1082</v>
      </c>
      <c r="I271" s="30" t="s">
        <v>1609</v>
      </c>
      <c r="J271" s="62" t="s">
        <v>22</v>
      </c>
      <c r="K271" s="30" t="s">
        <v>2246</v>
      </c>
      <c r="L271" s="16" t="s">
        <v>3320</v>
      </c>
      <c r="M271" s="16">
        <v>2</v>
      </c>
      <c r="N271" s="17" t="s">
        <v>1257</v>
      </c>
      <c r="O271" s="17" t="str">
        <f t="shared" si="45"/>
        <v>NO</v>
      </c>
      <c r="P271" s="17" t="str">
        <f t="shared" si="46"/>
        <v>🟢</v>
      </c>
      <c r="Q271" s="60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ht="18" hidden="1" customHeight="1" x14ac:dyDescent="0.4">
      <c r="A272" s="10">
        <f t="shared" si="43"/>
        <v>271</v>
      </c>
      <c r="B272" s="13">
        <f t="shared" si="44"/>
        <v>271</v>
      </c>
      <c r="C272" s="18" t="s">
        <v>1225</v>
      </c>
      <c r="D272" s="18" t="s">
        <v>95</v>
      </c>
      <c r="E272" s="19" t="str">
        <f>IF(UPPER($J272)="NO","",$N272)</f>
        <v/>
      </c>
      <c r="F272" s="16" t="s">
        <v>1226</v>
      </c>
      <c r="G272" s="18" t="s">
        <v>1227</v>
      </c>
      <c r="H272" s="18" t="s">
        <v>1228</v>
      </c>
      <c r="I272" s="18"/>
      <c r="J272" s="62" t="s">
        <v>71</v>
      </c>
      <c r="K272" s="18" t="s">
        <v>1229</v>
      </c>
      <c r="L272" s="16"/>
      <c r="M272" s="16"/>
      <c r="N272" s="17" t="s">
        <v>24</v>
      </c>
      <c r="O272" s="17" t="str">
        <f t="shared" si="45"/>
        <v>NO</v>
      </c>
      <c r="P272" s="17" t="str">
        <f t="shared" si="46"/>
        <v>🔴</v>
      </c>
      <c r="Q272" s="60" t="s">
        <v>1152</v>
      </c>
    </row>
    <row r="273" spans="1:17" ht="18" hidden="1" customHeight="1" x14ac:dyDescent="0.4">
      <c r="A273" s="7">
        <f t="shared" si="43"/>
        <v>272</v>
      </c>
      <c r="B273" s="13">
        <f t="shared" si="44"/>
        <v>272</v>
      </c>
      <c r="C273" s="11" t="s">
        <v>1225</v>
      </c>
      <c r="D273" s="16"/>
      <c r="E273" s="17" t="str">
        <f>IF(UPPER($J273)="NO","",$N273)</f>
        <v/>
      </c>
      <c r="F273" s="16" t="s">
        <v>1230</v>
      </c>
      <c r="G273" s="16" t="s">
        <v>1231</v>
      </c>
      <c r="H273" s="16" t="s">
        <v>616</v>
      </c>
      <c r="I273" s="16" t="s">
        <v>1232</v>
      </c>
      <c r="J273" s="62" t="s">
        <v>71</v>
      </c>
      <c r="K273" s="16" t="s">
        <v>1233</v>
      </c>
      <c r="L273" s="16"/>
      <c r="M273" s="16"/>
      <c r="N273" s="17" t="s">
        <v>24</v>
      </c>
      <c r="O273" s="17" t="str">
        <f t="shared" si="45"/>
        <v>NO</v>
      </c>
      <c r="P273" s="17" t="str">
        <f t="shared" si="46"/>
        <v>🔴</v>
      </c>
      <c r="Q273" s="60" t="s">
        <v>1152</v>
      </c>
    </row>
    <row r="274" spans="1:17" ht="18" hidden="1" customHeight="1" x14ac:dyDescent="0.4">
      <c r="A274" s="10">
        <f t="shared" si="43"/>
        <v>273</v>
      </c>
      <c r="B274" s="13">
        <f t="shared" si="44"/>
        <v>273</v>
      </c>
      <c r="C274" s="18" t="s">
        <v>1225</v>
      </c>
      <c r="D274" s="18" t="s">
        <v>751</v>
      </c>
      <c r="E274" s="19" t="str">
        <f>IF(UPPER($J274)="NO","",$N274)</f>
        <v/>
      </c>
      <c r="F274" s="16" t="s">
        <v>1234</v>
      </c>
      <c r="G274" s="18" t="s">
        <v>1015</v>
      </c>
      <c r="H274" s="18" t="s">
        <v>1235</v>
      </c>
      <c r="I274" s="18" t="s">
        <v>1236</v>
      </c>
      <c r="J274" s="62" t="s">
        <v>71</v>
      </c>
      <c r="K274" s="18" t="s">
        <v>1237</v>
      </c>
      <c r="L274" s="16"/>
      <c r="M274" s="16"/>
      <c r="N274" s="17" t="s">
        <v>24</v>
      </c>
      <c r="O274" s="17" t="str">
        <f t="shared" si="45"/>
        <v>NO</v>
      </c>
      <c r="P274" s="17" t="str">
        <f t="shared" si="46"/>
        <v>🔴</v>
      </c>
      <c r="Q274" s="60" t="s">
        <v>1152</v>
      </c>
    </row>
    <row r="275" spans="1:17" ht="18" hidden="1" customHeight="1" x14ac:dyDescent="0.4">
      <c r="A275" s="7">
        <f t="shared" si="43"/>
        <v>274</v>
      </c>
      <c r="B275" s="13">
        <f t="shared" si="44"/>
        <v>274</v>
      </c>
      <c r="C275" s="11" t="s">
        <v>1225</v>
      </c>
      <c r="D275" s="11"/>
      <c r="E275" s="12" t="str">
        <f>IF(UPPER($J275)="NO","",$N275)</f>
        <v/>
      </c>
      <c r="F275" s="16" t="s">
        <v>1238</v>
      </c>
      <c r="G275" s="16" t="s">
        <v>114</v>
      </c>
      <c r="H275" s="16" t="s">
        <v>99</v>
      </c>
      <c r="I275" s="16"/>
      <c r="J275" s="63" t="s">
        <v>71</v>
      </c>
      <c r="K275" s="16" t="s">
        <v>1239</v>
      </c>
      <c r="L275" s="16"/>
      <c r="M275" s="16"/>
      <c r="N275" s="17"/>
      <c r="O275" s="17" t="str">
        <f t="shared" si="45"/>
        <v>NO</v>
      </c>
      <c r="P275" s="17" t="str">
        <f t="shared" si="46"/>
        <v>🔴</v>
      </c>
      <c r="Q275" s="60"/>
    </row>
    <row r="276" spans="1:17" ht="18" customHeight="1" x14ac:dyDescent="0.4">
      <c r="A276" s="7">
        <f t="shared" si="43"/>
        <v>275</v>
      </c>
      <c r="B276" s="13">
        <f t="shared" si="44"/>
        <v>275</v>
      </c>
      <c r="C276" s="16" t="s">
        <v>1374</v>
      </c>
      <c r="D276" s="16" t="s">
        <v>1384</v>
      </c>
      <c r="E276" s="12" t="s">
        <v>1257</v>
      </c>
      <c r="F276" s="16" t="s">
        <v>1385</v>
      </c>
      <c r="G276" s="16" t="s">
        <v>1386</v>
      </c>
      <c r="H276" s="16" t="s">
        <v>1291</v>
      </c>
      <c r="I276" s="16" t="s">
        <v>1387</v>
      </c>
      <c r="J276" s="62" t="s">
        <v>22</v>
      </c>
      <c r="K276" s="16" t="s">
        <v>1388</v>
      </c>
      <c r="L276" s="16" t="s">
        <v>3318</v>
      </c>
      <c r="M276" s="16">
        <v>15</v>
      </c>
      <c r="N276" s="17" t="s">
        <v>659</v>
      </c>
      <c r="O276" s="17" t="str">
        <f t="shared" si="45"/>
        <v>NO</v>
      </c>
      <c r="P276" s="17" t="str">
        <f t="shared" si="46"/>
        <v>🟢</v>
      </c>
      <c r="Q276" s="60"/>
    </row>
    <row r="277" spans="1:17" ht="18" hidden="1" customHeight="1" x14ac:dyDescent="0.4">
      <c r="A277" s="7">
        <f t="shared" si="43"/>
        <v>276</v>
      </c>
      <c r="B277" s="13">
        <f t="shared" si="44"/>
        <v>276</v>
      </c>
      <c r="C277" s="11" t="s">
        <v>1225</v>
      </c>
      <c r="D277" s="11" t="s">
        <v>95</v>
      </c>
      <c r="E277" s="12" t="str">
        <f>IF(UPPER($J277)="NO","",$N277)</f>
        <v/>
      </c>
      <c r="F277" s="16" t="s">
        <v>1244</v>
      </c>
      <c r="G277" s="16" t="s">
        <v>699</v>
      </c>
      <c r="H277" s="16" t="s">
        <v>1245</v>
      </c>
      <c r="I277" s="16"/>
      <c r="J277" s="63" t="s">
        <v>71</v>
      </c>
      <c r="K277" s="16" t="s">
        <v>1246</v>
      </c>
      <c r="L277" s="16"/>
      <c r="M277" s="16"/>
      <c r="N277" s="17"/>
      <c r="O277" s="17" t="str">
        <f t="shared" si="45"/>
        <v>NO</v>
      </c>
      <c r="P277" s="17" t="str">
        <f t="shared" si="46"/>
        <v>🔴</v>
      </c>
      <c r="Q277" s="60"/>
    </row>
    <row r="278" spans="1:17" ht="18" hidden="1" customHeight="1" x14ac:dyDescent="0.4">
      <c r="A278" s="10">
        <f t="shared" si="43"/>
        <v>277</v>
      </c>
      <c r="B278" s="13">
        <f t="shared" si="44"/>
        <v>277</v>
      </c>
      <c r="C278" s="18" t="s">
        <v>1225</v>
      </c>
      <c r="D278" s="18"/>
      <c r="E278" s="19" t="str">
        <f>IF(UPPER($J278)="NO","",$N278)</f>
        <v/>
      </c>
      <c r="F278" s="16" t="s">
        <v>1247</v>
      </c>
      <c r="G278" s="18" t="s">
        <v>328</v>
      </c>
      <c r="H278" s="18" t="s">
        <v>1248</v>
      </c>
      <c r="I278" s="18"/>
      <c r="J278" s="63" t="s">
        <v>71</v>
      </c>
      <c r="K278" s="18" t="s">
        <v>1249</v>
      </c>
      <c r="L278" s="16"/>
      <c r="M278" s="16"/>
      <c r="N278" s="17"/>
      <c r="O278" s="17" t="str">
        <f t="shared" si="45"/>
        <v>NO</v>
      </c>
      <c r="P278" s="17" t="str">
        <f t="shared" si="46"/>
        <v>🔴</v>
      </c>
      <c r="Q278" s="60"/>
    </row>
    <row r="279" spans="1:17" ht="18" customHeight="1" x14ac:dyDescent="0.4">
      <c r="A279" s="10">
        <f t="shared" si="43"/>
        <v>278</v>
      </c>
      <c r="B279" s="13">
        <f t="shared" si="44"/>
        <v>278</v>
      </c>
      <c r="C279" s="30" t="s">
        <v>2162</v>
      </c>
      <c r="D279" s="30"/>
      <c r="E279" s="17" t="s">
        <v>1257</v>
      </c>
      <c r="F279" s="16" t="s">
        <v>2247</v>
      </c>
      <c r="G279" s="30" t="s">
        <v>1035</v>
      </c>
      <c r="H279" s="30" t="s">
        <v>2248</v>
      </c>
      <c r="I279" s="30" t="s">
        <v>2249</v>
      </c>
      <c r="J279" s="62" t="s">
        <v>22</v>
      </c>
      <c r="K279" s="30" t="s">
        <v>2250</v>
      </c>
      <c r="L279" s="16" t="s">
        <v>3320</v>
      </c>
      <c r="M279" s="16">
        <v>3</v>
      </c>
      <c r="N279" s="17" t="s">
        <v>1257</v>
      </c>
      <c r="O279" s="17" t="str">
        <f t="shared" si="45"/>
        <v>NO</v>
      </c>
      <c r="P279" s="17" t="str">
        <f t="shared" si="46"/>
        <v>🟢</v>
      </c>
      <c r="Q279" s="60"/>
    </row>
    <row r="280" spans="1:17" ht="18" hidden="1" customHeight="1" x14ac:dyDescent="0.4">
      <c r="A280" s="10">
        <f t="shared" si="43"/>
        <v>279</v>
      </c>
      <c r="B280" s="13">
        <f t="shared" si="44"/>
        <v>279</v>
      </c>
      <c r="C280" s="18" t="s">
        <v>1225</v>
      </c>
      <c r="D280" s="18" t="s">
        <v>751</v>
      </c>
      <c r="E280" s="19" t="str">
        <f>IF(UPPER($J280)="NO","",$N280)</f>
        <v/>
      </c>
      <c r="F280" s="16" t="s">
        <v>1253</v>
      </c>
      <c r="G280" s="18" t="s">
        <v>1254</v>
      </c>
      <c r="H280" s="18" t="s">
        <v>1255</v>
      </c>
      <c r="I280" s="18"/>
      <c r="J280" s="63" t="s">
        <v>71</v>
      </c>
      <c r="K280" s="18" t="s">
        <v>1256</v>
      </c>
      <c r="L280" s="16"/>
      <c r="M280" s="16"/>
      <c r="N280" s="17" t="s">
        <v>1257</v>
      </c>
      <c r="O280" s="17" t="str">
        <f t="shared" si="45"/>
        <v>NO</v>
      </c>
      <c r="P280" s="17" t="str">
        <f t="shared" si="46"/>
        <v>🔴</v>
      </c>
      <c r="Q280" s="60"/>
    </row>
    <row r="281" spans="1:17" ht="18" hidden="1" customHeight="1" x14ac:dyDescent="0.4">
      <c r="A281" s="7">
        <f t="shared" si="43"/>
        <v>280</v>
      </c>
      <c r="B281" s="13">
        <f t="shared" si="44"/>
        <v>280</v>
      </c>
      <c r="C281" s="16" t="s">
        <v>1225</v>
      </c>
      <c r="D281" s="16" t="s">
        <v>751</v>
      </c>
      <c r="E281" s="17" t="str">
        <f>IF(UPPER($J281)="NO","",$N281)</f>
        <v/>
      </c>
      <c r="F281" s="16" t="s">
        <v>1258</v>
      </c>
      <c r="G281" s="16" t="s">
        <v>1259</v>
      </c>
      <c r="H281" s="16" t="s">
        <v>1260</v>
      </c>
      <c r="I281" s="16"/>
      <c r="J281" s="62" t="s">
        <v>71</v>
      </c>
      <c r="K281" s="16" t="s">
        <v>1261</v>
      </c>
      <c r="L281" s="16"/>
      <c r="M281" s="16"/>
      <c r="N281" s="17" t="s">
        <v>659</v>
      </c>
      <c r="O281" s="17" t="str">
        <f t="shared" si="45"/>
        <v>NO</v>
      </c>
      <c r="P281" s="17" t="str">
        <f t="shared" si="46"/>
        <v>🔴</v>
      </c>
      <c r="Q281" s="60"/>
    </row>
    <row r="282" spans="1:17" ht="18" customHeight="1" x14ac:dyDescent="0.4">
      <c r="A282" s="7">
        <f t="shared" si="43"/>
        <v>281</v>
      </c>
      <c r="B282" s="13">
        <f t="shared" si="44"/>
        <v>281</v>
      </c>
      <c r="C282" s="16" t="s">
        <v>1569</v>
      </c>
      <c r="D282" s="16" t="s">
        <v>1397</v>
      </c>
      <c r="E282" s="17" t="s">
        <v>1257</v>
      </c>
      <c r="F282" s="16" t="s">
        <v>1592</v>
      </c>
      <c r="G282" s="16" t="s">
        <v>1593</v>
      </c>
      <c r="H282" s="16" t="s">
        <v>1594</v>
      </c>
      <c r="I282" s="16" t="s">
        <v>1595</v>
      </c>
      <c r="J282" s="61" t="s">
        <v>22</v>
      </c>
      <c r="K282" s="16" t="s">
        <v>1596</v>
      </c>
      <c r="L282" s="16" t="s">
        <v>3319</v>
      </c>
      <c r="M282" s="16">
        <v>8</v>
      </c>
      <c r="N282" s="17" t="s">
        <v>659</v>
      </c>
      <c r="O282" s="17" t="str">
        <f t="shared" si="45"/>
        <v>NO</v>
      </c>
      <c r="P282" s="17" t="str">
        <f t="shared" si="46"/>
        <v>🟢</v>
      </c>
      <c r="Q282" s="60"/>
    </row>
    <row r="283" spans="1:17" ht="18" customHeight="1" x14ac:dyDescent="0.4">
      <c r="A283" s="7">
        <f t="shared" si="43"/>
        <v>282</v>
      </c>
      <c r="B283" s="13">
        <f t="shared" si="44"/>
        <v>282</v>
      </c>
      <c r="C283" s="16" t="s">
        <v>1770</v>
      </c>
      <c r="D283" s="16"/>
      <c r="E283" s="17" t="s">
        <v>1257</v>
      </c>
      <c r="F283" s="16" t="s">
        <v>1931</v>
      </c>
      <c r="G283" s="16" t="s">
        <v>322</v>
      </c>
      <c r="H283" s="16" t="s">
        <v>1932</v>
      </c>
      <c r="I283" s="16"/>
      <c r="J283" s="61" t="s">
        <v>22</v>
      </c>
      <c r="K283" s="16" t="s">
        <v>1933</v>
      </c>
      <c r="L283" s="16" t="s">
        <v>3318</v>
      </c>
      <c r="M283" s="16">
        <v>16</v>
      </c>
      <c r="N283" s="17" t="s">
        <v>659</v>
      </c>
      <c r="O283" s="17" t="str">
        <f t="shared" si="45"/>
        <v>NO</v>
      </c>
      <c r="P283" s="17" t="str">
        <f t="shared" si="46"/>
        <v>🟢</v>
      </c>
      <c r="Q283" s="60"/>
    </row>
    <row r="284" spans="1:17" ht="18" customHeight="1" x14ac:dyDescent="0.4">
      <c r="A284" s="10">
        <f t="shared" si="43"/>
        <v>283</v>
      </c>
      <c r="B284" s="13">
        <f t="shared" si="44"/>
        <v>283</v>
      </c>
      <c r="C284" s="24" t="s">
        <v>1569</v>
      </c>
      <c r="D284" s="24" t="s">
        <v>1397</v>
      </c>
      <c r="E284" s="17" t="s">
        <v>1257</v>
      </c>
      <c r="F284" s="16" t="s">
        <v>1588</v>
      </c>
      <c r="G284" s="24" t="s">
        <v>1589</v>
      </c>
      <c r="H284" s="24" t="s">
        <v>1590</v>
      </c>
      <c r="I284" s="24" t="s">
        <v>1050</v>
      </c>
      <c r="J284" s="61" t="s">
        <v>22</v>
      </c>
      <c r="K284" s="24" t="s">
        <v>1591</v>
      </c>
      <c r="L284" s="16" t="s">
        <v>3319</v>
      </c>
      <c r="M284" s="16">
        <v>9</v>
      </c>
      <c r="N284" s="17" t="s">
        <v>659</v>
      </c>
      <c r="O284" s="17" t="str">
        <f t="shared" si="45"/>
        <v>NO</v>
      </c>
      <c r="P284" s="17" t="str">
        <f t="shared" si="46"/>
        <v>🟢</v>
      </c>
      <c r="Q284" s="60"/>
    </row>
    <row r="285" spans="1:17" ht="18" customHeight="1" x14ac:dyDescent="0.4">
      <c r="A285" s="7">
        <f t="shared" si="43"/>
        <v>284</v>
      </c>
      <c r="B285" s="13">
        <f t="shared" si="44"/>
        <v>284</v>
      </c>
      <c r="C285" s="16" t="s">
        <v>2162</v>
      </c>
      <c r="D285" s="16"/>
      <c r="E285" s="17" t="s">
        <v>1257</v>
      </c>
      <c r="F285" s="16" t="s">
        <v>2251</v>
      </c>
      <c r="G285" s="16" t="s">
        <v>554</v>
      </c>
      <c r="H285" s="16" t="s">
        <v>467</v>
      </c>
      <c r="I285" s="16"/>
      <c r="J285" s="61" t="s">
        <v>22</v>
      </c>
      <c r="K285" s="16" t="s">
        <v>2252</v>
      </c>
      <c r="L285" s="16" t="s">
        <v>3320</v>
      </c>
      <c r="M285" s="16">
        <v>4</v>
      </c>
      <c r="N285" s="17" t="s">
        <v>659</v>
      </c>
      <c r="O285" s="17" t="str">
        <f t="shared" si="45"/>
        <v>NO</v>
      </c>
      <c r="P285" s="17" t="str">
        <f t="shared" si="46"/>
        <v>🟢</v>
      </c>
      <c r="Q285" s="60"/>
    </row>
    <row r="286" spans="1:17" ht="18" customHeight="1" x14ac:dyDescent="0.4">
      <c r="A286" s="10">
        <f t="shared" si="43"/>
        <v>285</v>
      </c>
      <c r="B286" s="13">
        <f t="shared" si="44"/>
        <v>285</v>
      </c>
      <c r="C286" s="16" t="s">
        <v>1770</v>
      </c>
      <c r="D286" s="16" t="s">
        <v>882</v>
      </c>
      <c r="E286" s="17" t="s">
        <v>1257</v>
      </c>
      <c r="F286" s="16" t="s">
        <v>1817</v>
      </c>
      <c r="G286" s="16" t="s">
        <v>473</v>
      </c>
      <c r="H286" s="16" t="s">
        <v>1818</v>
      </c>
      <c r="I286" s="16" t="s">
        <v>349</v>
      </c>
      <c r="J286" s="61" t="s">
        <v>22</v>
      </c>
      <c r="K286" s="16" t="s">
        <v>1819</v>
      </c>
      <c r="L286" s="16" t="s">
        <v>3318</v>
      </c>
      <c r="M286" s="16">
        <v>17</v>
      </c>
      <c r="N286" s="17" t="s">
        <v>659</v>
      </c>
      <c r="O286" s="17" t="str">
        <f t="shared" si="45"/>
        <v>NO</v>
      </c>
      <c r="P286" s="17" t="str">
        <f t="shared" si="46"/>
        <v>🟢</v>
      </c>
      <c r="Q286" s="60"/>
    </row>
    <row r="287" spans="1:17" ht="18" hidden="1" customHeight="1" x14ac:dyDescent="0.4">
      <c r="A287" s="7">
        <f t="shared" si="43"/>
        <v>286</v>
      </c>
      <c r="B287" s="13">
        <f t="shared" si="44"/>
        <v>286</v>
      </c>
      <c r="C287" s="16" t="s">
        <v>1225</v>
      </c>
      <c r="D287" s="16"/>
      <c r="E287" s="17" t="str">
        <f>IF(UPPER($J287)="NO","",$N287)</f>
        <v/>
      </c>
      <c r="F287" s="16" t="s">
        <v>1277</v>
      </c>
      <c r="G287" s="16" t="s">
        <v>114</v>
      </c>
      <c r="H287" s="16" t="s">
        <v>1278</v>
      </c>
      <c r="I287" s="16"/>
      <c r="J287" s="63" t="s">
        <v>71</v>
      </c>
      <c r="K287" s="16" t="s">
        <v>1279</v>
      </c>
      <c r="L287" s="16"/>
      <c r="M287" s="16"/>
      <c r="N287" s="17"/>
      <c r="O287" s="17" t="str">
        <f t="shared" si="45"/>
        <v>NO</v>
      </c>
      <c r="P287" s="17" t="str">
        <f t="shared" si="46"/>
        <v>🔴</v>
      </c>
      <c r="Q287" s="60"/>
    </row>
    <row r="288" spans="1:17" ht="18" hidden="1" customHeight="1" x14ac:dyDescent="0.4">
      <c r="A288" s="10">
        <f t="shared" si="43"/>
        <v>287</v>
      </c>
      <c r="B288" s="13">
        <f t="shared" si="44"/>
        <v>287</v>
      </c>
      <c r="C288" s="18" t="s">
        <v>1225</v>
      </c>
      <c r="D288" s="18" t="s">
        <v>751</v>
      </c>
      <c r="E288" s="19" t="str">
        <f>IF(UPPER($J288)="NO","",$N288)</f>
        <v/>
      </c>
      <c r="F288" s="16" t="s">
        <v>1280</v>
      </c>
      <c r="G288" s="18" t="s">
        <v>537</v>
      </c>
      <c r="H288" s="18" t="s">
        <v>361</v>
      </c>
      <c r="I288" s="18"/>
      <c r="J288" s="63" t="s">
        <v>71</v>
      </c>
      <c r="K288" s="18" t="s">
        <v>1281</v>
      </c>
      <c r="L288" s="16"/>
      <c r="M288" s="16"/>
      <c r="N288" s="17" t="s">
        <v>1257</v>
      </c>
      <c r="O288" s="17" t="str">
        <f t="shared" si="45"/>
        <v>NO</v>
      </c>
      <c r="P288" s="17" t="str">
        <f t="shared" si="46"/>
        <v>🔴</v>
      </c>
      <c r="Q288" s="60"/>
    </row>
    <row r="289" spans="1:86" ht="18" hidden="1" customHeight="1" x14ac:dyDescent="0.4">
      <c r="A289" s="7">
        <f t="shared" si="43"/>
        <v>288</v>
      </c>
      <c r="B289" s="13">
        <f t="shared" si="44"/>
        <v>288</v>
      </c>
      <c r="C289" s="16" t="s">
        <v>1225</v>
      </c>
      <c r="D289" s="16"/>
      <c r="E289" s="17" t="str">
        <f>IF(UPPER($J289)="NO","",$N289)</f>
        <v/>
      </c>
      <c r="F289" s="16" t="s">
        <v>1282</v>
      </c>
      <c r="G289" s="16" t="s">
        <v>91</v>
      </c>
      <c r="H289" s="16" t="s">
        <v>1283</v>
      </c>
      <c r="I289" s="16"/>
      <c r="J289" s="63" t="s">
        <v>71</v>
      </c>
      <c r="K289" s="16" t="s">
        <v>1284</v>
      </c>
      <c r="L289" s="16"/>
      <c r="M289" s="16"/>
      <c r="N289" s="17" t="s">
        <v>1257</v>
      </c>
      <c r="O289" s="17" t="str">
        <f t="shared" si="45"/>
        <v>NO</v>
      </c>
      <c r="P289" s="17" t="str">
        <f t="shared" si="46"/>
        <v>🔴</v>
      </c>
      <c r="Q289" s="60"/>
    </row>
    <row r="290" spans="1:86" ht="18" customHeight="1" x14ac:dyDescent="0.4">
      <c r="A290" s="7">
        <f t="shared" si="43"/>
        <v>289</v>
      </c>
      <c r="B290" s="13">
        <f t="shared" si="44"/>
        <v>289</v>
      </c>
      <c r="C290" s="16" t="s">
        <v>2162</v>
      </c>
      <c r="D290" s="16"/>
      <c r="E290" s="17" t="s">
        <v>1257</v>
      </c>
      <c r="F290" s="16" t="s">
        <v>2267</v>
      </c>
      <c r="G290" s="16" t="s">
        <v>317</v>
      </c>
      <c r="H290" s="16" t="s">
        <v>2268</v>
      </c>
      <c r="I290" s="16" t="s">
        <v>1154</v>
      </c>
      <c r="J290" s="61" t="s">
        <v>22</v>
      </c>
      <c r="K290" s="16" t="s">
        <v>2269</v>
      </c>
      <c r="L290" s="16" t="s">
        <v>3320</v>
      </c>
      <c r="M290" s="16">
        <v>5</v>
      </c>
      <c r="N290" s="17" t="s">
        <v>659</v>
      </c>
      <c r="O290" s="17" t="str">
        <f t="shared" si="45"/>
        <v>NO</v>
      </c>
      <c r="P290" s="17" t="str">
        <f t="shared" ref="P290:P296" si="47">IF(UPPER($J290)="SI","🟢",IF(UPPER($J290)="NO","🔴","🟡"))</f>
        <v>🟢</v>
      </c>
      <c r="Q290" s="60"/>
    </row>
    <row r="291" spans="1:86" ht="18" customHeight="1" x14ac:dyDescent="0.4">
      <c r="A291" s="7">
        <f t="shared" si="43"/>
        <v>290</v>
      </c>
      <c r="B291" s="13">
        <f t="shared" si="44"/>
        <v>290</v>
      </c>
      <c r="C291" s="16" t="s">
        <v>1770</v>
      </c>
      <c r="D291" s="16" t="s">
        <v>882</v>
      </c>
      <c r="E291" s="17" t="s">
        <v>1257</v>
      </c>
      <c r="F291" s="16" t="s">
        <v>1812</v>
      </c>
      <c r="G291" s="16" t="s">
        <v>1813</v>
      </c>
      <c r="H291" s="16" t="s">
        <v>1814</v>
      </c>
      <c r="I291" s="16" t="s">
        <v>1815</v>
      </c>
      <c r="J291" s="61" t="s">
        <v>22</v>
      </c>
      <c r="K291" s="16" t="s">
        <v>1816</v>
      </c>
      <c r="L291" s="16" t="s">
        <v>3318</v>
      </c>
      <c r="M291" s="16">
        <v>18</v>
      </c>
      <c r="N291" s="17" t="s">
        <v>659</v>
      </c>
      <c r="O291" s="17" t="str">
        <f t="shared" si="45"/>
        <v>NO</v>
      </c>
      <c r="P291" s="17" t="str">
        <f t="shared" si="47"/>
        <v>🟢</v>
      </c>
      <c r="Q291" s="60"/>
    </row>
    <row r="292" spans="1:86" ht="18" customHeight="1" x14ac:dyDescent="0.4">
      <c r="A292" s="7">
        <f t="shared" si="43"/>
        <v>291</v>
      </c>
      <c r="B292" s="13">
        <f t="shared" si="44"/>
        <v>291</v>
      </c>
      <c r="C292" s="16" t="s">
        <v>1770</v>
      </c>
      <c r="D292" s="16" t="s">
        <v>882</v>
      </c>
      <c r="E292" s="17" t="s">
        <v>1257</v>
      </c>
      <c r="F292" s="16" t="s">
        <v>1797</v>
      </c>
      <c r="G292" s="16" t="s">
        <v>311</v>
      </c>
      <c r="H292" s="16" t="s">
        <v>87</v>
      </c>
      <c r="I292" s="16" t="s">
        <v>1798</v>
      </c>
      <c r="J292" s="61" t="s">
        <v>22</v>
      </c>
      <c r="K292" s="16" t="s">
        <v>1799</v>
      </c>
      <c r="L292" s="16" t="s">
        <v>3318</v>
      </c>
      <c r="M292" s="16">
        <v>19</v>
      </c>
      <c r="N292" s="17" t="s">
        <v>659</v>
      </c>
      <c r="O292" s="17" t="str">
        <f t="shared" si="45"/>
        <v>NO</v>
      </c>
      <c r="P292" s="17" t="str">
        <f t="shared" si="47"/>
        <v>🟢</v>
      </c>
      <c r="Q292" s="60"/>
    </row>
    <row r="293" spans="1:86" ht="18" customHeight="1" x14ac:dyDescent="0.4">
      <c r="A293" s="7">
        <f t="shared" si="43"/>
        <v>292</v>
      </c>
      <c r="B293" s="13">
        <f t="shared" si="44"/>
        <v>292</v>
      </c>
      <c r="C293" s="16" t="s">
        <v>1569</v>
      </c>
      <c r="D293" s="16" t="s">
        <v>1397</v>
      </c>
      <c r="E293" s="17" t="s">
        <v>1257</v>
      </c>
      <c r="F293" s="16" t="s">
        <v>1584</v>
      </c>
      <c r="G293" s="16" t="s">
        <v>363</v>
      </c>
      <c r="H293" s="16" t="s">
        <v>1585</v>
      </c>
      <c r="I293" s="16" t="s">
        <v>1586</v>
      </c>
      <c r="J293" s="61" t="s">
        <v>22</v>
      </c>
      <c r="K293" s="16" t="s">
        <v>1587</v>
      </c>
      <c r="L293" s="16" t="s">
        <v>3319</v>
      </c>
      <c r="M293" s="16">
        <v>10</v>
      </c>
      <c r="N293" s="17" t="s">
        <v>659</v>
      </c>
      <c r="O293" s="17" t="str">
        <f t="shared" si="45"/>
        <v>NO</v>
      </c>
      <c r="P293" s="17" t="str">
        <f t="shared" si="47"/>
        <v>🟢</v>
      </c>
      <c r="Q293" s="60"/>
    </row>
    <row r="294" spans="1:86" ht="18" customHeight="1" x14ac:dyDescent="0.4">
      <c r="A294" s="7">
        <f t="shared" si="43"/>
        <v>293</v>
      </c>
      <c r="B294" s="13">
        <f t="shared" si="44"/>
        <v>293</v>
      </c>
      <c r="C294" s="16" t="s">
        <v>1569</v>
      </c>
      <c r="D294" s="16" t="s">
        <v>1397</v>
      </c>
      <c r="E294" s="17" t="s">
        <v>1257</v>
      </c>
      <c r="F294" s="16" t="s">
        <v>1576</v>
      </c>
      <c r="G294" s="16" t="s">
        <v>1577</v>
      </c>
      <c r="H294" s="16" t="s">
        <v>1578</v>
      </c>
      <c r="I294" s="16" t="s">
        <v>400</v>
      </c>
      <c r="J294" s="61" t="s">
        <v>22</v>
      </c>
      <c r="K294" s="16" t="s">
        <v>1579</v>
      </c>
      <c r="L294" s="16" t="s">
        <v>3319</v>
      </c>
      <c r="M294" s="16">
        <v>11</v>
      </c>
      <c r="N294" s="17" t="s">
        <v>659</v>
      </c>
      <c r="O294" s="17" t="str">
        <f t="shared" si="45"/>
        <v>NO</v>
      </c>
      <c r="P294" s="17" t="str">
        <f t="shared" si="47"/>
        <v>🟢</v>
      </c>
      <c r="Q294" s="60"/>
    </row>
    <row r="295" spans="1:86" ht="18" customHeight="1" x14ac:dyDescent="0.4">
      <c r="A295" s="10">
        <f t="shared" si="43"/>
        <v>294</v>
      </c>
      <c r="B295" s="13">
        <f t="shared" si="44"/>
        <v>294</v>
      </c>
      <c r="C295" s="30" t="s">
        <v>2162</v>
      </c>
      <c r="D295" s="30"/>
      <c r="E295" s="17" t="s">
        <v>1257</v>
      </c>
      <c r="F295" s="16" t="s">
        <v>2336</v>
      </c>
      <c r="G295" s="30" t="s">
        <v>2337</v>
      </c>
      <c r="H295" s="30" t="s">
        <v>2338</v>
      </c>
      <c r="I295" s="30"/>
      <c r="J295" s="61" t="s">
        <v>22</v>
      </c>
      <c r="K295" s="30" t="s">
        <v>2339</v>
      </c>
      <c r="L295" s="16" t="s">
        <v>3320</v>
      </c>
      <c r="M295" s="16">
        <v>6</v>
      </c>
      <c r="N295" s="17" t="s">
        <v>659</v>
      </c>
      <c r="O295" s="17" t="str">
        <f t="shared" si="45"/>
        <v>NO</v>
      </c>
      <c r="P295" s="17" t="str">
        <f t="shared" si="47"/>
        <v>🟢</v>
      </c>
      <c r="Q295" s="60"/>
    </row>
    <row r="296" spans="1:86" ht="18" customHeight="1" x14ac:dyDescent="0.4">
      <c r="A296" s="10">
        <f t="shared" si="43"/>
        <v>295</v>
      </c>
      <c r="B296" s="13">
        <f t="shared" si="44"/>
        <v>295</v>
      </c>
      <c r="C296" s="16" t="s">
        <v>2162</v>
      </c>
      <c r="D296" s="16"/>
      <c r="E296" s="17" t="s">
        <v>1257</v>
      </c>
      <c r="F296" s="16" t="s">
        <v>2322</v>
      </c>
      <c r="G296" s="16" t="s">
        <v>2323</v>
      </c>
      <c r="H296" s="16" t="s">
        <v>99</v>
      </c>
      <c r="I296" s="16" t="s">
        <v>42</v>
      </c>
      <c r="J296" s="61" t="s">
        <v>22</v>
      </c>
      <c r="K296" s="16" t="s">
        <v>2324</v>
      </c>
      <c r="L296" s="16" t="s">
        <v>3321</v>
      </c>
      <c r="M296" s="16">
        <v>1</v>
      </c>
      <c r="N296" s="17" t="s">
        <v>659</v>
      </c>
      <c r="O296" s="17" t="str">
        <f t="shared" si="45"/>
        <v>NO</v>
      </c>
      <c r="P296" s="17" t="str">
        <f t="shared" si="47"/>
        <v>🟢</v>
      </c>
      <c r="Q296" s="60"/>
    </row>
    <row r="297" spans="1:86" ht="18" customHeight="1" x14ac:dyDescent="0.4">
      <c r="A297" s="67"/>
      <c r="B297" s="68"/>
      <c r="C297" s="68"/>
      <c r="D297" s="68" t="s">
        <v>817</v>
      </c>
      <c r="E297" s="68" t="s">
        <v>1257</v>
      </c>
      <c r="F297" s="68"/>
      <c r="G297" s="68" t="s">
        <v>769</v>
      </c>
      <c r="H297" s="69" t="s">
        <v>3346</v>
      </c>
      <c r="I297" s="69" t="s">
        <v>3347</v>
      </c>
      <c r="J297" s="70" t="s">
        <v>22</v>
      </c>
      <c r="K297" s="71" t="s">
        <v>3348</v>
      </c>
      <c r="L297" s="68" t="s">
        <v>3324</v>
      </c>
      <c r="M297" s="16">
        <v>1</v>
      </c>
      <c r="N297" s="71"/>
      <c r="O297" s="69"/>
      <c r="P297" s="69"/>
      <c r="Q297" s="72"/>
    </row>
    <row r="298" spans="1:86" ht="18" customHeight="1" x14ac:dyDescent="0.4">
      <c r="A298" s="10">
        <f>IF(COUNTA(C298:K298)=0,"",ROW()-1)</f>
        <v>297</v>
      </c>
      <c r="B298" s="13">
        <f>IF($F298&lt;&gt;"",$A298,"")</f>
        <v>297</v>
      </c>
      <c r="C298" s="16" t="s">
        <v>1770</v>
      </c>
      <c r="D298" s="16" t="s">
        <v>882</v>
      </c>
      <c r="E298" s="17" t="s">
        <v>1257</v>
      </c>
      <c r="F298" s="16" t="s">
        <v>1794</v>
      </c>
      <c r="G298" s="16" t="s">
        <v>1795</v>
      </c>
      <c r="H298" s="16" t="s">
        <v>145</v>
      </c>
      <c r="I298" s="16" t="s">
        <v>1642</v>
      </c>
      <c r="J298" s="61" t="s">
        <v>22</v>
      </c>
      <c r="K298" s="16" t="s">
        <v>1796</v>
      </c>
      <c r="L298" s="16" t="s">
        <v>3318</v>
      </c>
      <c r="M298" s="16">
        <v>20</v>
      </c>
      <c r="N298" s="17" t="s">
        <v>659</v>
      </c>
      <c r="O298" s="17" t="str">
        <f>IF(AND(UPPER($N298)="VIP",UPPER($J298)&lt;&gt;"NO",$F298&lt;&gt;""),"SI","NO")</f>
        <v>NO</v>
      </c>
      <c r="P298" s="17" t="str">
        <f>IF(UPPER($J298)="SI","🟢",IF(UPPER($J298)="NO","🔴","🟡"))</f>
        <v>🟢</v>
      </c>
      <c r="Q298" s="60"/>
    </row>
    <row r="299" spans="1:86" ht="18" hidden="1" customHeight="1" x14ac:dyDescent="0.4">
      <c r="A299" s="7">
        <f>IF(COUNTA(C299:K299)=0,"",ROW()-1)</f>
        <v>298</v>
      </c>
      <c r="B299" s="13">
        <f>IF($F299&lt;&gt;"",$A299,"")</f>
        <v>298</v>
      </c>
      <c r="C299" s="18" t="s">
        <v>1225</v>
      </c>
      <c r="D299" s="18"/>
      <c r="E299" s="19" t="str">
        <f>IF(UPPER($J299)="NO","",$N299)</f>
        <v/>
      </c>
      <c r="F299" s="16" t="s">
        <v>1313</v>
      </c>
      <c r="G299" s="18" t="s">
        <v>724</v>
      </c>
      <c r="H299" s="18" t="s">
        <v>539</v>
      </c>
      <c r="I299" s="18" t="s">
        <v>1314</v>
      </c>
      <c r="J299" s="63" t="s">
        <v>71</v>
      </c>
      <c r="K299" s="18" t="s">
        <v>1315</v>
      </c>
      <c r="L299" s="16"/>
      <c r="M299" s="16"/>
      <c r="N299" s="17"/>
      <c r="O299" s="17" t="str">
        <f>IF(AND(UPPER($N299)="VIP",UPPER($J299)&lt;&gt;"NO",$F299&lt;&gt;""),"SI","NO")</f>
        <v>NO</v>
      </c>
      <c r="P299" s="17" t="str">
        <f>IF(UPPER($J299)="SI","🟢",IF(UPPER($J299)="NO","🔴","🟡"))</f>
        <v>🔴</v>
      </c>
      <c r="Q299" s="60"/>
    </row>
    <row r="300" spans="1:86" s="5" customFormat="1" ht="18" customHeight="1" x14ac:dyDescent="0.4">
      <c r="A300" s="10">
        <f>IF(COUNTA(C300:K300)=0,"",ROW()-1)</f>
        <v>299</v>
      </c>
      <c r="B300" s="13">
        <f>IF($F300&lt;&gt;"",$A300,"")</f>
        <v>299</v>
      </c>
      <c r="C300" s="22" t="s">
        <v>1389</v>
      </c>
      <c r="D300" s="22" t="s">
        <v>1449</v>
      </c>
      <c r="E300" s="17" t="s">
        <v>1257</v>
      </c>
      <c r="F300" s="16" t="s">
        <v>1450</v>
      </c>
      <c r="G300" s="22" t="s">
        <v>1259</v>
      </c>
      <c r="H300" s="22" t="s">
        <v>1451</v>
      </c>
      <c r="I300" s="22" t="s">
        <v>1452</v>
      </c>
      <c r="J300" s="61" t="s">
        <v>22</v>
      </c>
      <c r="K300" s="22" t="s">
        <v>1453</v>
      </c>
      <c r="L300" s="16" t="s">
        <v>3321</v>
      </c>
      <c r="M300" s="16">
        <v>2</v>
      </c>
      <c r="N300" s="17" t="s">
        <v>1257</v>
      </c>
      <c r="O300" s="17" t="str">
        <f>IF(AND(UPPER($N300)="VIP",UPPER($J300)&lt;&gt;"NO",$F300&lt;&gt;""),"SI","NO")</f>
        <v>NO</v>
      </c>
      <c r="P300" s="17" t="str">
        <f>IF(UPPER($J300)="SI","🟢",IF(UPPER($J300)="NO","🔴","🟡"))</f>
        <v>🟢</v>
      </c>
      <c r="Q300" s="60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ht="18" hidden="1" customHeight="1" x14ac:dyDescent="0.4">
      <c r="A301" s="7">
        <f>IF(COUNTA(C301:K301)=0,"",ROW()-1)</f>
        <v>300</v>
      </c>
      <c r="B301" s="13">
        <f>IF($F301&lt;&gt;"",$A301,"")</f>
        <v>300</v>
      </c>
      <c r="C301" s="20" t="s">
        <v>1319</v>
      </c>
      <c r="D301" s="20" t="s">
        <v>751</v>
      </c>
      <c r="E301" s="21" t="str">
        <f>IF(UPPER($J301)="NO","",$N301)</f>
        <v/>
      </c>
      <c r="F301" s="16" t="s">
        <v>1320</v>
      </c>
      <c r="G301" s="20" t="s">
        <v>1321</v>
      </c>
      <c r="H301" s="20" t="s">
        <v>1322</v>
      </c>
      <c r="I301" s="20" t="s">
        <v>1323</v>
      </c>
      <c r="J301" s="62" t="s">
        <v>71</v>
      </c>
      <c r="K301" s="20" t="s">
        <v>1324</v>
      </c>
      <c r="L301" s="16"/>
      <c r="M301" s="16"/>
      <c r="N301" s="17" t="s">
        <v>24</v>
      </c>
      <c r="O301" s="17" t="str">
        <f>IF(AND(UPPER($N301)="VIP",UPPER($J301)&lt;&gt;"NO",$F301&lt;&gt;""),"SI","NO")</f>
        <v>NO</v>
      </c>
      <c r="P301" s="17" t="str">
        <f>IF(UPPER($J301)="SI","🟢",IF(UPPER($J301)="NO","🔴","🟡"))</f>
        <v>🔴</v>
      </c>
      <c r="Q301" s="60" t="s">
        <v>1152</v>
      </c>
    </row>
    <row r="302" spans="1:86" ht="18" customHeight="1" x14ac:dyDescent="0.4">
      <c r="A302" s="10"/>
      <c r="B302" s="13"/>
      <c r="C302" s="28"/>
      <c r="D302" s="28"/>
      <c r="E302" s="29" t="s">
        <v>1257</v>
      </c>
      <c r="F302" s="16"/>
      <c r="G302" s="16" t="s">
        <v>3367</v>
      </c>
      <c r="H302" s="16" t="s">
        <v>2075</v>
      </c>
      <c r="I302" s="16"/>
      <c r="J302" s="61" t="s">
        <v>22</v>
      </c>
      <c r="K302" s="28" t="s">
        <v>3366</v>
      </c>
      <c r="L302" s="16" t="s">
        <v>3324</v>
      </c>
      <c r="M302" s="16">
        <v>21</v>
      </c>
      <c r="N302" s="17"/>
      <c r="O302" s="17"/>
      <c r="P302" s="17"/>
      <c r="Q302" s="60"/>
    </row>
    <row r="303" spans="1:86" ht="18" customHeight="1" x14ac:dyDescent="0.4">
      <c r="A303" s="7">
        <f t="shared" ref="A303:A334" si="48">IF(COUNTA(C303:K303)=0,"",ROW()-1)</f>
        <v>302</v>
      </c>
      <c r="B303" s="13">
        <v>497</v>
      </c>
      <c r="C303" s="28" t="s">
        <v>1770</v>
      </c>
      <c r="D303" s="16"/>
      <c r="E303" s="17" t="s">
        <v>1257</v>
      </c>
      <c r="F303" s="16" t="s">
        <v>3305</v>
      </c>
      <c r="G303" s="16" t="s">
        <v>3303</v>
      </c>
      <c r="H303" s="16" t="s">
        <v>3304</v>
      </c>
      <c r="I303" s="16"/>
      <c r="J303" s="62" t="s">
        <v>22</v>
      </c>
      <c r="K303" s="16" t="s">
        <v>3312</v>
      </c>
      <c r="L303" s="16" t="s">
        <v>3318</v>
      </c>
      <c r="M303" s="16">
        <v>21</v>
      </c>
      <c r="N303" s="17"/>
      <c r="O303" s="17"/>
      <c r="P303" s="17" t="str">
        <f t="shared" ref="P303:P334" si="49">IF(UPPER($J303)="SI","🟢",IF(UPPER($J303)="NO","🔴","🟡"))</f>
        <v>🟢</v>
      </c>
      <c r="Q303" s="60"/>
    </row>
    <row r="304" spans="1:86" ht="18" customHeight="1" x14ac:dyDescent="0.4">
      <c r="A304" s="7">
        <f t="shared" si="48"/>
        <v>303</v>
      </c>
      <c r="B304" s="13">
        <f t="shared" ref="B304:B335" si="50">IF($F304&lt;&gt;"",$A304,"")</f>
        <v>303</v>
      </c>
      <c r="C304" s="16" t="s">
        <v>1389</v>
      </c>
      <c r="D304" s="16" t="s">
        <v>1449</v>
      </c>
      <c r="E304" s="17" t="s">
        <v>1257</v>
      </c>
      <c r="F304" s="16" t="s">
        <v>1454</v>
      </c>
      <c r="G304" s="16" t="s">
        <v>704</v>
      </c>
      <c r="H304" s="16" t="s">
        <v>1455</v>
      </c>
      <c r="I304" s="16" t="s">
        <v>1456</v>
      </c>
      <c r="J304" s="61" t="s">
        <v>22</v>
      </c>
      <c r="K304" s="16" t="s">
        <v>1457</v>
      </c>
      <c r="L304" s="16" t="s">
        <v>3321</v>
      </c>
      <c r="M304" s="16">
        <v>3</v>
      </c>
      <c r="N304" s="17" t="s">
        <v>1257</v>
      </c>
      <c r="O304" s="17" t="str">
        <f t="shared" ref="O304:O335" si="51">IF(AND(UPPER($N304)="VIP",UPPER($J304)&lt;&gt;"NO",$F304&lt;&gt;""),"SI","NO")</f>
        <v>NO</v>
      </c>
      <c r="P304" s="17" t="str">
        <f t="shared" si="49"/>
        <v>🟢</v>
      </c>
      <c r="Q304" s="60"/>
    </row>
    <row r="305" spans="1:86" ht="18" hidden="1" customHeight="1" x14ac:dyDescent="0.4">
      <c r="A305" s="7">
        <f t="shared" si="48"/>
        <v>304</v>
      </c>
      <c r="B305" s="13">
        <f t="shared" si="50"/>
        <v>304</v>
      </c>
      <c r="C305" s="20" t="s">
        <v>1319</v>
      </c>
      <c r="D305" s="20" t="s">
        <v>33</v>
      </c>
      <c r="E305" s="21" t="str">
        <f>IF(UPPER($J305)="NO","",$N305)</f>
        <v/>
      </c>
      <c r="F305" s="16" t="s">
        <v>1332</v>
      </c>
      <c r="G305" s="20" t="s">
        <v>1333</v>
      </c>
      <c r="H305" s="20" t="s">
        <v>1334</v>
      </c>
      <c r="I305" s="20"/>
      <c r="J305" s="62" t="s">
        <v>71</v>
      </c>
      <c r="K305" s="20" t="s">
        <v>1335</v>
      </c>
      <c r="L305" s="16"/>
      <c r="M305" s="16"/>
      <c r="N305" s="17" t="s">
        <v>659</v>
      </c>
      <c r="O305" s="17" t="str">
        <f t="shared" si="51"/>
        <v>NO</v>
      </c>
      <c r="P305" s="17" t="str">
        <f t="shared" si="49"/>
        <v>🔴</v>
      </c>
      <c r="Q305" s="60"/>
    </row>
    <row r="306" spans="1:86" ht="18" customHeight="1" x14ac:dyDescent="0.4">
      <c r="A306" s="10">
        <f t="shared" si="48"/>
        <v>305</v>
      </c>
      <c r="B306" s="13">
        <f t="shared" si="50"/>
        <v>305</v>
      </c>
      <c r="C306" s="22" t="s">
        <v>1389</v>
      </c>
      <c r="D306" s="22" t="s">
        <v>1458</v>
      </c>
      <c r="E306" s="17" t="s">
        <v>1257</v>
      </c>
      <c r="F306" s="16" t="s">
        <v>1459</v>
      </c>
      <c r="G306" s="22" t="s">
        <v>97</v>
      </c>
      <c r="H306" s="22" t="s">
        <v>1460</v>
      </c>
      <c r="I306" s="22" t="s">
        <v>1461</v>
      </c>
      <c r="J306" s="61" t="s">
        <v>22</v>
      </c>
      <c r="K306" s="22" t="s">
        <v>1462</v>
      </c>
      <c r="L306" s="16" t="s">
        <v>3321</v>
      </c>
      <c r="M306" s="16">
        <v>4</v>
      </c>
      <c r="N306" s="17" t="s">
        <v>1257</v>
      </c>
      <c r="O306" s="17" t="str">
        <f t="shared" si="51"/>
        <v>NO</v>
      </c>
      <c r="P306" s="17" t="str">
        <f t="shared" si="49"/>
        <v>🟢</v>
      </c>
      <c r="Q306" s="60"/>
    </row>
    <row r="307" spans="1:86" ht="18" hidden="1" customHeight="1" x14ac:dyDescent="0.4">
      <c r="A307" s="7">
        <f t="shared" si="48"/>
        <v>306</v>
      </c>
      <c r="B307" s="13">
        <f t="shared" si="50"/>
        <v>306</v>
      </c>
      <c r="C307" s="20" t="s">
        <v>1319</v>
      </c>
      <c r="D307" s="20"/>
      <c r="E307" s="21" t="str">
        <f>IF(UPPER($J307)="NO","",$N307)</f>
        <v/>
      </c>
      <c r="F307" s="16" t="s">
        <v>1340</v>
      </c>
      <c r="G307" s="20" t="s">
        <v>615</v>
      </c>
      <c r="H307" s="20" t="s">
        <v>382</v>
      </c>
      <c r="I307" s="20" t="s">
        <v>1341</v>
      </c>
      <c r="J307" s="63" t="s">
        <v>71</v>
      </c>
      <c r="K307" s="20" t="s">
        <v>1342</v>
      </c>
      <c r="L307" s="16"/>
      <c r="M307" s="16"/>
      <c r="N307" s="17" t="s">
        <v>1257</v>
      </c>
      <c r="O307" s="17" t="str">
        <f t="shared" si="51"/>
        <v>NO</v>
      </c>
      <c r="P307" s="17" t="str">
        <f t="shared" si="49"/>
        <v>🔴</v>
      </c>
      <c r="Q307" s="60"/>
    </row>
    <row r="308" spans="1:86" ht="18" hidden="1" customHeight="1" x14ac:dyDescent="0.4">
      <c r="A308" s="10">
        <f t="shared" si="48"/>
        <v>307</v>
      </c>
      <c r="B308" s="13">
        <f t="shared" si="50"/>
        <v>307</v>
      </c>
      <c r="C308" s="16" t="s">
        <v>1319</v>
      </c>
      <c r="D308" s="16"/>
      <c r="E308" s="17" t="str">
        <f>IF(UPPER($J308)="NO","",$N308)</f>
        <v/>
      </c>
      <c r="F308" s="16" t="s">
        <v>1343</v>
      </c>
      <c r="G308" s="16" t="s">
        <v>1293</v>
      </c>
      <c r="H308" s="16" t="s">
        <v>1344</v>
      </c>
      <c r="I308" s="16" t="s">
        <v>1345</v>
      </c>
      <c r="J308" s="62" t="s">
        <v>71</v>
      </c>
      <c r="K308" s="16" t="s">
        <v>1346</v>
      </c>
      <c r="L308" s="16"/>
      <c r="M308" s="16"/>
      <c r="N308" s="17" t="s">
        <v>659</v>
      </c>
      <c r="O308" s="17" t="str">
        <f t="shared" si="51"/>
        <v>NO</v>
      </c>
      <c r="P308" s="17" t="str">
        <f t="shared" si="49"/>
        <v>🔴</v>
      </c>
      <c r="Q308" s="60"/>
    </row>
    <row r="309" spans="1:86" ht="18" hidden="1" customHeight="1" x14ac:dyDescent="0.4">
      <c r="A309" s="7">
        <f t="shared" si="48"/>
        <v>308</v>
      </c>
      <c r="B309" s="13">
        <f t="shared" si="50"/>
        <v>308</v>
      </c>
      <c r="C309" s="20" t="s">
        <v>1319</v>
      </c>
      <c r="D309" s="20"/>
      <c r="E309" s="21" t="str">
        <f>IF(UPPER($J309)="NO","",$N309)</f>
        <v/>
      </c>
      <c r="F309" s="16" t="s">
        <v>1347</v>
      </c>
      <c r="G309" s="20" t="s">
        <v>1348</v>
      </c>
      <c r="H309" s="20" t="s">
        <v>1349</v>
      </c>
      <c r="I309" s="20" t="s">
        <v>1350</v>
      </c>
      <c r="J309" s="63" t="s">
        <v>71</v>
      </c>
      <c r="K309" s="20" t="s">
        <v>1351</v>
      </c>
      <c r="L309" s="16"/>
      <c r="M309" s="16"/>
      <c r="N309" s="17"/>
      <c r="O309" s="17" t="str">
        <f t="shared" si="51"/>
        <v>NO</v>
      </c>
      <c r="P309" s="17" t="str">
        <f t="shared" si="49"/>
        <v>🔴</v>
      </c>
      <c r="Q309" s="60"/>
    </row>
    <row r="310" spans="1:86" ht="18" hidden="1" customHeight="1" x14ac:dyDescent="0.4">
      <c r="A310" s="10">
        <f t="shared" si="48"/>
        <v>309</v>
      </c>
      <c r="B310" s="13">
        <f t="shared" si="50"/>
        <v>309</v>
      </c>
      <c r="C310" s="16" t="s">
        <v>1319</v>
      </c>
      <c r="D310" s="16"/>
      <c r="E310" s="17" t="str">
        <f>IF(UPPER($J310)="NO","",$N310)</f>
        <v/>
      </c>
      <c r="F310" s="16" t="s">
        <v>1352</v>
      </c>
      <c r="G310" s="16" t="s">
        <v>533</v>
      </c>
      <c r="H310" s="16" t="s">
        <v>1353</v>
      </c>
      <c r="I310" s="16" t="s">
        <v>1354</v>
      </c>
      <c r="J310" s="63" t="s">
        <v>71</v>
      </c>
      <c r="K310" s="16" t="s">
        <v>1355</v>
      </c>
      <c r="L310" s="16"/>
      <c r="M310" s="16"/>
      <c r="N310" s="17" t="s">
        <v>1257</v>
      </c>
      <c r="O310" s="17" t="str">
        <f t="shared" si="51"/>
        <v>NO</v>
      </c>
      <c r="P310" s="17" t="str">
        <f t="shared" si="49"/>
        <v>🔴</v>
      </c>
      <c r="Q310" s="60"/>
    </row>
    <row r="311" spans="1:86" ht="18" hidden="1" customHeight="1" x14ac:dyDescent="0.4">
      <c r="A311" s="7">
        <f t="shared" si="48"/>
        <v>310</v>
      </c>
      <c r="B311" s="13">
        <f t="shared" si="50"/>
        <v>310</v>
      </c>
      <c r="C311" s="20" t="s">
        <v>1319</v>
      </c>
      <c r="D311" s="20"/>
      <c r="E311" s="21" t="str">
        <f>IF(UPPER($J311)="NO","",$N311)</f>
        <v/>
      </c>
      <c r="F311" s="16" t="s">
        <v>1356</v>
      </c>
      <c r="G311" s="20" t="s">
        <v>1357</v>
      </c>
      <c r="H311" s="20" t="s">
        <v>1358</v>
      </c>
      <c r="I311" s="20" t="s">
        <v>490</v>
      </c>
      <c r="J311" s="62" t="s">
        <v>71</v>
      </c>
      <c r="K311" s="20" t="s">
        <v>1359</v>
      </c>
      <c r="L311" s="16"/>
      <c r="M311" s="16"/>
      <c r="N311" s="17" t="s">
        <v>659</v>
      </c>
      <c r="O311" s="17" t="str">
        <f t="shared" si="51"/>
        <v>NO</v>
      </c>
      <c r="P311" s="17" t="str">
        <f t="shared" si="49"/>
        <v>🔴</v>
      </c>
      <c r="Q311" s="60"/>
    </row>
    <row r="312" spans="1:86" ht="18" customHeight="1" x14ac:dyDescent="0.4">
      <c r="A312" s="10">
        <f t="shared" si="48"/>
        <v>311</v>
      </c>
      <c r="B312" s="13">
        <f t="shared" si="50"/>
        <v>311</v>
      </c>
      <c r="C312" s="24" t="s">
        <v>1569</v>
      </c>
      <c r="D312" s="24" t="s">
        <v>1570</v>
      </c>
      <c r="E312" s="17" t="s">
        <v>1257</v>
      </c>
      <c r="F312" s="16" t="s">
        <v>1571</v>
      </c>
      <c r="G312" s="24" t="s">
        <v>1572</v>
      </c>
      <c r="H312" s="24" t="s">
        <v>1573</v>
      </c>
      <c r="I312" s="24" t="s">
        <v>1574</v>
      </c>
      <c r="J312" s="61" t="s">
        <v>22</v>
      </c>
      <c r="K312" s="24" t="s">
        <v>1575</v>
      </c>
      <c r="L312" s="16" t="s">
        <v>3319</v>
      </c>
      <c r="M312" s="16">
        <v>12</v>
      </c>
      <c r="N312" s="17" t="s">
        <v>659</v>
      </c>
      <c r="O312" s="17" t="str">
        <f t="shared" si="51"/>
        <v>NO</v>
      </c>
      <c r="P312" s="17" t="str">
        <f t="shared" si="49"/>
        <v>🟢</v>
      </c>
      <c r="Q312" s="60"/>
    </row>
    <row r="313" spans="1:86" ht="18" hidden="1" customHeight="1" x14ac:dyDescent="0.4">
      <c r="A313" s="7">
        <f t="shared" si="48"/>
        <v>312</v>
      </c>
      <c r="B313" s="13">
        <f t="shared" si="50"/>
        <v>312</v>
      </c>
      <c r="C313" s="20" t="s">
        <v>1319</v>
      </c>
      <c r="D313" s="20"/>
      <c r="E313" s="21" t="str">
        <f>IF(UPPER($J313)="NO","",$N313)</f>
        <v>VIP</v>
      </c>
      <c r="F313" s="16" t="s">
        <v>1363</v>
      </c>
      <c r="G313" s="20" t="s">
        <v>303</v>
      </c>
      <c r="H313" s="20" t="s">
        <v>1358</v>
      </c>
      <c r="I313" s="20" t="s">
        <v>1241</v>
      </c>
      <c r="J313" s="61" t="s">
        <v>22</v>
      </c>
      <c r="K313" s="20" t="s">
        <v>1364</v>
      </c>
      <c r="L313" s="16"/>
      <c r="M313" s="16"/>
      <c r="N313" s="17" t="s">
        <v>24</v>
      </c>
      <c r="O313" s="17" t="str">
        <f t="shared" si="51"/>
        <v>SI</v>
      </c>
      <c r="P313" s="17" t="str">
        <f t="shared" si="49"/>
        <v>🟢</v>
      </c>
      <c r="Q313" s="60" t="s">
        <v>1152</v>
      </c>
    </row>
    <row r="314" spans="1:86" ht="18" customHeight="1" x14ac:dyDescent="0.4">
      <c r="A314" s="7">
        <f t="shared" si="48"/>
        <v>313</v>
      </c>
      <c r="B314" s="13">
        <f t="shared" si="50"/>
        <v>313</v>
      </c>
      <c r="C314" s="22" t="s">
        <v>1389</v>
      </c>
      <c r="D314" s="22" t="s">
        <v>1397</v>
      </c>
      <c r="E314" s="17" t="s">
        <v>1257</v>
      </c>
      <c r="F314" s="16" t="s">
        <v>1422</v>
      </c>
      <c r="G314" s="22" t="s">
        <v>1054</v>
      </c>
      <c r="H314" s="22" t="s">
        <v>1041</v>
      </c>
      <c r="I314" s="22" t="s">
        <v>1042</v>
      </c>
      <c r="J314" s="61" t="s">
        <v>22</v>
      </c>
      <c r="K314" s="22" t="s">
        <v>1423</v>
      </c>
      <c r="L314" s="16" t="s">
        <v>3319</v>
      </c>
      <c r="M314" s="16">
        <v>13</v>
      </c>
      <c r="N314" s="17" t="s">
        <v>659</v>
      </c>
      <c r="O314" s="17" t="str">
        <f t="shared" si="51"/>
        <v>NO</v>
      </c>
      <c r="P314" s="17" t="str">
        <f t="shared" si="49"/>
        <v>🟢</v>
      </c>
      <c r="Q314" s="60"/>
    </row>
    <row r="315" spans="1:86" ht="18" customHeight="1" x14ac:dyDescent="0.4">
      <c r="A315" s="10">
        <f t="shared" si="48"/>
        <v>314</v>
      </c>
      <c r="B315" s="13">
        <f t="shared" si="50"/>
        <v>314</v>
      </c>
      <c r="C315" s="16" t="s">
        <v>1389</v>
      </c>
      <c r="D315" s="16" t="s">
        <v>1397</v>
      </c>
      <c r="E315" s="17" t="s">
        <v>1257</v>
      </c>
      <c r="F315" s="16" t="s">
        <v>1398</v>
      </c>
      <c r="G315" s="16" t="s">
        <v>562</v>
      </c>
      <c r="H315" s="16" t="s">
        <v>1399</v>
      </c>
      <c r="I315" s="16" t="s">
        <v>1400</v>
      </c>
      <c r="J315" s="61" t="s">
        <v>22</v>
      </c>
      <c r="K315" s="16" t="s">
        <v>1401</v>
      </c>
      <c r="L315" s="16" t="s">
        <v>3319</v>
      </c>
      <c r="M315" s="16">
        <v>14</v>
      </c>
      <c r="N315" s="17" t="s">
        <v>659</v>
      </c>
      <c r="O315" s="17" t="str">
        <f t="shared" si="51"/>
        <v>NO</v>
      </c>
      <c r="P315" s="17" t="str">
        <f t="shared" si="49"/>
        <v>🟢</v>
      </c>
      <c r="Q315" s="60"/>
    </row>
    <row r="316" spans="1:86" s="5" customFormat="1" ht="18" hidden="1" customHeight="1" x14ac:dyDescent="0.4">
      <c r="A316" s="10">
        <f t="shared" si="48"/>
        <v>315</v>
      </c>
      <c r="B316" s="13">
        <f t="shared" si="50"/>
        <v>315</v>
      </c>
      <c r="C316" s="16" t="s">
        <v>1319</v>
      </c>
      <c r="D316" s="16"/>
      <c r="E316" s="17" t="str">
        <f>IF(UPPER($J316)="NO","",$N316)</f>
        <v/>
      </c>
      <c r="F316" s="16" t="s">
        <v>1370</v>
      </c>
      <c r="G316" s="16" t="s">
        <v>1371</v>
      </c>
      <c r="H316" s="16" t="s">
        <v>395</v>
      </c>
      <c r="I316" s="16" t="s">
        <v>1372</v>
      </c>
      <c r="J316" s="63" t="s">
        <v>71</v>
      </c>
      <c r="K316" s="16" t="s">
        <v>1373</v>
      </c>
      <c r="L316" s="16"/>
      <c r="M316" s="16"/>
      <c r="N316" s="17" t="s">
        <v>1257</v>
      </c>
      <c r="O316" s="17" t="str">
        <f t="shared" si="51"/>
        <v>NO</v>
      </c>
      <c r="P316" s="17" t="str">
        <f t="shared" si="49"/>
        <v>🔴</v>
      </c>
      <c r="Q316" s="60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ht="18" hidden="1" customHeight="1" x14ac:dyDescent="0.4">
      <c r="A317" s="7">
        <f t="shared" si="48"/>
        <v>316</v>
      </c>
      <c r="B317" s="13">
        <f t="shared" si="50"/>
        <v>316</v>
      </c>
      <c r="C317" s="16" t="s">
        <v>1374</v>
      </c>
      <c r="D317" s="16" t="s">
        <v>670</v>
      </c>
      <c r="E317" s="17" t="str">
        <f>IF(UPPER($J317)="NO","",$N317)</f>
        <v>VIP</v>
      </c>
      <c r="F317" s="16" t="s">
        <v>1375</v>
      </c>
      <c r="G317" s="16" t="s">
        <v>554</v>
      </c>
      <c r="H317" s="16" t="s">
        <v>1376</v>
      </c>
      <c r="I317" s="16" t="s">
        <v>1377</v>
      </c>
      <c r="J317" s="61" t="s">
        <v>22</v>
      </c>
      <c r="K317" s="16" t="s">
        <v>1378</v>
      </c>
      <c r="L317" s="16"/>
      <c r="M317" s="16"/>
      <c r="N317" s="17" t="s">
        <v>24</v>
      </c>
      <c r="O317" s="17" t="str">
        <f t="shared" si="51"/>
        <v>SI</v>
      </c>
      <c r="P317" s="17" t="str">
        <f t="shared" si="49"/>
        <v>🟢</v>
      </c>
      <c r="Q317" s="60" t="s">
        <v>1152</v>
      </c>
    </row>
    <row r="318" spans="1:86" ht="18" hidden="1" customHeight="1" x14ac:dyDescent="0.4">
      <c r="A318" s="10">
        <f t="shared" si="48"/>
        <v>317</v>
      </c>
      <c r="B318" s="13">
        <f t="shared" si="50"/>
        <v>317</v>
      </c>
      <c r="C318" s="16" t="s">
        <v>1374</v>
      </c>
      <c r="D318" s="16" t="s">
        <v>1379</v>
      </c>
      <c r="E318" s="17" t="str">
        <f>IF(UPPER($J318)="NO","",$N318)</f>
        <v/>
      </c>
      <c r="F318" s="16" t="s">
        <v>1380</v>
      </c>
      <c r="G318" s="16" t="s">
        <v>369</v>
      </c>
      <c r="H318" s="16" t="s">
        <v>1381</v>
      </c>
      <c r="I318" s="16" t="s">
        <v>1382</v>
      </c>
      <c r="J318" s="63" t="s">
        <v>71</v>
      </c>
      <c r="K318" s="16" t="s">
        <v>1383</v>
      </c>
      <c r="L318" s="16"/>
      <c r="M318" s="16"/>
      <c r="N318" s="17" t="s">
        <v>1257</v>
      </c>
      <c r="O318" s="17" t="str">
        <f t="shared" si="51"/>
        <v>NO</v>
      </c>
      <c r="P318" s="17" t="str">
        <f t="shared" si="49"/>
        <v>🔴</v>
      </c>
      <c r="Q318" s="60"/>
    </row>
    <row r="319" spans="1:86" s="5" customFormat="1" ht="18" customHeight="1" x14ac:dyDescent="0.4">
      <c r="A319" s="7">
        <f t="shared" si="48"/>
        <v>318</v>
      </c>
      <c r="B319" s="13">
        <f t="shared" si="50"/>
        <v>318</v>
      </c>
      <c r="C319" s="22" t="s">
        <v>1389</v>
      </c>
      <c r="D319" s="22" t="s">
        <v>1392</v>
      </c>
      <c r="E319" s="17" t="s">
        <v>1257</v>
      </c>
      <c r="F319" s="16" t="s">
        <v>1393</v>
      </c>
      <c r="G319" s="22" t="s">
        <v>1394</v>
      </c>
      <c r="H319" s="22" t="s">
        <v>1395</v>
      </c>
      <c r="I319" s="22" t="s">
        <v>400</v>
      </c>
      <c r="J319" s="62" t="s">
        <v>22</v>
      </c>
      <c r="K319" s="22" t="s">
        <v>1396</v>
      </c>
      <c r="L319" s="16" t="s">
        <v>3319</v>
      </c>
      <c r="M319" s="16">
        <v>15</v>
      </c>
      <c r="N319" s="17" t="s">
        <v>659</v>
      </c>
      <c r="O319" s="17" t="str">
        <f t="shared" si="51"/>
        <v>NO</v>
      </c>
      <c r="P319" s="17" t="str">
        <f t="shared" si="49"/>
        <v>🟢</v>
      </c>
      <c r="Q319" s="60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ht="18" hidden="1" customHeight="1" x14ac:dyDescent="0.4">
      <c r="A320" s="10">
        <f t="shared" si="48"/>
        <v>319</v>
      </c>
      <c r="B320" s="13">
        <f t="shared" si="50"/>
        <v>319</v>
      </c>
      <c r="C320" s="14" t="s">
        <v>1134</v>
      </c>
      <c r="D320" s="14"/>
      <c r="E320" s="12" t="s">
        <v>1257</v>
      </c>
      <c r="F320" s="16" t="s">
        <v>1198</v>
      </c>
      <c r="G320" s="14" t="s">
        <v>528</v>
      </c>
      <c r="H320" s="14" t="s">
        <v>261</v>
      </c>
      <c r="I320" s="14" t="s">
        <v>104</v>
      </c>
      <c r="J320" s="62" t="s">
        <v>57</v>
      </c>
      <c r="K320" s="14" t="s">
        <v>1199</v>
      </c>
      <c r="L320" s="16"/>
      <c r="M320" s="16"/>
      <c r="N320" s="17" t="s">
        <v>659</v>
      </c>
      <c r="O320" s="17" t="str">
        <f t="shared" si="51"/>
        <v>NO</v>
      </c>
      <c r="P320" s="17" t="str">
        <f t="shared" si="49"/>
        <v>🟡</v>
      </c>
      <c r="Q320" s="60"/>
    </row>
    <row r="321" spans="1:17" ht="18" customHeight="1" x14ac:dyDescent="0.4">
      <c r="A321" s="7">
        <f t="shared" si="48"/>
        <v>320</v>
      </c>
      <c r="B321" s="13">
        <f t="shared" si="50"/>
        <v>320</v>
      </c>
      <c r="C321" s="16" t="s">
        <v>2162</v>
      </c>
      <c r="D321" s="16"/>
      <c r="E321" s="17" t="s">
        <v>1257</v>
      </c>
      <c r="F321" s="16" t="s">
        <v>2232</v>
      </c>
      <c r="G321" s="16" t="s">
        <v>873</v>
      </c>
      <c r="H321" s="16" t="s">
        <v>2233</v>
      </c>
      <c r="I321" s="16" t="s">
        <v>2234</v>
      </c>
      <c r="J321" s="61" t="s">
        <v>22</v>
      </c>
      <c r="K321" s="11" t="s">
        <v>2235</v>
      </c>
      <c r="L321" s="16" t="s">
        <v>3320</v>
      </c>
      <c r="M321" s="16">
        <v>7</v>
      </c>
      <c r="N321" s="17" t="s">
        <v>659</v>
      </c>
      <c r="O321" s="17" t="str">
        <f t="shared" si="51"/>
        <v>NO</v>
      </c>
      <c r="P321" s="17" t="str">
        <f t="shared" si="49"/>
        <v>🟢</v>
      </c>
      <c r="Q321" s="60"/>
    </row>
    <row r="322" spans="1:17" ht="18" hidden="1" customHeight="1" x14ac:dyDescent="0.4">
      <c r="A322" s="7">
        <f t="shared" si="48"/>
        <v>321</v>
      </c>
      <c r="B322" s="13">
        <f t="shared" si="50"/>
        <v>321</v>
      </c>
      <c r="C322" s="18" t="s">
        <v>1225</v>
      </c>
      <c r="D322" s="18"/>
      <c r="E322" s="17" t="s">
        <v>24</v>
      </c>
      <c r="F322" s="16" t="s">
        <v>1304</v>
      </c>
      <c r="G322" s="18" t="s">
        <v>533</v>
      </c>
      <c r="H322" s="18" t="s">
        <v>1305</v>
      </c>
      <c r="I322" s="18" t="s">
        <v>1306</v>
      </c>
      <c r="J322" s="61" t="s">
        <v>22</v>
      </c>
      <c r="K322" s="18" t="s">
        <v>1307</v>
      </c>
      <c r="L322" s="16"/>
      <c r="M322" s="16"/>
      <c r="N322" s="17"/>
      <c r="O322" s="17" t="str">
        <f t="shared" si="51"/>
        <v>NO</v>
      </c>
      <c r="P322" s="17" t="str">
        <f t="shared" si="49"/>
        <v>🟢</v>
      </c>
      <c r="Q322" s="60"/>
    </row>
    <row r="323" spans="1:17" ht="18" customHeight="1" x14ac:dyDescent="0.4">
      <c r="A323" s="7">
        <f t="shared" si="48"/>
        <v>322</v>
      </c>
      <c r="B323" s="13">
        <f t="shared" si="50"/>
        <v>322</v>
      </c>
      <c r="C323" s="32" t="s">
        <v>2569</v>
      </c>
      <c r="D323" s="32" t="s">
        <v>1463</v>
      </c>
      <c r="E323" s="17" t="s">
        <v>1257</v>
      </c>
      <c r="F323" s="16" t="s">
        <v>2628</v>
      </c>
      <c r="G323" s="32" t="s">
        <v>1293</v>
      </c>
      <c r="H323" s="32" t="s">
        <v>2523</v>
      </c>
      <c r="I323" s="32" t="s">
        <v>2629</v>
      </c>
      <c r="J323" s="61" t="s">
        <v>22</v>
      </c>
      <c r="K323" s="32" t="s">
        <v>2630</v>
      </c>
      <c r="L323" s="16" t="s">
        <v>3319</v>
      </c>
      <c r="M323" s="16">
        <v>16</v>
      </c>
      <c r="N323" s="17" t="s">
        <v>1257</v>
      </c>
      <c r="O323" s="17" t="str">
        <f t="shared" si="51"/>
        <v>NO</v>
      </c>
      <c r="P323" s="17" t="str">
        <f t="shared" si="49"/>
        <v>🟢</v>
      </c>
      <c r="Q323" s="60"/>
    </row>
    <row r="324" spans="1:17" ht="18" hidden="1" customHeight="1" x14ac:dyDescent="0.4">
      <c r="A324" s="10">
        <f t="shared" si="48"/>
        <v>323</v>
      </c>
      <c r="B324" s="13">
        <f t="shared" si="50"/>
        <v>323</v>
      </c>
      <c r="C324" s="14" t="s">
        <v>1134</v>
      </c>
      <c r="D324" s="14"/>
      <c r="E324" s="12" t="s">
        <v>1257</v>
      </c>
      <c r="F324" s="16" t="s">
        <v>1217</v>
      </c>
      <c r="G324" s="14" t="s">
        <v>1218</v>
      </c>
      <c r="H324" s="14" t="s">
        <v>1219</v>
      </c>
      <c r="I324" s="14" t="s">
        <v>1220</v>
      </c>
      <c r="J324" s="62" t="s">
        <v>57</v>
      </c>
      <c r="K324" s="14" t="s">
        <v>1221</v>
      </c>
      <c r="L324" s="16"/>
      <c r="M324" s="16"/>
      <c r="N324" s="17" t="s">
        <v>659</v>
      </c>
      <c r="O324" s="17" t="str">
        <f t="shared" si="51"/>
        <v>NO</v>
      </c>
      <c r="P324" s="17" t="str">
        <f t="shared" si="49"/>
        <v>🟡</v>
      </c>
      <c r="Q324" s="60"/>
    </row>
    <row r="325" spans="1:17" ht="18" hidden="1" customHeight="1" x14ac:dyDescent="0.4">
      <c r="A325" s="7">
        <f t="shared" si="48"/>
        <v>324</v>
      </c>
      <c r="B325" s="13">
        <f t="shared" si="50"/>
        <v>324</v>
      </c>
      <c r="C325" s="16" t="s">
        <v>1134</v>
      </c>
      <c r="D325" s="16"/>
      <c r="E325" s="12" t="s">
        <v>1257</v>
      </c>
      <c r="F325" s="16" t="s">
        <v>1222</v>
      </c>
      <c r="G325" s="16" t="s">
        <v>404</v>
      </c>
      <c r="H325" s="16" t="s">
        <v>1223</v>
      </c>
      <c r="I325" s="16" t="s">
        <v>652</v>
      </c>
      <c r="J325" s="62" t="s">
        <v>57</v>
      </c>
      <c r="K325" s="16" t="s">
        <v>1224</v>
      </c>
      <c r="L325" s="16"/>
      <c r="M325" s="16"/>
      <c r="N325" s="17" t="s">
        <v>659</v>
      </c>
      <c r="O325" s="17" t="str">
        <f t="shared" si="51"/>
        <v>NO</v>
      </c>
      <c r="P325" s="17" t="str">
        <f t="shared" si="49"/>
        <v>🟡</v>
      </c>
      <c r="Q325" s="60"/>
    </row>
    <row r="326" spans="1:17" ht="18" hidden="1" customHeight="1" x14ac:dyDescent="0.4">
      <c r="A326" s="10">
        <f t="shared" si="48"/>
        <v>325</v>
      </c>
      <c r="B326" s="13">
        <f t="shared" si="50"/>
        <v>325</v>
      </c>
      <c r="C326" s="16" t="s">
        <v>1389</v>
      </c>
      <c r="D326" s="16" t="s">
        <v>1397</v>
      </c>
      <c r="E326" s="17" t="str">
        <f>IF(UPPER($J326)="NO","",$N326)</f>
        <v/>
      </c>
      <c r="F326" s="16" t="s">
        <v>1411</v>
      </c>
      <c r="G326" s="16" t="s">
        <v>437</v>
      </c>
      <c r="H326" s="16" t="s">
        <v>1412</v>
      </c>
      <c r="I326" s="16" t="s">
        <v>1413</v>
      </c>
      <c r="J326" s="63" t="s">
        <v>71</v>
      </c>
      <c r="K326" s="16" t="s">
        <v>1414</v>
      </c>
      <c r="L326" s="16"/>
      <c r="M326" s="16"/>
      <c r="N326" s="17" t="s">
        <v>1257</v>
      </c>
      <c r="O326" s="17" t="str">
        <f t="shared" si="51"/>
        <v>NO</v>
      </c>
      <c r="P326" s="17" t="str">
        <f t="shared" si="49"/>
        <v>🔴</v>
      </c>
      <c r="Q326" s="60"/>
    </row>
    <row r="327" spans="1:17" ht="18" hidden="1" customHeight="1" x14ac:dyDescent="0.4">
      <c r="A327" s="10">
        <f t="shared" si="48"/>
        <v>326</v>
      </c>
      <c r="B327" s="13">
        <f t="shared" si="50"/>
        <v>326</v>
      </c>
      <c r="C327" s="18" t="s">
        <v>1225</v>
      </c>
      <c r="D327" s="18"/>
      <c r="E327" s="12" t="s">
        <v>1257</v>
      </c>
      <c r="F327" s="16" t="s">
        <v>1240</v>
      </c>
      <c r="G327" s="18" t="s">
        <v>1241</v>
      </c>
      <c r="H327" s="18" t="s">
        <v>1242</v>
      </c>
      <c r="I327" s="18" t="s">
        <v>1243</v>
      </c>
      <c r="J327" s="62" t="s">
        <v>71</v>
      </c>
      <c r="K327" s="18" t="s">
        <v>1239</v>
      </c>
      <c r="L327" s="16"/>
      <c r="M327" s="16"/>
      <c r="N327" s="17" t="s">
        <v>659</v>
      </c>
      <c r="O327" s="17" t="str">
        <f t="shared" si="51"/>
        <v>NO</v>
      </c>
      <c r="P327" s="17" t="str">
        <f t="shared" si="49"/>
        <v>🔴</v>
      </c>
      <c r="Q327" s="60"/>
    </row>
    <row r="328" spans="1:17" ht="18" hidden="1" customHeight="1" x14ac:dyDescent="0.4">
      <c r="A328" s="7">
        <f t="shared" si="48"/>
        <v>327</v>
      </c>
      <c r="B328" s="13">
        <f t="shared" si="50"/>
        <v>327</v>
      </c>
      <c r="C328" s="16" t="s">
        <v>1225</v>
      </c>
      <c r="D328" s="16" t="s">
        <v>751</v>
      </c>
      <c r="E328" s="12" t="s">
        <v>1257</v>
      </c>
      <c r="F328" s="16" t="s">
        <v>1250</v>
      </c>
      <c r="G328" s="16" t="s">
        <v>473</v>
      </c>
      <c r="H328" s="16" t="s">
        <v>1251</v>
      </c>
      <c r="I328" s="16"/>
      <c r="J328" s="62" t="s">
        <v>71</v>
      </c>
      <c r="K328" s="16" t="s">
        <v>1252</v>
      </c>
      <c r="L328" s="16"/>
      <c r="M328" s="16"/>
      <c r="N328" s="17" t="s">
        <v>659</v>
      </c>
      <c r="O328" s="17" t="str">
        <f t="shared" si="51"/>
        <v>NO</v>
      </c>
      <c r="P328" s="17" t="str">
        <f t="shared" si="49"/>
        <v>🔴</v>
      </c>
      <c r="Q328" s="60"/>
    </row>
    <row r="329" spans="1:17" ht="18" customHeight="1" x14ac:dyDescent="0.4">
      <c r="A329" s="10">
        <f t="shared" si="48"/>
        <v>328</v>
      </c>
      <c r="B329" s="13">
        <f t="shared" si="50"/>
        <v>328</v>
      </c>
      <c r="C329" s="30" t="s">
        <v>2162</v>
      </c>
      <c r="D329" s="30"/>
      <c r="E329" s="17" t="s">
        <v>1257</v>
      </c>
      <c r="F329" s="16" t="s">
        <v>2243</v>
      </c>
      <c r="G329" s="30" t="s">
        <v>2244</v>
      </c>
      <c r="H329" s="30" t="s">
        <v>824</v>
      </c>
      <c r="I329" s="30" t="s">
        <v>145</v>
      </c>
      <c r="J329" s="61" t="s">
        <v>22</v>
      </c>
      <c r="K329" s="30" t="s">
        <v>2242</v>
      </c>
      <c r="L329" s="16" t="s">
        <v>3320</v>
      </c>
      <c r="M329" s="16">
        <v>8</v>
      </c>
      <c r="N329" s="17" t="s">
        <v>659</v>
      </c>
      <c r="O329" s="17" t="str">
        <f t="shared" si="51"/>
        <v>NO</v>
      </c>
      <c r="P329" s="17" t="str">
        <f t="shared" si="49"/>
        <v>🟢</v>
      </c>
      <c r="Q329" s="60"/>
    </row>
    <row r="330" spans="1:17" ht="18" hidden="1" customHeight="1" x14ac:dyDescent="0.4">
      <c r="A330" s="10">
        <f t="shared" si="48"/>
        <v>329</v>
      </c>
      <c r="B330" s="13">
        <f t="shared" si="50"/>
        <v>329</v>
      </c>
      <c r="C330" s="16" t="s">
        <v>1389</v>
      </c>
      <c r="D330" s="16" t="s">
        <v>1397</v>
      </c>
      <c r="E330" s="17" t="str">
        <f>IF(UPPER($J330)="NO","",$N330)</f>
        <v>VIP</v>
      </c>
      <c r="F330" s="16" t="s">
        <v>1424</v>
      </c>
      <c r="G330" s="16" t="s">
        <v>1425</v>
      </c>
      <c r="H330" s="16" t="s">
        <v>1426</v>
      </c>
      <c r="I330" s="16" t="s">
        <v>395</v>
      </c>
      <c r="J330" s="61" t="s">
        <v>22</v>
      </c>
      <c r="K330" s="16" t="s">
        <v>1427</v>
      </c>
      <c r="L330" s="16"/>
      <c r="M330" s="16"/>
      <c r="N330" s="17" t="s">
        <v>24</v>
      </c>
      <c r="O330" s="17" t="str">
        <f t="shared" si="51"/>
        <v>SI</v>
      </c>
      <c r="P330" s="17" t="str">
        <f t="shared" si="49"/>
        <v>🟢</v>
      </c>
      <c r="Q330" s="60" t="s">
        <v>1152</v>
      </c>
    </row>
    <row r="331" spans="1:17" ht="18" hidden="1" customHeight="1" x14ac:dyDescent="0.4">
      <c r="A331" s="7">
        <f t="shared" si="48"/>
        <v>330</v>
      </c>
      <c r="B331" s="13">
        <f t="shared" si="50"/>
        <v>330</v>
      </c>
      <c r="C331" s="22" t="s">
        <v>1389</v>
      </c>
      <c r="D331" s="22" t="s">
        <v>817</v>
      </c>
      <c r="E331" s="23" t="str">
        <f>IF(UPPER($J331)="NO","",$N331)</f>
        <v>VIP</v>
      </c>
      <c r="F331" s="16" t="s">
        <v>1428</v>
      </c>
      <c r="G331" s="22" t="s">
        <v>724</v>
      </c>
      <c r="H331" s="22" t="s">
        <v>1429</v>
      </c>
      <c r="I331" s="22" t="s">
        <v>1430</v>
      </c>
      <c r="J331" s="61" t="s">
        <v>22</v>
      </c>
      <c r="K331" s="22" t="s">
        <v>1431</v>
      </c>
      <c r="L331" s="16"/>
      <c r="M331" s="16"/>
      <c r="N331" s="17" t="s">
        <v>24</v>
      </c>
      <c r="O331" s="17" t="str">
        <f t="shared" si="51"/>
        <v>SI</v>
      </c>
      <c r="P331" s="17" t="str">
        <f t="shared" si="49"/>
        <v>🟢</v>
      </c>
      <c r="Q331" s="60" t="s">
        <v>1152</v>
      </c>
    </row>
    <row r="332" spans="1:17" ht="18" customHeight="1" x14ac:dyDescent="0.4">
      <c r="A332" s="10">
        <f t="shared" si="48"/>
        <v>331</v>
      </c>
      <c r="B332" s="13">
        <f t="shared" si="50"/>
        <v>331</v>
      </c>
      <c r="C332" s="28" t="s">
        <v>1770</v>
      </c>
      <c r="D332" s="28" t="s">
        <v>2121</v>
      </c>
      <c r="E332" s="17" t="s">
        <v>1257</v>
      </c>
      <c r="F332" s="16" t="s">
        <v>2122</v>
      </c>
      <c r="G332" s="28" t="s">
        <v>615</v>
      </c>
      <c r="H332" s="28" t="s">
        <v>2123</v>
      </c>
      <c r="I332" s="28"/>
      <c r="J332" s="61" t="s">
        <v>22</v>
      </c>
      <c r="K332" s="28" t="s">
        <v>2124</v>
      </c>
      <c r="L332" s="16" t="s">
        <v>3318</v>
      </c>
      <c r="M332" s="16">
        <v>22</v>
      </c>
      <c r="N332" s="17" t="s">
        <v>659</v>
      </c>
      <c r="O332" s="17" t="str">
        <f t="shared" si="51"/>
        <v>NO</v>
      </c>
      <c r="P332" s="17" t="str">
        <f t="shared" si="49"/>
        <v>🟢</v>
      </c>
      <c r="Q332" s="60"/>
    </row>
    <row r="333" spans="1:17" ht="18" customHeight="1" x14ac:dyDescent="0.4">
      <c r="A333" s="7">
        <f t="shared" si="48"/>
        <v>332</v>
      </c>
      <c r="B333" s="13">
        <f t="shared" si="50"/>
        <v>332</v>
      </c>
      <c r="C333" s="28" t="s">
        <v>1770</v>
      </c>
      <c r="D333" s="28"/>
      <c r="E333" s="17" t="s">
        <v>1257</v>
      </c>
      <c r="F333" s="16" t="s">
        <v>1954</v>
      </c>
      <c r="G333" s="28" t="s">
        <v>473</v>
      </c>
      <c r="H333" s="28" t="s">
        <v>1223</v>
      </c>
      <c r="I333" s="28" t="s">
        <v>1709</v>
      </c>
      <c r="J333" s="61" t="s">
        <v>22</v>
      </c>
      <c r="K333" s="28" t="s">
        <v>1955</v>
      </c>
      <c r="L333" s="16" t="s">
        <v>3318</v>
      </c>
      <c r="M333" s="16">
        <v>23</v>
      </c>
      <c r="N333" s="17" t="s">
        <v>659</v>
      </c>
      <c r="O333" s="17" t="str">
        <f t="shared" si="51"/>
        <v>NO</v>
      </c>
      <c r="P333" s="17" t="str">
        <f t="shared" si="49"/>
        <v>🟢</v>
      </c>
      <c r="Q333" s="60"/>
    </row>
    <row r="334" spans="1:17" ht="18" hidden="1" customHeight="1" x14ac:dyDescent="0.4">
      <c r="A334" s="10">
        <f t="shared" si="48"/>
        <v>333</v>
      </c>
      <c r="B334" s="13">
        <f t="shared" si="50"/>
        <v>333</v>
      </c>
      <c r="C334" s="16" t="s">
        <v>1389</v>
      </c>
      <c r="D334" s="16" t="s">
        <v>817</v>
      </c>
      <c r="E334" s="17" t="str">
        <f>IF(UPPER($J334)="NO","",$N334)</f>
        <v>VIP</v>
      </c>
      <c r="F334" s="16" t="s">
        <v>1441</v>
      </c>
      <c r="G334" s="16" t="s">
        <v>1442</v>
      </c>
      <c r="H334" s="16" t="s">
        <v>1087</v>
      </c>
      <c r="I334" s="16" t="s">
        <v>1443</v>
      </c>
      <c r="J334" s="61" t="s">
        <v>22</v>
      </c>
      <c r="K334" s="16" t="s">
        <v>1444</v>
      </c>
      <c r="L334" s="16"/>
      <c r="M334" s="16"/>
      <c r="N334" s="17" t="s">
        <v>24</v>
      </c>
      <c r="O334" s="17" t="str">
        <f t="shared" si="51"/>
        <v>SI</v>
      </c>
      <c r="P334" s="17" t="str">
        <f t="shared" si="49"/>
        <v>🟢</v>
      </c>
      <c r="Q334" s="60" t="s">
        <v>1152</v>
      </c>
    </row>
    <row r="335" spans="1:17" ht="18" hidden="1" customHeight="1" x14ac:dyDescent="0.4">
      <c r="A335" s="7">
        <f t="shared" ref="A335:A366" si="52">IF(COUNTA(C335:K335)=0,"",ROW()-1)</f>
        <v>334</v>
      </c>
      <c r="B335" s="13">
        <f t="shared" si="50"/>
        <v>334</v>
      </c>
      <c r="C335" s="16" t="s">
        <v>1389</v>
      </c>
      <c r="D335" s="16" t="s">
        <v>817</v>
      </c>
      <c r="E335" s="17" t="str">
        <f>IF(UPPER($J335)="NO","",$N335)</f>
        <v>VIP</v>
      </c>
      <c r="F335" s="16" t="s">
        <v>1445</v>
      </c>
      <c r="G335" s="16" t="s">
        <v>1446</v>
      </c>
      <c r="H335" s="16" t="s">
        <v>135</v>
      </c>
      <c r="I335" s="16" t="s">
        <v>1447</v>
      </c>
      <c r="J335" s="61" t="s">
        <v>22</v>
      </c>
      <c r="K335" s="16" t="s">
        <v>1448</v>
      </c>
      <c r="L335" s="16"/>
      <c r="M335" s="16"/>
      <c r="N335" s="17" t="s">
        <v>24</v>
      </c>
      <c r="O335" s="17" t="str">
        <f t="shared" si="51"/>
        <v>SI</v>
      </c>
      <c r="P335" s="17" t="str">
        <f t="shared" ref="P335:P368" si="53">IF(UPPER($J335)="SI","🟢",IF(UPPER($J335)="NO","🔴","🟡"))</f>
        <v>🟢</v>
      </c>
      <c r="Q335" s="60" t="s">
        <v>1152</v>
      </c>
    </row>
    <row r="336" spans="1:17" ht="18" customHeight="1" x14ac:dyDescent="0.4">
      <c r="A336" s="10">
        <f t="shared" si="52"/>
        <v>335</v>
      </c>
      <c r="B336" s="13">
        <f t="shared" ref="B336:B368" si="54">IF($F336&lt;&gt;"",$A336,"")</f>
        <v>335</v>
      </c>
      <c r="C336" s="22" t="s">
        <v>1389</v>
      </c>
      <c r="D336" s="22" t="s">
        <v>1463</v>
      </c>
      <c r="E336" s="17" t="s">
        <v>1257</v>
      </c>
      <c r="F336" s="16" t="s">
        <v>1467</v>
      </c>
      <c r="G336" s="22" t="s">
        <v>488</v>
      </c>
      <c r="H336" s="22" t="s">
        <v>1178</v>
      </c>
      <c r="I336" s="22" t="s">
        <v>1468</v>
      </c>
      <c r="J336" s="61" t="s">
        <v>22</v>
      </c>
      <c r="K336" s="22" t="s">
        <v>1469</v>
      </c>
      <c r="L336" s="16" t="s">
        <v>3319</v>
      </c>
      <c r="M336" s="16">
        <v>17</v>
      </c>
      <c r="N336" s="17" t="s">
        <v>659</v>
      </c>
      <c r="O336" s="17" t="str">
        <f t="shared" ref="O336:O368" si="55">IF(AND(UPPER($N336)="VIP",UPPER($J336)&lt;&gt;"NO",$F336&lt;&gt;""),"SI","NO")</f>
        <v>NO</v>
      </c>
      <c r="P336" s="17" t="str">
        <f t="shared" si="53"/>
        <v>🟢</v>
      </c>
      <c r="Q336" s="60"/>
    </row>
    <row r="337" spans="1:17" ht="18" customHeight="1" x14ac:dyDescent="0.4">
      <c r="A337" s="7">
        <f t="shared" si="52"/>
        <v>336</v>
      </c>
      <c r="B337" s="13">
        <f t="shared" si="54"/>
        <v>336</v>
      </c>
      <c r="C337" s="16" t="s">
        <v>1389</v>
      </c>
      <c r="D337" s="16" t="s">
        <v>1463</v>
      </c>
      <c r="E337" s="17" t="s">
        <v>1257</v>
      </c>
      <c r="F337" s="16" t="s">
        <v>1464</v>
      </c>
      <c r="G337" s="16" t="s">
        <v>1465</v>
      </c>
      <c r="H337" s="16" t="s">
        <v>984</v>
      </c>
      <c r="I337" s="16" t="s">
        <v>1101</v>
      </c>
      <c r="J337" s="61" t="s">
        <v>22</v>
      </c>
      <c r="K337" s="16" t="s">
        <v>1466</v>
      </c>
      <c r="L337" s="16" t="s">
        <v>3319</v>
      </c>
      <c r="M337" s="16">
        <v>18</v>
      </c>
      <c r="N337" s="17" t="s">
        <v>659</v>
      </c>
      <c r="O337" s="17" t="str">
        <f t="shared" si="55"/>
        <v>NO</v>
      </c>
      <c r="P337" s="17" t="str">
        <f t="shared" si="53"/>
        <v>🟢</v>
      </c>
      <c r="Q337" s="60"/>
    </row>
    <row r="338" spans="1:17" ht="18" hidden="1" customHeight="1" x14ac:dyDescent="0.4">
      <c r="A338" s="10">
        <f t="shared" si="52"/>
        <v>337</v>
      </c>
      <c r="B338" s="13">
        <f t="shared" si="54"/>
        <v>337</v>
      </c>
      <c r="C338" s="16" t="s">
        <v>1319</v>
      </c>
      <c r="D338" s="16"/>
      <c r="E338" s="12" t="s">
        <v>1257</v>
      </c>
      <c r="F338" s="16" t="s">
        <v>1365</v>
      </c>
      <c r="G338" s="16" t="s">
        <v>761</v>
      </c>
      <c r="H338" s="16" t="s">
        <v>104</v>
      </c>
      <c r="I338" s="16" t="s">
        <v>1154</v>
      </c>
      <c r="J338" s="62" t="s">
        <v>57</v>
      </c>
      <c r="K338" s="16" t="s">
        <v>1366</v>
      </c>
      <c r="L338" s="16"/>
      <c r="M338" s="16"/>
      <c r="N338" s="17" t="s">
        <v>659</v>
      </c>
      <c r="O338" s="17" t="str">
        <f t="shared" si="55"/>
        <v>NO</v>
      </c>
      <c r="P338" s="17" t="str">
        <f t="shared" si="53"/>
        <v>🟡</v>
      </c>
      <c r="Q338" s="60"/>
    </row>
    <row r="339" spans="1:17" ht="18" customHeight="1" x14ac:dyDescent="0.4">
      <c r="A339" s="7">
        <f t="shared" si="52"/>
        <v>338</v>
      </c>
      <c r="B339" s="13">
        <f t="shared" si="54"/>
        <v>338</v>
      </c>
      <c r="C339" s="28" t="s">
        <v>1770</v>
      </c>
      <c r="D339" s="28"/>
      <c r="E339" s="17" t="s">
        <v>1257</v>
      </c>
      <c r="F339" s="16" t="s">
        <v>1936</v>
      </c>
      <c r="G339" s="28" t="s">
        <v>1293</v>
      </c>
      <c r="H339" s="28" t="s">
        <v>1937</v>
      </c>
      <c r="I339" s="28"/>
      <c r="J339" s="62" t="s">
        <v>22</v>
      </c>
      <c r="K339" s="28" t="s">
        <v>1938</v>
      </c>
      <c r="L339" s="16" t="s">
        <v>3318</v>
      </c>
      <c r="M339" s="16">
        <v>24</v>
      </c>
      <c r="N339" s="17" t="s">
        <v>1257</v>
      </c>
      <c r="O339" s="17" t="str">
        <f t="shared" si="55"/>
        <v>NO</v>
      </c>
      <c r="P339" s="17" t="str">
        <f t="shared" si="53"/>
        <v>🟢</v>
      </c>
      <c r="Q339" s="60"/>
    </row>
    <row r="340" spans="1:17" ht="18" customHeight="1" x14ac:dyDescent="0.4">
      <c r="A340" s="7">
        <f t="shared" si="52"/>
        <v>339</v>
      </c>
      <c r="B340" s="13">
        <f t="shared" si="54"/>
        <v>339</v>
      </c>
      <c r="C340" s="30" t="s">
        <v>2162</v>
      </c>
      <c r="D340" s="30"/>
      <c r="E340" s="17" t="s">
        <v>1257</v>
      </c>
      <c r="F340" s="16" t="s">
        <v>2224</v>
      </c>
      <c r="G340" s="30" t="s">
        <v>2225</v>
      </c>
      <c r="H340" s="30" t="s">
        <v>623</v>
      </c>
      <c r="I340" s="30" t="s">
        <v>1757</v>
      </c>
      <c r="J340" s="61" t="s">
        <v>22</v>
      </c>
      <c r="K340" s="30" t="s">
        <v>2226</v>
      </c>
      <c r="L340" s="16" t="s">
        <v>3320</v>
      </c>
      <c r="M340" s="16">
        <v>9</v>
      </c>
      <c r="N340" s="17" t="s">
        <v>659</v>
      </c>
      <c r="O340" s="17" t="str">
        <f t="shared" si="55"/>
        <v>NO</v>
      </c>
      <c r="P340" s="17" t="str">
        <f t="shared" si="53"/>
        <v>🟢</v>
      </c>
      <c r="Q340" s="60"/>
    </row>
    <row r="341" spans="1:17" ht="18" hidden="1" customHeight="1" x14ac:dyDescent="0.4">
      <c r="A341" s="7">
        <f t="shared" si="52"/>
        <v>340</v>
      </c>
      <c r="B341" s="13">
        <f t="shared" si="54"/>
        <v>340</v>
      </c>
      <c r="C341" s="16" t="s">
        <v>1389</v>
      </c>
      <c r="D341" s="16" t="s">
        <v>1470</v>
      </c>
      <c r="E341" s="17" t="str">
        <f>IF(UPPER($J341)="NO","",$N341)</f>
        <v/>
      </c>
      <c r="F341" s="16" t="s">
        <v>1471</v>
      </c>
      <c r="G341" s="16" t="s">
        <v>621</v>
      </c>
      <c r="H341" s="16" t="s">
        <v>1472</v>
      </c>
      <c r="I341" s="16"/>
      <c r="J341" s="63" t="s">
        <v>71</v>
      </c>
      <c r="K341" s="16" t="s">
        <v>1473</v>
      </c>
      <c r="L341" s="16"/>
      <c r="M341" s="16"/>
      <c r="N341" s="17"/>
      <c r="O341" s="17" t="str">
        <f t="shared" si="55"/>
        <v>NO</v>
      </c>
      <c r="P341" s="17" t="str">
        <f t="shared" si="53"/>
        <v>🔴</v>
      </c>
      <c r="Q341" s="60"/>
    </row>
    <row r="342" spans="1:17" ht="18" customHeight="1" x14ac:dyDescent="0.4">
      <c r="A342" s="7">
        <f t="shared" si="52"/>
        <v>341</v>
      </c>
      <c r="B342" s="13">
        <f t="shared" si="54"/>
        <v>341</v>
      </c>
      <c r="C342" s="14" t="s">
        <v>1134</v>
      </c>
      <c r="D342" s="14" t="s">
        <v>751</v>
      </c>
      <c r="E342" s="17" t="s">
        <v>1257</v>
      </c>
      <c r="F342" s="16" t="s">
        <v>1213</v>
      </c>
      <c r="G342" s="14" t="s">
        <v>554</v>
      </c>
      <c r="H342" s="14" t="s">
        <v>1214</v>
      </c>
      <c r="I342" s="14" t="s">
        <v>1215</v>
      </c>
      <c r="J342" s="61" t="s">
        <v>22</v>
      </c>
      <c r="K342" s="14" t="s">
        <v>1216</v>
      </c>
      <c r="L342" s="16" t="s">
        <v>3319</v>
      </c>
      <c r="M342" s="16">
        <v>19</v>
      </c>
      <c r="N342" s="17" t="s">
        <v>659</v>
      </c>
      <c r="O342" s="17" t="str">
        <f t="shared" si="55"/>
        <v>NO</v>
      </c>
      <c r="P342" s="17" t="str">
        <f t="shared" si="53"/>
        <v>🟢</v>
      </c>
      <c r="Q342" s="60"/>
    </row>
    <row r="343" spans="1:17" ht="18" customHeight="1" x14ac:dyDescent="0.4">
      <c r="A343" s="7">
        <f t="shared" si="52"/>
        <v>342</v>
      </c>
      <c r="B343" s="13">
        <f t="shared" si="54"/>
        <v>342</v>
      </c>
      <c r="C343" s="14" t="s">
        <v>1134</v>
      </c>
      <c r="D343" s="14" t="s">
        <v>670</v>
      </c>
      <c r="E343" s="17" t="s">
        <v>1257</v>
      </c>
      <c r="F343" s="16" t="s">
        <v>1206</v>
      </c>
      <c r="G343" s="14" t="s">
        <v>68</v>
      </c>
      <c r="H343" s="14" t="s">
        <v>1207</v>
      </c>
      <c r="I343" s="14"/>
      <c r="J343" s="61" t="s">
        <v>22</v>
      </c>
      <c r="K343" s="14" t="s">
        <v>1208</v>
      </c>
      <c r="L343" s="16" t="s">
        <v>3319</v>
      </c>
      <c r="M343" s="16">
        <v>20</v>
      </c>
      <c r="N343" s="17" t="s">
        <v>659</v>
      </c>
      <c r="O343" s="17" t="str">
        <f t="shared" si="55"/>
        <v>NO</v>
      </c>
      <c r="P343" s="17" t="str">
        <f t="shared" si="53"/>
        <v>🟢</v>
      </c>
      <c r="Q343" s="60"/>
    </row>
    <row r="344" spans="1:17" ht="18" hidden="1" customHeight="1" x14ac:dyDescent="0.4">
      <c r="A344" s="10">
        <f t="shared" si="52"/>
        <v>343</v>
      </c>
      <c r="B344" s="13">
        <f t="shared" si="54"/>
        <v>343</v>
      </c>
      <c r="C344" s="16" t="s">
        <v>1389</v>
      </c>
      <c r="D344" s="16" t="s">
        <v>1397</v>
      </c>
      <c r="E344" s="17" t="str">
        <f>IF(UPPER($J344)="NO","",$N344)</f>
        <v/>
      </c>
      <c r="F344" s="16" t="s">
        <v>1482</v>
      </c>
      <c r="G344" s="16" t="s">
        <v>473</v>
      </c>
      <c r="H344" s="16" t="s">
        <v>1483</v>
      </c>
      <c r="I344" s="16" t="s">
        <v>1484</v>
      </c>
      <c r="J344" s="63" t="s">
        <v>71</v>
      </c>
      <c r="K344" s="16" t="s">
        <v>1485</v>
      </c>
      <c r="L344" s="16"/>
      <c r="M344" s="16"/>
      <c r="N344" s="17" t="s">
        <v>659</v>
      </c>
      <c r="O344" s="17" t="str">
        <f t="shared" si="55"/>
        <v>NO</v>
      </c>
      <c r="P344" s="17" t="str">
        <f t="shared" si="53"/>
        <v>🔴</v>
      </c>
      <c r="Q344" s="60"/>
    </row>
    <row r="345" spans="1:17" ht="18" customHeight="1" x14ac:dyDescent="0.4">
      <c r="A345" s="7">
        <f t="shared" si="52"/>
        <v>344</v>
      </c>
      <c r="B345" s="13">
        <f t="shared" si="54"/>
        <v>344</v>
      </c>
      <c r="C345" s="14" t="s">
        <v>1134</v>
      </c>
      <c r="D345" s="14" t="s">
        <v>670</v>
      </c>
      <c r="E345" s="17" t="s">
        <v>1257</v>
      </c>
      <c r="F345" s="16" t="s">
        <v>1188</v>
      </c>
      <c r="G345" s="14" t="s">
        <v>317</v>
      </c>
      <c r="H345" s="14" t="s">
        <v>410</v>
      </c>
      <c r="I345" s="14" t="s">
        <v>652</v>
      </c>
      <c r="J345" s="61" t="s">
        <v>22</v>
      </c>
      <c r="K345" s="14" t="s">
        <v>1189</v>
      </c>
      <c r="L345" s="16" t="s">
        <v>3319</v>
      </c>
      <c r="M345" s="16">
        <v>21</v>
      </c>
      <c r="N345" s="17" t="s">
        <v>659</v>
      </c>
      <c r="O345" s="17" t="str">
        <f t="shared" si="55"/>
        <v>NO</v>
      </c>
      <c r="P345" s="17" t="str">
        <f t="shared" si="53"/>
        <v>🟢</v>
      </c>
      <c r="Q345" s="60"/>
    </row>
    <row r="346" spans="1:17" ht="18" hidden="1" customHeight="1" x14ac:dyDescent="0.4">
      <c r="A346" s="10">
        <f t="shared" si="52"/>
        <v>345</v>
      </c>
      <c r="B346" s="13">
        <f t="shared" si="54"/>
        <v>345</v>
      </c>
      <c r="C346" s="16" t="s">
        <v>1389</v>
      </c>
      <c r="D346" s="16" t="s">
        <v>1490</v>
      </c>
      <c r="E346" s="17" t="str">
        <f>IF(UPPER($J346)="NO","",$N346)</f>
        <v/>
      </c>
      <c r="F346" s="16" t="s">
        <v>1491</v>
      </c>
      <c r="G346" s="16" t="s">
        <v>1492</v>
      </c>
      <c r="H346" s="16" t="s">
        <v>1493</v>
      </c>
      <c r="I346" s="16"/>
      <c r="J346" s="63" t="s">
        <v>71</v>
      </c>
      <c r="K346" s="16" t="s">
        <v>1494</v>
      </c>
      <c r="L346" s="16"/>
      <c r="M346" s="16"/>
      <c r="N346" s="17" t="s">
        <v>659</v>
      </c>
      <c r="O346" s="17" t="str">
        <f t="shared" si="55"/>
        <v>NO</v>
      </c>
      <c r="P346" s="17" t="str">
        <f t="shared" si="53"/>
        <v>🔴</v>
      </c>
      <c r="Q346" s="60"/>
    </row>
    <row r="347" spans="1:17" ht="18" hidden="1" customHeight="1" x14ac:dyDescent="0.4">
      <c r="A347" s="7">
        <f t="shared" si="52"/>
        <v>346</v>
      </c>
      <c r="B347" s="13">
        <f t="shared" si="54"/>
        <v>346</v>
      </c>
      <c r="C347" s="22" t="s">
        <v>1389</v>
      </c>
      <c r="D347" s="22" t="s">
        <v>1390</v>
      </c>
      <c r="E347" s="23" t="str">
        <f>IF(UPPER($J347)="NO","",$N347)</f>
        <v/>
      </c>
      <c r="F347" s="16" t="s">
        <v>1495</v>
      </c>
      <c r="G347" s="22" t="s">
        <v>1496</v>
      </c>
      <c r="H347" s="22" t="s">
        <v>1496</v>
      </c>
      <c r="I347" s="22"/>
      <c r="J347" s="62" t="s">
        <v>71</v>
      </c>
      <c r="K347" s="22" t="s">
        <v>1497</v>
      </c>
      <c r="L347" s="16"/>
      <c r="M347" s="16"/>
      <c r="N347" s="17" t="s">
        <v>659</v>
      </c>
      <c r="O347" s="17" t="str">
        <f t="shared" si="55"/>
        <v>NO</v>
      </c>
      <c r="P347" s="17" t="str">
        <f t="shared" si="53"/>
        <v>🔴</v>
      </c>
      <c r="Q347" s="60"/>
    </row>
    <row r="348" spans="1:17" ht="18" hidden="1" customHeight="1" x14ac:dyDescent="0.4">
      <c r="A348" s="10">
        <f t="shared" si="52"/>
        <v>347</v>
      </c>
      <c r="B348" s="13">
        <f t="shared" si="54"/>
        <v>347</v>
      </c>
      <c r="C348" s="16" t="s">
        <v>1389</v>
      </c>
      <c r="D348" s="16" t="s">
        <v>1397</v>
      </c>
      <c r="E348" s="17" t="str">
        <f>IF(UPPER($J348)="NO","",$N348)</f>
        <v/>
      </c>
      <c r="F348" s="16" t="s">
        <v>1498</v>
      </c>
      <c r="G348" s="16" t="s">
        <v>1499</v>
      </c>
      <c r="H348" s="16" t="s">
        <v>1500</v>
      </c>
      <c r="I348" s="16" t="s">
        <v>172</v>
      </c>
      <c r="J348" s="63" t="s">
        <v>71</v>
      </c>
      <c r="K348" s="16" t="s">
        <v>1501</v>
      </c>
      <c r="L348" s="16"/>
      <c r="M348" s="16"/>
      <c r="N348" s="17"/>
      <c r="O348" s="17" t="str">
        <f t="shared" si="55"/>
        <v>NO</v>
      </c>
      <c r="P348" s="17" t="str">
        <f t="shared" si="53"/>
        <v>🔴</v>
      </c>
      <c r="Q348" s="60"/>
    </row>
    <row r="349" spans="1:17" ht="18" customHeight="1" x14ac:dyDescent="0.4">
      <c r="A349" s="7">
        <f t="shared" si="52"/>
        <v>348</v>
      </c>
      <c r="B349" s="13">
        <f t="shared" si="54"/>
        <v>348</v>
      </c>
      <c r="C349" s="14" t="s">
        <v>1134</v>
      </c>
      <c r="D349" s="14"/>
      <c r="E349" s="17" t="s">
        <v>1257</v>
      </c>
      <c r="F349" s="16" t="s">
        <v>1172</v>
      </c>
      <c r="G349" s="14" t="s">
        <v>68</v>
      </c>
      <c r="H349" s="14" t="s">
        <v>1173</v>
      </c>
      <c r="I349" s="14" t="s">
        <v>1174</v>
      </c>
      <c r="J349" s="61" t="s">
        <v>22</v>
      </c>
      <c r="K349" s="14" t="s">
        <v>1175</v>
      </c>
      <c r="L349" s="16" t="s">
        <v>3319</v>
      </c>
      <c r="M349" s="16">
        <v>22</v>
      </c>
      <c r="N349" s="17" t="s">
        <v>659</v>
      </c>
      <c r="O349" s="17" t="str">
        <f t="shared" si="55"/>
        <v>NO</v>
      </c>
      <c r="P349" s="17" t="str">
        <f t="shared" si="53"/>
        <v>🟢</v>
      </c>
      <c r="Q349" s="60"/>
    </row>
    <row r="350" spans="1:17" ht="18" customHeight="1" x14ac:dyDescent="0.4">
      <c r="A350" s="10">
        <f t="shared" si="52"/>
        <v>349</v>
      </c>
      <c r="B350" s="13">
        <f t="shared" si="54"/>
        <v>349</v>
      </c>
      <c r="C350" s="32" t="s">
        <v>2801</v>
      </c>
      <c r="D350" s="32" t="s">
        <v>1449</v>
      </c>
      <c r="E350" s="33" t="str">
        <f t="shared" ref="E350:E355" si="56">IF(UPPER($J350)="NO","",$N350)</f>
        <v>LATERAL</v>
      </c>
      <c r="F350" s="16" t="s">
        <v>2802</v>
      </c>
      <c r="G350" s="32" t="s">
        <v>114</v>
      </c>
      <c r="H350" s="32" t="s">
        <v>2450</v>
      </c>
      <c r="I350" s="32"/>
      <c r="J350" s="61" t="s">
        <v>22</v>
      </c>
      <c r="K350" s="32"/>
      <c r="L350" s="16" t="s">
        <v>3321</v>
      </c>
      <c r="M350" s="16">
        <v>5</v>
      </c>
      <c r="N350" s="17" t="s">
        <v>1257</v>
      </c>
      <c r="O350" s="17" t="str">
        <f t="shared" si="55"/>
        <v>NO</v>
      </c>
      <c r="P350" s="17" t="str">
        <f t="shared" si="53"/>
        <v>🟢</v>
      </c>
      <c r="Q350" s="60"/>
    </row>
    <row r="351" spans="1:17" ht="18" hidden="1" customHeight="1" x14ac:dyDescent="0.4">
      <c r="A351" s="7">
        <f t="shared" si="52"/>
        <v>350</v>
      </c>
      <c r="B351" s="13">
        <f t="shared" si="54"/>
        <v>350</v>
      </c>
      <c r="C351" s="22" t="s">
        <v>1389</v>
      </c>
      <c r="D351" s="22" t="s">
        <v>1397</v>
      </c>
      <c r="E351" s="23" t="str">
        <f t="shared" si="56"/>
        <v/>
      </c>
      <c r="F351" s="16" t="s">
        <v>1510</v>
      </c>
      <c r="G351" s="22" t="s">
        <v>1511</v>
      </c>
      <c r="H351" s="22" t="s">
        <v>538</v>
      </c>
      <c r="I351" s="22"/>
      <c r="J351" s="63" t="s">
        <v>71</v>
      </c>
      <c r="K351" s="22" t="s">
        <v>1512</v>
      </c>
      <c r="L351" s="16"/>
      <c r="M351" s="16"/>
      <c r="N351" s="17" t="s">
        <v>1257</v>
      </c>
      <c r="O351" s="17" t="str">
        <f t="shared" si="55"/>
        <v>NO</v>
      </c>
      <c r="P351" s="17" t="str">
        <f t="shared" si="53"/>
        <v>🔴</v>
      </c>
      <c r="Q351" s="60"/>
    </row>
    <row r="352" spans="1:17" ht="18" hidden="1" customHeight="1" x14ac:dyDescent="0.4">
      <c r="A352" s="10">
        <f t="shared" si="52"/>
        <v>351</v>
      </c>
      <c r="B352" s="13">
        <f t="shared" si="54"/>
        <v>351</v>
      </c>
      <c r="C352" s="16" t="s">
        <v>1389</v>
      </c>
      <c r="D352" s="16" t="s">
        <v>1397</v>
      </c>
      <c r="E352" s="17" t="str">
        <f t="shared" si="56"/>
        <v/>
      </c>
      <c r="F352" s="16" t="s">
        <v>1513</v>
      </c>
      <c r="G352" s="16" t="s">
        <v>1514</v>
      </c>
      <c r="H352" s="16" t="s">
        <v>1515</v>
      </c>
      <c r="I352" s="16" t="s">
        <v>1516</v>
      </c>
      <c r="J352" s="63" t="s">
        <v>71</v>
      </c>
      <c r="K352" s="16" t="s">
        <v>1517</v>
      </c>
      <c r="L352" s="16"/>
      <c r="M352" s="16"/>
      <c r="N352" s="17" t="s">
        <v>659</v>
      </c>
      <c r="O352" s="17" t="str">
        <f t="shared" si="55"/>
        <v>NO</v>
      </c>
      <c r="P352" s="17" t="str">
        <f t="shared" si="53"/>
        <v>🔴</v>
      </c>
      <c r="Q352" s="60"/>
    </row>
    <row r="353" spans="1:86" ht="18" hidden="1" customHeight="1" x14ac:dyDescent="0.4">
      <c r="A353" s="7">
        <f t="shared" si="52"/>
        <v>352</v>
      </c>
      <c r="B353" s="13">
        <f t="shared" si="54"/>
        <v>352</v>
      </c>
      <c r="C353" s="22" t="s">
        <v>1389</v>
      </c>
      <c r="D353" s="22" t="s">
        <v>1397</v>
      </c>
      <c r="E353" s="23" t="str">
        <f t="shared" si="56"/>
        <v/>
      </c>
      <c r="F353" s="16" t="s">
        <v>1518</v>
      </c>
      <c r="G353" s="22" t="s">
        <v>1519</v>
      </c>
      <c r="H353" s="22" t="s">
        <v>1520</v>
      </c>
      <c r="I353" s="22"/>
      <c r="J353" s="63" t="s">
        <v>71</v>
      </c>
      <c r="K353" s="22" t="s">
        <v>1521</v>
      </c>
      <c r="L353" s="16"/>
      <c r="M353" s="16"/>
      <c r="N353" s="17" t="s">
        <v>659</v>
      </c>
      <c r="O353" s="17" t="str">
        <f t="shared" si="55"/>
        <v>NO</v>
      </c>
      <c r="P353" s="17" t="str">
        <f t="shared" si="53"/>
        <v>🔴</v>
      </c>
      <c r="Q353" s="60"/>
    </row>
    <row r="354" spans="1:86" ht="18" hidden="1" customHeight="1" x14ac:dyDescent="0.4">
      <c r="A354" s="10">
        <f t="shared" si="52"/>
        <v>353</v>
      </c>
      <c r="B354" s="13">
        <f t="shared" si="54"/>
        <v>353</v>
      </c>
      <c r="C354" s="16" t="s">
        <v>1389</v>
      </c>
      <c r="D354" s="16" t="s">
        <v>1392</v>
      </c>
      <c r="E354" s="17" t="str">
        <f t="shared" si="56"/>
        <v/>
      </c>
      <c r="F354" s="16" t="s">
        <v>1522</v>
      </c>
      <c r="G354" s="16" t="s">
        <v>1523</v>
      </c>
      <c r="H354" s="16" t="s">
        <v>1524</v>
      </c>
      <c r="I354" s="16"/>
      <c r="J354" s="63" t="s">
        <v>71</v>
      </c>
      <c r="K354" s="16" t="s">
        <v>1525</v>
      </c>
      <c r="L354" s="16"/>
      <c r="M354" s="16"/>
      <c r="N354" s="17" t="s">
        <v>659</v>
      </c>
      <c r="O354" s="17" t="str">
        <f t="shared" si="55"/>
        <v>NO</v>
      </c>
      <c r="P354" s="17" t="str">
        <f t="shared" si="53"/>
        <v>🔴</v>
      </c>
      <c r="Q354" s="60"/>
    </row>
    <row r="355" spans="1:86" ht="18" hidden="1" customHeight="1" x14ac:dyDescent="0.4">
      <c r="A355" s="7">
        <f t="shared" si="52"/>
        <v>354</v>
      </c>
      <c r="B355" s="13">
        <f t="shared" si="54"/>
        <v>354</v>
      </c>
      <c r="C355" s="22" t="s">
        <v>1389</v>
      </c>
      <c r="D355" s="22" t="s">
        <v>1392</v>
      </c>
      <c r="E355" s="23" t="str">
        <f t="shared" si="56"/>
        <v/>
      </c>
      <c r="F355" s="16" t="s">
        <v>1526</v>
      </c>
      <c r="G355" s="22" t="s">
        <v>1527</v>
      </c>
      <c r="H355" s="22" t="s">
        <v>1528</v>
      </c>
      <c r="I355" s="22"/>
      <c r="J355" s="63" t="s">
        <v>71</v>
      </c>
      <c r="K355" s="22" t="s">
        <v>1529</v>
      </c>
      <c r="L355" s="16"/>
      <c r="M355" s="16"/>
      <c r="N355" s="17" t="s">
        <v>659</v>
      </c>
      <c r="O355" s="17" t="str">
        <f t="shared" si="55"/>
        <v>NO</v>
      </c>
      <c r="P355" s="17" t="str">
        <f t="shared" si="53"/>
        <v>🔴</v>
      </c>
      <c r="Q355" s="60"/>
    </row>
    <row r="356" spans="1:86" ht="18" customHeight="1" x14ac:dyDescent="0.4">
      <c r="A356" s="10">
        <f t="shared" si="52"/>
        <v>355</v>
      </c>
      <c r="B356" s="13">
        <f t="shared" si="54"/>
        <v>355</v>
      </c>
      <c r="C356" s="16" t="s">
        <v>1319</v>
      </c>
      <c r="D356" s="16"/>
      <c r="E356" s="17" t="s">
        <v>1257</v>
      </c>
      <c r="F356" s="16" t="s">
        <v>3299</v>
      </c>
      <c r="G356" s="16" t="s">
        <v>3296</v>
      </c>
      <c r="H356" s="16" t="s">
        <v>3297</v>
      </c>
      <c r="I356" s="16" t="s">
        <v>3298</v>
      </c>
      <c r="J356" s="62" t="s">
        <v>22</v>
      </c>
      <c r="K356" s="16" t="s">
        <v>3300</v>
      </c>
      <c r="L356" s="16" t="s">
        <v>3320</v>
      </c>
      <c r="M356" s="16">
        <v>10</v>
      </c>
      <c r="N356" s="17"/>
      <c r="O356" s="17" t="str">
        <f t="shared" si="55"/>
        <v>NO</v>
      </c>
      <c r="P356" s="17" t="str">
        <f t="shared" si="53"/>
        <v>🟢</v>
      </c>
      <c r="Q356" s="60"/>
    </row>
    <row r="357" spans="1:86" ht="18" hidden="1" customHeight="1" x14ac:dyDescent="0.4">
      <c r="A357" s="7">
        <f t="shared" si="52"/>
        <v>356</v>
      </c>
      <c r="B357" s="13">
        <f t="shared" si="54"/>
        <v>356</v>
      </c>
      <c r="C357" s="22" t="s">
        <v>1389</v>
      </c>
      <c r="D357" s="22" t="s">
        <v>908</v>
      </c>
      <c r="E357" s="23" t="str">
        <f>IF(UPPER($J357)="NO","",$N357)</f>
        <v>VIP</v>
      </c>
      <c r="F357" s="16" t="s">
        <v>1534</v>
      </c>
      <c r="G357" s="22" t="s">
        <v>1140</v>
      </c>
      <c r="H357" s="22" t="s">
        <v>1535</v>
      </c>
      <c r="I357" s="22" t="s">
        <v>1536</v>
      </c>
      <c r="J357" s="64" t="s">
        <v>22</v>
      </c>
      <c r="K357" s="22" t="s">
        <v>1537</v>
      </c>
      <c r="L357" s="16"/>
      <c r="M357" s="16"/>
      <c r="N357" s="17" t="s">
        <v>24</v>
      </c>
      <c r="O357" s="17" t="str">
        <f t="shared" si="55"/>
        <v>SI</v>
      </c>
      <c r="P357" s="17" t="str">
        <f t="shared" si="53"/>
        <v>🟢</v>
      </c>
      <c r="Q357" s="60" t="s">
        <v>1152</v>
      </c>
    </row>
    <row r="358" spans="1:86" ht="18" customHeight="1" x14ac:dyDescent="0.4">
      <c r="A358" s="10">
        <f t="shared" si="52"/>
        <v>357</v>
      </c>
      <c r="B358" s="13">
        <f t="shared" si="54"/>
        <v>357</v>
      </c>
      <c r="C358" s="28" t="s">
        <v>1770</v>
      </c>
      <c r="D358" s="28"/>
      <c r="E358" s="17" t="s">
        <v>1257</v>
      </c>
      <c r="F358" s="16" t="s">
        <v>1934</v>
      </c>
      <c r="G358" s="28" t="s">
        <v>627</v>
      </c>
      <c r="H358" s="28" t="s">
        <v>1154</v>
      </c>
      <c r="I358" s="28"/>
      <c r="J358" s="62" t="s">
        <v>22</v>
      </c>
      <c r="K358" s="28" t="s">
        <v>1935</v>
      </c>
      <c r="L358" s="16" t="s">
        <v>3318</v>
      </c>
      <c r="M358" s="16">
        <v>25</v>
      </c>
      <c r="N358" s="17" t="s">
        <v>1257</v>
      </c>
      <c r="O358" s="17" t="str">
        <f t="shared" si="55"/>
        <v>NO</v>
      </c>
      <c r="P358" s="17" t="str">
        <f t="shared" si="53"/>
        <v>🟢</v>
      </c>
      <c r="Q358" s="60"/>
    </row>
    <row r="359" spans="1:86" ht="18" hidden="1" customHeight="1" x14ac:dyDescent="0.4">
      <c r="A359" s="7">
        <f t="shared" si="52"/>
        <v>358</v>
      </c>
      <c r="B359" s="13">
        <f t="shared" si="54"/>
        <v>358</v>
      </c>
      <c r="C359" s="22" t="s">
        <v>1389</v>
      </c>
      <c r="D359" s="22" t="s">
        <v>1397</v>
      </c>
      <c r="E359" s="23" t="str">
        <f>IF(UPPER($J359)="NO","",$N359)</f>
        <v/>
      </c>
      <c r="F359" s="16" t="s">
        <v>1540</v>
      </c>
      <c r="G359" s="22" t="s">
        <v>1541</v>
      </c>
      <c r="H359" s="22" t="s">
        <v>1542</v>
      </c>
      <c r="I359" s="22"/>
      <c r="J359" s="63" t="s">
        <v>71</v>
      </c>
      <c r="K359" s="22" t="s">
        <v>1543</v>
      </c>
      <c r="L359" s="16"/>
      <c r="M359" s="16"/>
      <c r="N359" s="17" t="s">
        <v>659</v>
      </c>
      <c r="O359" s="17" t="str">
        <f t="shared" si="55"/>
        <v>NO</v>
      </c>
      <c r="P359" s="17" t="str">
        <f t="shared" si="53"/>
        <v>🔴</v>
      </c>
      <c r="Q359" s="60"/>
    </row>
    <row r="360" spans="1:86" ht="18" hidden="1" customHeight="1" x14ac:dyDescent="0.4">
      <c r="A360" s="10">
        <f t="shared" si="52"/>
        <v>359</v>
      </c>
      <c r="B360" s="13">
        <f t="shared" si="54"/>
        <v>359</v>
      </c>
      <c r="C360" s="16" t="s">
        <v>1389</v>
      </c>
      <c r="D360" s="16" t="s">
        <v>1392</v>
      </c>
      <c r="E360" s="17" t="str">
        <f>IF(UPPER($J360)="NO","",$N360)</f>
        <v/>
      </c>
      <c r="F360" s="16" t="s">
        <v>1544</v>
      </c>
      <c r="G360" s="16" t="s">
        <v>1545</v>
      </c>
      <c r="H360" s="16" t="s">
        <v>1546</v>
      </c>
      <c r="I360" s="16"/>
      <c r="J360" s="63" t="s">
        <v>71</v>
      </c>
      <c r="K360" s="16" t="s">
        <v>1547</v>
      </c>
      <c r="L360" s="16"/>
      <c r="M360" s="16"/>
      <c r="N360" s="17" t="s">
        <v>659</v>
      </c>
      <c r="O360" s="17" t="str">
        <f t="shared" si="55"/>
        <v>NO</v>
      </c>
      <c r="P360" s="17" t="str">
        <f t="shared" si="53"/>
        <v>🔴</v>
      </c>
      <c r="Q360" s="60"/>
    </row>
    <row r="361" spans="1:86" ht="18" hidden="1" customHeight="1" x14ac:dyDescent="0.4">
      <c r="A361" s="7">
        <f t="shared" si="52"/>
        <v>360</v>
      </c>
      <c r="B361" s="13">
        <f t="shared" si="54"/>
        <v>360</v>
      </c>
      <c r="C361" s="22" t="s">
        <v>1389</v>
      </c>
      <c r="D361" s="22" t="s">
        <v>1392</v>
      </c>
      <c r="E361" s="23" t="str">
        <f>IF(UPPER($J361)="NO","",$N361)</f>
        <v/>
      </c>
      <c r="F361" s="16" t="s">
        <v>1548</v>
      </c>
      <c r="G361" s="22" t="s">
        <v>1549</v>
      </c>
      <c r="H361" s="22" t="s">
        <v>1550</v>
      </c>
      <c r="I361" s="22"/>
      <c r="J361" s="64" t="s">
        <v>71</v>
      </c>
      <c r="K361" s="22" t="s">
        <v>1551</v>
      </c>
      <c r="L361" s="16"/>
      <c r="M361" s="16"/>
      <c r="N361" s="17" t="s">
        <v>659</v>
      </c>
      <c r="O361" s="17" t="str">
        <f t="shared" si="55"/>
        <v>NO</v>
      </c>
      <c r="P361" s="17" t="str">
        <f t="shared" si="53"/>
        <v>🔴</v>
      </c>
      <c r="Q361" s="60"/>
    </row>
    <row r="362" spans="1:86" ht="18" customHeight="1" x14ac:dyDescent="0.4">
      <c r="A362" s="10">
        <f t="shared" si="52"/>
        <v>361</v>
      </c>
      <c r="B362" s="13">
        <f t="shared" si="54"/>
        <v>361</v>
      </c>
      <c r="C362" s="14" t="s">
        <v>1134</v>
      </c>
      <c r="D362" s="14"/>
      <c r="E362" s="17" t="s">
        <v>1257</v>
      </c>
      <c r="F362" s="16" t="s">
        <v>1169</v>
      </c>
      <c r="G362" s="14" t="s">
        <v>1080</v>
      </c>
      <c r="H362" s="14" t="s">
        <v>1170</v>
      </c>
      <c r="I362" s="14"/>
      <c r="J362" s="61" t="s">
        <v>22</v>
      </c>
      <c r="K362" s="14" t="s">
        <v>1171</v>
      </c>
      <c r="L362" s="16" t="s">
        <v>3319</v>
      </c>
      <c r="M362" s="16">
        <v>23</v>
      </c>
      <c r="N362" s="17" t="s">
        <v>659</v>
      </c>
      <c r="O362" s="17" t="str">
        <f t="shared" si="55"/>
        <v>NO</v>
      </c>
      <c r="P362" s="17" t="str">
        <f t="shared" si="53"/>
        <v>🟢</v>
      </c>
      <c r="Q362" s="60"/>
    </row>
    <row r="363" spans="1:86" ht="18" hidden="1" customHeight="1" x14ac:dyDescent="0.4">
      <c r="A363" s="7">
        <f t="shared" si="52"/>
        <v>362</v>
      </c>
      <c r="B363" s="13">
        <f t="shared" si="54"/>
        <v>362</v>
      </c>
      <c r="C363" s="22" t="s">
        <v>1389</v>
      </c>
      <c r="D363" s="22" t="s">
        <v>1392</v>
      </c>
      <c r="E363" s="23" t="str">
        <f>IF(UPPER($J363)="NO","",$N363)</f>
        <v/>
      </c>
      <c r="F363" s="16" t="s">
        <v>1556</v>
      </c>
      <c r="G363" s="22" t="s">
        <v>1557</v>
      </c>
      <c r="H363" s="22" t="s">
        <v>1558</v>
      </c>
      <c r="I363" s="22"/>
      <c r="J363" s="63" t="s">
        <v>71</v>
      </c>
      <c r="K363" s="22" t="s">
        <v>1559</v>
      </c>
      <c r="L363" s="16"/>
      <c r="M363" s="16"/>
      <c r="N363" s="17" t="s">
        <v>659</v>
      </c>
      <c r="O363" s="17" t="str">
        <f t="shared" si="55"/>
        <v>NO</v>
      </c>
      <c r="P363" s="17" t="str">
        <f t="shared" si="53"/>
        <v>🔴</v>
      </c>
      <c r="Q363" s="60"/>
    </row>
    <row r="364" spans="1:86" ht="18" customHeight="1" x14ac:dyDescent="0.4">
      <c r="A364" s="10">
        <f t="shared" si="52"/>
        <v>363</v>
      </c>
      <c r="B364" s="13">
        <f t="shared" si="54"/>
        <v>363</v>
      </c>
      <c r="C364" s="32" t="s">
        <v>2441</v>
      </c>
      <c r="D364" s="32"/>
      <c r="E364" s="17" t="s">
        <v>1257</v>
      </c>
      <c r="F364" s="16" t="s">
        <v>2488</v>
      </c>
      <c r="G364" s="32" t="s">
        <v>2489</v>
      </c>
      <c r="H364" s="32" t="s">
        <v>2490</v>
      </c>
      <c r="I364" s="32" t="s">
        <v>371</v>
      </c>
      <c r="J364" s="61" t="s">
        <v>22</v>
      </c>
      <c r="K364" s="32" t="s">
        <v>2491</v>
      </c>
      <c r="L364" s="16" t="s">
        <v>3321</v>
      </c>
      <c r="M364" s="16">
        <v>6</v>
      </c>
      <c r="N364" s="17" t="s">
        <v>1257</v>
      </c>
      <c r="O364" s="17" t="str">
        <f t="shared" si="55"/>
        <v>NO</v>
      </c>
      <c r="P364" s="17" t="str">
        <f t="shared" si="53"/>
        <v>🟢</v>
      </c>
      <c r="Q364" s="60"/>
    </row>
    <row r="365" spans="1:86" s="5" customFormat="1" ht="18" hidden="1" customHeight="1" x14ac:dyDescent="0.4">
      <c r="A365" s="7">
        <f t="shared" si="52"/>
        <v>364</v>
      </c>
      <c r="B365" s="13">
        <f t="shared" si="54"/>
        <v>364</v>
      </c>
      <c r="C365" s="22" t="s">
        <v>1389</v>
      </c>
      <c r="D365" s="22" t="s">
        <v>1564</v>
      </c>
      <c r="E365" s="23" t="str">
        <f>IF(UPPER($J365)="NO","",$N365)</f>
        <v/>
      </c>
      <c r="F365" s="16" t="s">
        <v>1565</v>
      </c>
      <c r="G365" s="22" t="s">
        <v>1566</v>
      </c>
      <c r="H365" s="22" t="s">
        <v>1567</v>
      </c>
      <c r="I365" s="22"/>
      <c r="J365" s="63" t="s">
        <v>71</v>
      </c>
      <c r="K365" s="22" t="s">
        <v>1568</v>
      </c>
      <c r="L365" s="16"/>
      <c r="M365" s="16"/>
      <c r="N365" s="17"/>
      <c r="O365" s="17" t="str">
        <f t="shared" si="55"/>
        <v>NO</v>
      </c>
      <c r="P365" s="17" t="str">
        <f t="shared" si="53"/>
        <v>🔴</v>
      </c>
      <c r="Q365" s="60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ht="18" customHeight="1" x14ac:dyDescent="0.4">
      <c r="A366" s="10">
        <f t="shared" si="52"/>
        <v>365</v>
      </c>
      <c r="B366" s="13">
        <f t="shared" si="54"/>
        <v>365</v>
      </c>
      <c r="C366" s="16" t="s">
        <v>1770</v>
      </c>
      <c r="D366" s="16"/>
      <c r="E366" s="17" t="str">
        <f>IF(UPPER($J366)="NO","",$N366)</f>
        <v>LATERAL</v>
      </c>
      <c r="F366" s="16" t="s">
        <v>2144</v>
      </c>
      <c r="G366" s="11" t="s">
        <v>74</v>
      </c>
      <c r="H366" s="11" t="s">
        <v>2145</v>
      </c>
      <c r="I366" s="11" t="s">
        <v>2146</v>
      </c>
      <c r="J366" s="62" t="s">
        <v>22</v>
      </c>
      <c r="K366" s="16" t="s">
        <v>2147</v>
      </c>
      <c r="L366" s="16" t="s">
        <v>3324</v>
      </c>
      <c r="M366" s="16">
        <v>22</v>
      </c>
      <c r="N366" s="17" t="s">
        <v>1257</v>
      </c>
      <c r="O366" s="17" t="str">
        <f t="shared" si="55"/>
        <v>NO</v>
      </c>
      <c r="P366" s="17" t="str">
        <f t="shared" si="53"/>
        <v>🟢</v>
      </c>
      <c r="Q366" s="60"/>
    </row>
    <row r="367" spans="1:86" ht="18" customHeight="1" x14ac:dyDescent="0.4">
      <c r="A367" s="10">
        <f t="shared" ref="A367:A391" si="57">IF(COUNTA(C367:K367)=0,"",ROW()-1)</f>
        <v>366</v>
      </c>
      <c r="B367" s="13">
        <f t="shared" si="54"/>
        <v>366</v>
      </c>
      <c r="C367" s="16" t="s">
        <v>2162</v>
      </c>
      <c r="D367" s="16"/>
      <c r="E367" s="17" t="s">
        <v>1257</v>
      </c>
      <c r="F367" s="16" t="s">
        <v>2209</v>
      </c>
      <c r="G367" s="16" t="s">
        <v>68</v>
      </c>
      <c r="H367" s="16" t="s">
        <v>2210</v>
      </c>
      <c r="I367" s="16" t="s">
        <v>1403</v>
      </c>
      <c r="J367" s="61" t="s">
        <v>22</v>
      </c>
      <c r="K367" s="11" t="s">
        <v>2211</v>
      </c>
      <c r="L367" s="16" t="s">
        <v>3320</v>
      </c>
      <c r="M367" s="16">
        <v>11</v>
      </c>
      <c r="N367" s="17" t="s">
        <v>659</v>
      </c>
      <c r="O367" s="17" t="str">
        <f t="shared" si="55"/>
        <v>NO</v>
      </c>
      <c r="P367" s="17" t="str">
        <f t="shared" si="53"/>
        <v>🟢</v>
      </c>
      <c r="Q367" s="60"/>
    </row>
    <row r="368" spans="1:86" ht="18" hidden="1" customHeight="1" x14ac:dyDescent="0.4">
      <c r="A368" s="10">
        <f t="shared" si="57"/>
        <v>367</v>
      </c>
      <c r="B368" s="13">
        <f t="shared" si="54"/>
        <v>367</v>
      </c>
      <c r="C368" s="24" t="s">
        <v>1569</v>
      </c>
      <c r="D368" s="24" t="s">
        <v>1397</v>
      </c>
      <c r="E368" s="25" t="str">
        <f>IF(UPPER($J368)="NO","",$N368)</f>
        <v/>
      </c>
      <c r="F368" s="16" t="s">
        <v>1580</v>
      </c>
      <c r="G368" s="24" t="s">
        <v>1581</v>
      </c>
      <c r="H368" s="24" t="s">
        <v>1582</v>
      </c>
      <c r="I368" s="24" t="s">
        <v>105</v>
      </c>
      <c r="J368" s="62" t="s">
        <v>71</v>
      </c>
      <c r="K368" s="24" t="s">
        <v>1583</v>
      </c>
      <c r="L368" s="16"/>
      <c r="M368" s="16"/>
      <c r="N368" s="17" t="s">
        <v>659</v>
      </c>
      <c r="O368" s="17" t="str">
        <f t="shared" si="55"/>
        <v>NO</v>
      </c>
      <c r="P368" s="17" t="str">
        <f t="shared" si="53"/>
        <v>🔴</v>
      </c>
      <c r="Q368" s="60"/>
    </row>
    <row r="369" spans="1:17" ht="18" customHeight="1" x14ac:dyDescent="0.4">
      <c r="A369" s="7">
        <f t="shared" si="57"/>
        <v>368</v>
      </c>
      <c r="B369" s="13"/>
      <c r="C369" s="14"/>
      <c r="D369" s="14"/>
      <c r="E369" s="17" t="s">
        <v>1257</v>
      </c>
      <c r="F369" s="16"/>
      <c r="G369" s="14" t="s">
        <v>3322</v>
      </c>
      <c r="H369" s="14" t="s">
        <v>461</v>
      </c>
      <c r="I369" s="14" t="s">
        <v>1173</v>
      </c>
      <c r="J369" s="62" t="s">
        <v>22</v>
      </c>
      <c r="K369" s="14" t="s">
        <v>3323</v>
      </c>
      <c r="L369" s="16" t="s">
        <v>3319</v>
      </c>
      <c r="M369" s="16">
        <v>24</v>
      </c>
      <c r="N369" s="17"/>
      <c r="O369" s="17"/>
      <c r="P369" s="17"/>
      <c r="Q369" s="60"/>
    </row>
    <row r="370" spans="1:17" ht="18" customHeight="1" x14ac:dyDescent="0.4">
      <c r="A370" s="10">
        <f t="shared" si="57"/>
        <v>369</v>
      </c>
      <c r="B370" s="10">
        <f t="shared" ref="B370:B377" si="58">IF($F370&lt;&gt;"",$A370,"")</f>
        <v>369</v>
      </c>
      <c r="C370" s="11" t="s">
        <v>16</v>
      </c>
      <c r="D370" s="11" t="s">
        <v>826</v>
      </c>
      <c r="E370" s="17" t="s">
        <v>1257</v>
      </c>
      <c r="F370" s="11" t="s">
        <v>827</v>
      </c>
      <c r="G370" s="11" t="s">
        <v>828</v>
      </c>
      <c r="H370" s="11" t="s">
        <v>168</v>
      </c>
      <c r="I370" s="11" t="s">
        <v>829</v>
      </c>
      <c r="J370" s="64" t="s">
        <v>22</v>
      </c>
      <c r="K370" s="11" t="s">
        <v>830</v>
      </c>
      <c r="L370" s="11" t="s">
        <v>3319</v>
      </c>
      <c r="M370" s="11">
        <v>25</v>
      </c>
      <c r="N370" s="12" t="s">
        <v>659</v>
      </c>
      <c r="O370" s="12" t="str">
        <f t="shared" ref="O370:O377" si="59">IF(AND(UPPER($N370)="VIP",UPPER($J370)&lt;&gt;"NO",$F370&lt;&gt;""),"SI","NO")</f>
        <v>NO</v>
      </c>
      <c r="P370" s="12" t="str">
        <f t="shared" ref="P370:P401" si="60">IF(UPPER($J370)="SI","🟢",IF(UPPER($J370)="NO","🔴","🟡"))</f>
        <v>🟢</v>
      </c>
      <c r="Q370" s="59"/>
    </row>
    <row r="371" spans="1:17" ht="18" customHeight="1" x14ac:dyDescent="0.4">
      <c r="A371" s="10">
        <f t="shared" si="57"/>
        <v>370</v>
      </c>
      <c r="B371" s="13" t="str">
        <f t="shared" si="58"/>
        <v/>
      </c>
      <c r="C371" s="28" t="s">
        <v>1770</v>
      </c>
      <c r="D371" s="28"/>
      <c r="E371" s="17" t="s">
        <v>1257</v>
      </c>
      <c r="F371" s="16"/>
      <c r="G371" s="28" t="s">
        <v>317</v>
      </c>
      <c r="H371" s="28" t="s">
        <v>3337</v>
      </c>
      <c r="I371" s="28" t="s">
        <v>3338</v>
      </c>
      <c r="J371" s="64" t="s">
        <v>22</v>
      </c>
      <c r="K371" s="28" t="s">
        <v>3357</v>
      </c>
      <c r="L371" s="16" t="s">
        <v>3319</v>
      </c>
      <c r="M371" s="16">
        <v>26</v>
      </c>
      <c r="N371" s="17"/>
      <c r="O371" s="17" t="str">
        <f t="shared" si="59"/>
        <v>NO</v>
      </c>
      <c r="P371" s="17" t="str">
        <f t="shared" si="60"/>
        <v>🟢</v>
      </c>
      <c r="Q371" s="60"/>
    </row>
    <row r="372" spans="1:17" ht="18" customHeight="1" x14ac:dyDescent="0.4">
      <c r="A372" s="10">
        <f t="shared" si="57"/>
        <v>371</v>
      </c>
      <c r="B372" s="13">
        <f t="shared" si="58"/>
        <v>371</v>
      </c>
      <c r="C372" s="28" t="s">
        <v>1770</v>
      </c>
      <c r="D372" s="28"/>
      <c r="E372" s="17" t="s">
        <v>1257</v>
      </c>
      <c r="F372" s="16" t="s">
        <v>1993</v>
      </c>
      <c r="G372" s="28" t="s">
        <v>541</v>
      </c>
      <c r="H372" s="28" t="s">
        <v>140</v>
      </c>
      <c r="I372" s="28" t="s">
        <v>1994</v>
      </c>
      <c r="J372" s="61" t="s">
        <v>22</v>
      </c>
      <c r="K372" s="28" t="s">
        <v>1995</v>
      </c>
      <c r="L372" s="16" t="s">
        <v>3319</v>
      </c>
      <c r="M372" s="16">
        <v>27</v>
      </c>
      <c r="N372" s="17" t="s">
        <v>659</v>
      </c>
      <c r="O372" s="17" t="str">
        <f t="shared" si="59"/>
        <v>NO</v>
      </c>
      <c r="P372" s="17" t="str">
        <f t="shared" si="60"/>
        <v>🟢</v>
      </c>
      <c r="Q372" s="60"/>
    </row>
    <row r="373" spans="1:17" ht="18" customHeight="1" x14ac:dyDescent="0.4">
      <c r="A373" s="10">
        <f t="shared" si="57"/>
        <v>372</v>
      </c>
      <c r="B373" s="13">
        <f t="shared" si="58"/>
        <v>372</v>
      </c>
      <c r="C373" s="28" t="s">
        <v>1770</v>
      </c>
      <c r="D373" s="28"/>
      <c r="E373" s="17" t="s">
        <v>1257</v>
      </c>
      <c r="F373" s="16" t="s">
        <v>1986</v>
      </c>
      <c r="G373" s="28" t="s">
        <v>1446</v>
      </c>
      <c r="H373" s="28" t="s">
        <v>1275</v>
      </c>
      <c r="I373" s="28" t="s">
        <v>1987</v>
      </c>
      <c r="J373" s="61" t="s">
        <v>22</v>
      </c>
      <c r="K373" s="28" t="s">
        <v>1988</v>
      </c>
      <c r="L373" s="16" t="s">
        <v>3319</v>
      </c>
      <c r="M373" s="16">
        <v>28</v>
      </c>
      <c r="N373" s="17" t="s">
        <v>659</v>
      </c>
      <c r="O373" s="17" t="str">
        <f t="shared" si="59"/>
        <v>NO</v>
      </c>
      <c r="P373" s="17" t="str">
        <f t="shared" si="60"/>
        <v>🟢</v>
      </c>
      <c r="Q373" s="60"/>
    </row>
    <row r="374" spans="1:17" ht="18" customHeight="1" x14ac:dyDescent="0.4">
      <c r="A374" s="10">
        <f t="shared" si="57"/>
        <v>373</v>
      </c>
      <c r="B374" s="13">
        <f t="shared" si="58"/>
        <v>373</v>
      </c>
      <c r="C374" s="16" t="s">
        <v>1225</v>
      </c>
      <c r="D374" s="16"/>
      <c r="E374" s="17" t="s">
        <v>1257</v>
      </c>
      <c r="F374" s="16" t="s">
        <v>1308</v>
      </c>
      <c r="G374" s="16" t="s">
        <v>1309</v>
      </c>
      <c r="H374" s="16" t="s">
        <v>1310</v>
      </c>
      <c r="I374" s="16" t="s">
        <v>1311</v>
      </c>
      <c r="J374" s="62" t="s">
        <v>22</v>
      </c>
      <c r="K374" s="16" t="s">
        <v>1312</v>
      </c>
      <c r="L374" s="16" t="s">
        <v>3319</v>
      </c>
      <c r="M374" s="16">
        <v>29</v>
      </c>
      <c r="N374" s="17" t="s">
        <v>1257</v>
      </c>
      <c r="O374" s="17" t="str">
        <f t="shared" si="59"/>
        <v>NO</v>
      </c>
      <c r="P374" s="17" t="str">
        <f t="shared" si="60"/>
        <v>🟢</v>
      </c>
      <c r="Q374" s="60"/>
    </row>
    <row r="375" spans="1:17" ht="18" customHeight="1" x14ac:dyDescent="0.4">
      <c r="A375" s="10">
        <f t="shared" si="57"/>
        <v>374</v>
      </c>
      <c r="B375" s="13">
        <f t="shared" si="58"/>
        <v>374</v>
      </c>
      <c r="C375" s="18" t="s">
        <v>1225</v>
      </c>
      <c r="D375" s="18"/>
      <c r="E375" s="17" t="s">
        <v>1257</v>
      </c>
      <c r="F375" s="16" t="s">
        <v>1273</v>
      </c>
      <c r="G375" s="18" t="s">
        <v>1274</v>
      </c>
      <c r="H375" s="18" t="s">
        <v>1275</v>
      </c>
      <c r="I375" s="18"/>
      <c r="J375" s="61" t="s">
        <v>22</v>
      </c>
      <c r="K375" s="18" t="s">
        <v>1276</v>
      </c>
      <c r="L375" s="16" t="s">
        <v>3319</v>
      </c>
      <c r="M375" s="16">
        <v>30</v>
      </c>
      <c r="N375" s="17" t="s">
        <v>659</v>
      </c>
      <c r="O375" s="17" t="str">
        <f t="shared" si="59"/>
        <v>NO</v>
      </c>
      <c r="P375" s="17" t="str">
        <f t="shared" si="60"/>
        <v>🟢</v>
      </c>
      <c r="Q375" s="60"/>
    </row>
    <row r="376" spans="1:17" ht="18" customHeight="1" x14ac:dyDescent="0.4">
      <c r="A376" s="7">
        <f t="shared" si="57"/>
        <v>375</v>
      </c>
      <c r="B376" s="13">
        <f t="shared" si="58"/>
        <v>375</v>
      </c>
      <c r="C376" s="16" t="s">
        <v>1225</v>
      </c>
      <c r="D376" s="16"/>
      <c r="E376" s="17" t="s">
        <v>1257</v>
      </c>
      <c r="F376" s="16" t="s">
        <v>1296</v>
      </c>
      <c r="G376" s="16" t="s">
        <v>1029</v>
      </c>
      <c r="H376" s="16" t="s">
        <v>312</v>
      </c>
      <c r="I376" s="16" t="s">
        <v>313</v>
      </c>
      <c r="J376" s="61" t="s">
        <v>22</v>
      </c>
      <c r="K376" s="11" t="s">
        <v>1297</v>
      </c>
      <c r="L376" s="16" t="s">
        <v>3319</v>
      </c>
      <c r="M376" s="16">
        <v>31</v>
      </c>
      <c r="N376" s="17" t="s">
        <v>659</v>
      </c>
      <c r="O376" s="17" t="str">
        <f t="shared" si="59"/>
        <v>NO</v>
      </c>
      <c r="P376" s="17" t="str">
        <f t="shared" si="60"/>
        <v>🟢</v>
      </c>
      <c r="Q376" s="60"/>
    </row>
    <row r="377" spans="1:17" ht="18" customHeight="1" x14ac:dyDescent="0.4">
      <c r="A377" s="10">
        <f t="shared" si="57"/>
        <v>376</v>
      </c>
      <c r="B377" s="13">
        <f t="shared" si="58"/>
        <v>376</v>
      </c>
      <c r="C377" s="18" t="s">
        <v>1225</v>
      </c>
      <c r="D377" s="18"/>
      <c r="E377" s="17" t="s">
        <v>1257</v>
      </c>
      <c r="F377" s="16" t="s">
        <v>1298</v>
      </c>
      <c r="G377" s="18" t="s">
        <v>1299</v>
      </c>
      <c r="H377" s="18" t="s">
        <v>1300</v>
      </c>
      <c r="I377" s="18" t="s">
        <v>779</v>
      </c>
      <c r="J377" s="61" t="s">
        <v>22</v>
      </c>
      <c r="K377" s="18" t="s">
        <v>1297</v>
      </c>
      <c r="L377" s="16" t="s">
        <v>3319</v>
      </c>
      <c r="M377" s="16">
        <v>32</v>
      </c>
      <c r="N377" s="17" t="s">
        <v>659</v>
      </c>
      <c r="O377" s="17" t="str">
        <f t="shared" si="59"/>
        <v>NO</v>
      </c>
      <c r="P377" s="17" t="str">
        <f t="shared" si="60"/>
        <v>🟢</v>
      </c>
      <c r="Q377" s="60"/>
    </row>
    <row r="378" spans="1:17" ht="18" customHeight="1" x14ac:dyDescent="0.4">
      <c r="A378" s="7">
        <f t="shared" si="57"/>
        <v>377</v>
      </c>
      <c r="B378" s="13">
        <v>282</v>
      </c>
      <c r="C378" s="18" t="s">
        <v>1225</v>
      </c>
      <c r="D378" s="18"/>
      <c r="E378" s="17" t="s">
        <v>1257</v>
      </c>
      <c r="F378" s="16" t="s">
        <v>3294</v>
      </c>
      <c r="G378" s="18" t="s">
        <v>437</v>
      </c>
      <c r="H378" s="18" t="s">
        <v>312</v>
      </c>
      <c r="I378" s="18" t="s">
        <v>1300</v>
      </c>
      <c r="J378" s="61" t="s">
        <v>22</v>
      </c>
      <c r="K378" s="18" t="s">
        <v>3295</v>
      </c>
      <c r="L378" s="16" t="s">
        <v>3319</v>
      </c>
      <c r="M378" s="16">
        <v>33</v>
      </c>
      <c r="N378" s="17"/>
      <c r="O378" s="17"/>
      <c r="P378" s="17" t="str">
        <f t="shared" si="60"/>
        <v>🟢</v>
      </c>
      <c r="Q378" s="60"/>
    </row>
    <row r="379" spans="1:17" ht="18" customHeight="1" x14ac:dyDescent="0.4">
      <c r="A379" s="7">
        <f t="shared" si="57"/>
        <v>378</v>
      </c>
      <c r="B379" s="13">
        <f t="shared" ref="B379:B391" si="61">IF($F379&lt;&gt;"",$A379,"")</f>
        <v>378</v>
      </c>
      <c r="C379" s="30" t="s">
        <v>2162</v>
      </c>
      <c r="D379" s="30"/>
      <c r="E379" s="17" t="s">
        <v>1257</v>
      </c>
      <c r="F379" s="16" t="s">
        <v>2182</v>
      </c>
      <c r="G379" s="30" t="s">
        <v>120</v>
      </c>
      <c r="H379" s="30" t="s">
        <v>2183</v>
      </c>
      <c r="I379" s="30"/>
      <c r="J379" s="61" t="s">
        <v>22</v>
      </c>
      <c r="K379" s="30" t="s">
        <v>2184</v>
      </c>
      <c r="L379" s="16" t="s">
        <v>3319</v>
      </c>
      <c r="M379" s="16">
        <v>34</v>
      </c>
      <c r="N379" s="17" t="s">
        <v>659</v>
      </c>
      <c r="O379" s="17" t="str">
        <f t="shared" ref="O379:O391" si="62">IF(AND(UPPER($N379)="VIP",UPPER($J379)&lt;&gt;"NO",$F379&lt;&gt;""),"SI","NO")</f>
        <v>NO</v>
      </c>
      <c r="P379" s="17" t="str">
        <f t="shared" si="60"/>
        <v>🟢</v>
      </c>
      <c r="Q379" s="60"/>
    </row>
    <row r="380" spans="1:17" ht="18" customHeight="1" x14ac:dyDescent="0.4">
      <c r="A380" s="10">
        <f t="shared" si="57"/>
        <v>379</v>
      </c>
      <c r="B380" s="13">
        <f t="shared" si="61"/>
        <v>379</v>
      </c>
      <c r="C380" s="30" t="s">
        <v>2162</v>
      </c>
      <c r="D380" s="30"/>
      <c r="E380" s="17" t="s">
        <v>1257</v>
      </c>
      <c r="F380" s="16" t="s">
        <v>2185</v>
      </c>
      <c r="G380" s="30" t="s">
        <v>554</v>
      </c>
      <c r="H380" s="30" t="s">
        <v>2186</v>
      </c>
      <c r="I380" s="30"/>
      <c r="J380" s="61" t="s">
        <v>22</v>
      </c>
      <c r="K380" s="30" t="s">
        <v>2187</v>
      </c>
      <c r="L380" s="16" t="s">
        <v>3319</v>
      </c>
      <c r="M380" s="16">
        <v>35</v>
      </c>
      <c r="N380" s="17" t="s">
        <v>659</v>
      </c>
      <c r="O380" s="17" t="str">
        <f t="shared" si="62"/>
        <v>NO</v>
      </c>
      <c r="P380" s="17" t="str">
        <f t="shared" si="60"/>
        <v>🟢</v>
      </c>
      <c r="Q380" s="60"/>
    </row>
    <row r="381" spans="1:17" ht="18" customHeight="1" x14ac:dyDescent="0.4">
      <c r="A381" s="10">
        <f t="shared" si="57"/>
        <v>380</v>
      </c>
      <c r="B381" s="13">
        <f t="shared" si="61"/>
        <v>380</v>
      </c>
      <c r="C381" s="30" t="s">
        <v>2162</v>
      </c>
      <c r="D381" s="30"/>
      <c r="E381" s="17" t="s">
        <v>1257</v>
      </c>
      <c r="F381" s="16" t="s">
        <v>2190</v>
      </c>
      <c r="G381" s="30" t="s">
        <v>473</v>
      </c>
      <c r="H381" s="30" t="s">
        <v>607</v>
      </c>
      <c r="I381" s="30"/>
      <c r="J381" s="61" t="s">
        <v>22</v>
      </c>
      <c r="K381" s="30" t="s">
        <v>2191</v>
      </c>
      <c r="L381" s="16" t="s">
        <v>3319</v>
      </c>
      <c r="M381" s="16">
        <v>36</v>
      </c>
      <c r="N381" s="17" t="s">
        <v>659</v>
      </c>
      <c r="O381" s="17" t="str">
        <f t="shared" si="62"/>
        <v>NO</v>
      </c>
      <c r="P381" s="17" t="str">
        <f t="shared" si="60"/>
        <v>🟢</v>
      </c>
      <c r="Q381" s="60"/>
    </row>
    <row r="382" spans="1:17" ht="18" hidden="1" customHeight="1" x14ac:dyDescent="0.4">
      <c r="A382" s="10">
        <f t="shared" si="57"/>
        <v>381</v>
      </c>
      <c r="B382" s="13">
        <f t="shared" si="61"/>
        <v>381</v>
      </c>
      <c r="C382" s="24" t="s">
        <v>1569</v>
      </c>
      <c r="D382" s="24" t="s">
        <v>817</v>
      </c>
      <c r="E382" s="25" t="str">
        <f>IF(UPPER($J382)="NO","",$N382)</f>
        <v/>
      </c>
      <c r="F382" s="16" t="s">
        <v>1640</v>
      </c>
      <c r="G382" s="24" t="s">
        <v>519</v>
      </c>
      <c r="H382" s="24" t="s">
        <v>1641</v>
      </c>
      <c r="I382" s="24" t="s">
        <v>1642</v>
      </c>
      <c r="J382" s="62" t="s">
        <v>71</v>
      </c>
      <c r="K382" s="24" t="s">
        <v>1643</v>
      </c>
      <c r="L382" s="16"/>
      <c r="M382" s="16"/>
      <c r="N382" s="17" t="s">
        <v>1257</v>
      </c>
      <c r="O382" s="17" t="str">
        <f t="shared" si="62"/>
        <v>NO</v>
      </c>
      <c r="P382" s="17" t="str">
        <f t="shared" si="60"/>
        <v>🔴</v>
      </c>
      <c r="Q382" s="60"/>
    </row>
    <row r="383" spans="1:17" ht="18" customHeight="1" x14ac:dyDescent="0.4">
      <c r="A383" s="7">
        <f t="shared" si="57"/>
        <v>382</v>
      </c>
      <c r="B383" s="13">
        <f t="shared" si="61"/>
        <v>382</v>
      </c>
      <c r="C383" s="30" t="s">
        <v>2162</v>
      </c>
      <c r="D383" s="30"/>
      <c r="E383" s="17" t="s">
        <v>1257</v>
      </c>
      <c r="F383" s="16" t="s">
        <v>2192</v>
      </c>
      <c r="G383" s="30" t="s">
        <v>2193</v>
      </c>
      <c r="H383" s="30" t="s">
        <v>111</v>
      </c>
      <c r="I383" s="30"/>
      <c r="J383" s="61" t="s">
        <v>22</v>
      </c>
      <c r="K383" s="30" t="s">
        <v>2194</v>
      </c>
      <c r="L383" s="16" t="s">
        <v>3319</v>
      </c>
      <c r="M383" s="16">
        <v>37</v>
      </c>
      <c r="N383" s="17" t="s">
        <v>659</v>
      </c>
      <c r="O383" s="17" t="str">
        <f t="shared" si="62"/>
        <v>NO</v>
      </c>
      <c r="P383" s="17" t="str">
        <f t="shared" si="60"/>
        <v>🟢</v>
      </c>
      <c r="Q383" s="60"/>
    </row>
    <row r="384" spans="1:17" ht="18" customHeight="1" x14ac:dyDescent="0.4">
      <c r="A384" s="10">
        <f t="shared" si="57"/>
        <v>383</v>
      </c>
      <c r="B384" s="13">
        <f t="shared" si="61"/>
        <v>383</v>
      </c>
      <c r="C384" s="30" t="s">
        <v>2162</v>
      </c>
      <c r="D384" s="30"/>
      <c r="E384" s="17" t="s">
        <v>1257</v>
      </c>
      <c r="F384" s="16" t="s">
        <v>2195</v>
      </c>
      <c r="G384" s="30" t="s">
        <v>2196</v>
      </c>
      <c r="H384" s="30" t="s">
        <v>395</v>
      </c>
      <c r="I384" s="30"/>
      <c r="J384" s="61" t="s">
        <v>22</v>
      </c>
      <c r="K384" s="30" t="s">
        <v>2197</v>
      </c>
      <c r="L384" s="16" t="s">
        <v>3319</v>
      </c>
      <c r="M384" s="16">
        <v>38</v>
      </c>
      <c r="N384" s="17" t="s">
        <v>659</v>
      </c>
      <c r="O384" s="17" t="str">
        <f t="shared" si="62"/>
        <v>NO</v>
      </c>
      <c r="P384" s="17" t="str">
        <f t="shared" si="60"/>
        <v>🟢</v>
      </c>
      <c r="Q384" s="60"/>
    </row>
    <row r="385" spans="1:17" ht="18" customHeight="1" x14ac:dyDescent="0.4">
      <c r="A385" s="7">
        <f t="shared" si="57"/>
        <v>384</v>
      </c>
      <c r="B385" s="13">
        <f t="shared" si="61"/>
        <v>384</v>
      </c>
      <c r="C385" s="30" t="s">
        <v>2162</v>
      </c>
      <c r="D385" s="30"/>
      <c r="E385" s="17" t="s">
        <v>1257</v>
      </c>
      <c r="F385" s="16" t="s">
        <v>2333</v>
      </c>
      <c r="G385" s="30" t="s">
        <v>483</v>
      </c>
      <c r="H385" s="30" t="s">
        <v>2334</v>
      </c>
      <c r="I385" s="30"/>
      <c r="J385" s="61" t="s">
        <v>22</v>
      </c>
      <c r="K385" s="30" t="s">
        <v>2335</v>
      </c>
      <c r="L385" s="16" t="s">
        <v>3319</v>
      </c>
      <c r="M385" s="16">
        <v>39</v>
      </c>
      <c r="N385" s="17" t="s">
        <v>659</v>
      </c>
      <c r="O385" s="17" t="str">
        <f t="shared" si="62"/>
        <v>NO</v>
      </c>
      <c r="P385" s="17" t="str">
        <f t="shared" si="60"/>
        <v>🟢</v>
      </c>
      <c r="Q385" s="60"/>
    </row>
    <row r="386" spans="1:17" ht="18" hidden="1" customHeight="1" x14ac:dyDescent="0.4">
      <c r="A386" s="10">
        <f t="shared" si="57"/>
        <v>385</v>
      </c>
      <c r="B386" s="13">
        <f t="shared" si="61"/>
        <v>385</v>
      </c>
      <c r="C386" s="24" t="s">
        <v>1569</v>
      </c>
      <c r="D386" s="24" t="s">
        <v>1657</v>
      </c>
      <c r="E386" s="25" t="str">
        <f>IF(UPPER($J386)="NO","",$N386)</f>
        <v/>
      </c>
      <c r="F386" s="16" t="s">
        <v>1658</v>
      </c>
      <c r="G386" s="24" t="s">
        <v>1659</v>
      </c>
      <c r="H386" s="24" t="s">
        <v>1660</v>
      </c>
      <c r="I386" s="24" t="s">
        <v>125</v>
      </c>
      <c r="J386" s="62" t="s">
        <v>71</v>
      </c>
      <c r="K386" s="24" t="s">
        <v>1661</v>
      </c>
      <c r="L386" s="16"/>
      <c r="M386" s="16"/>
      <c r="N386" s="17" t="s">
        <v>1257</v>
      </c>
      <c r="O386" s="17" t="str">
        <f t="shared" si="62"/>
        <v>NO</v>
      </c>
      <c r="P386" s="17" t="str">
        <f t="shared" si="60"/>
        <v>🔴</v>
      </c>
      <c r="Q386" s="60"/>
    </row>
    <row r="387" spans="1:17" ht="18" customHeight="1" x14ac:dyDescent="0.4">
      <c r="A387" s="10">
        <f t="shared" si="57"/>
        <v>386</v>
      </c>
      <c r="B387" s="13">
        <f t="shared" si="61"/>
        <v>386</v>
      </c>
      <c r="C387" s="16" t="s">
        <v>1389</v>
      </c>
      <c r="D387" s="16" t="s">
        <v>1397</v>
      </c>
      <c r="E387" s="17" t="s">
        <v>1257</v>
      </c>
      <c r="F387" s="16" t="s">
        <v>1405</v>
      </c>
      <c r="G387" s="16" t="s">
        <v>1406</v>
      </c>
      <c r="H387" s="16" t="s">
        <v>1407</v>
      </c>
      <c r="I387" s="16" t="s">
        <v>349</v>
      </c>
      <c r="J387" s="61" t="s">
        <v>22</v>
      </c>
      <c r="K387" s="16" t="s">
        <v>1408</v>
      </c>
      <c r="L387" s="16" t="s">
        <v>3319</v>
      </c>
      <c r="M387" s="16">
        <v>40</v>
      </c>
      <c r="N387" s="17" t="s">
        <v>659</v>
      </c>
      <c r="O387" s="17" t="str">
        <f t="shared" si="62"/>
        <v>NO</v>
      </c>
      <c r="P387" s="17" t="str">
        <f t="shared" si="60"/>
        <v>🟢</v>
      </c>
      <c r="Q387" s="60"/>
    </row>
    <row r="388" spans="1:17" ht="18" hidden="1" customHeight="1" x14ac:dyDescent="0.4">
      <c r="A388" s="10">
        <f t="shared" si="57"/>
        <v>387</v>
      </c>
      <c r="B388" s="13">
        <f t="shared" si="61"/>
        <v>387</v>
      </c>
      <c r="C388" s="24" t="s">
        <v>1569</v>
      </c>
      <c r="D388" s="24" t="s">
        <v>817</v>
      </c>
      <c r="E388" s="25" t="str">
        <f>IF(UPPER($J388)="NO","",$N388)</f>
        <v/>
      </c>
      <c r="F388" s="16" t="s">
        <v>1668</v>
      </c>
      <c r="G388" s="24" t="s">
        <v>1669</v>
      </c>
      <c r="H388" s="24" t="s">
        <v>1670</v>
      </c>
      <c r="I388" s="24" t="s">
        <v>1515</v>
      </c>
      <c r="J388" s="62" t="s">
        <v>71</v>
      </c>
      <c r="K388" s="24" t="s">
        <v>1671</v>
      </c>
      <c r="L388" s="16"/>
      <c r="M388" s="16"/>
      <c r="N388" s="17" t="s">
        <v>1257</v>
      </c>
      <c r="O388" s="17" t="str">
        <f t="shared" si="62"/>
        <v>NO</v>
      </c>
      <c r="P388" s="17" t="str">
        <f t="shared" si="60"/>
        <v>🔴</v>
      </c>
      <c r="Q388" s="60"/>
    </row>
    <row r="389" spans="1:17" ht="18" customHeight="1" x14ac:dyDescent="0.4">
      <c r="A389" s="10">
        <f t="shared" si="57"/>
        <v>388</v>
      </c>
      <c r="B389" s="13">
        <f t="shared" si="61"/>
        <v>388</v>
      </c>
      <c r="C389" s="22" t="s">
        <v>1389</v>
      </c>
      <c r="D389" s="22" t="s">
        <v>1432</v>
      </c>
      <c r="E389" s="17" t="s">
        <v>1257</v>
      </c>
      <c r="F389" s="16" t="s">
        <v>1433</v>
      </c>
      <c r="G389" s="22" t="s">
        <v>1035</v>
      </c>
      <c r="H389" s="22" t="s">
        <v>1434</v>
      </c>
      <c r="I389" s="22" t="s">
        <v>1435</v>
      </c>
      <c r="J389" s="61" t="s">
        <v>22</v>
      </c>
      <c r="K389" s="22" t="s">
        <v>1436</v>
      </c>
      <c r="L389" s="16" t="s">
        <v>3319</v>
      </c>
      <c r="M389" s="16">
        <v>41</v>
      </c>
      <c r="N389" s="17" t="s">
        <v>24</v>
      </c>
      <c r="O389" s="17" t="str">
        <f t="shared" si="62"/>
        <v>SI</v>
      </c>
      <c r="P389" s="17" t="str">
        <f t="shared" si="60"/>
        <v>🟢</v>
      </c>
      <c r="Q389" s="60" t="s">
        <v>1152</v>
      </c>
    </row>
    <row r="390" spans="1:17" ht="18" customHeight="1" x14ac:dyDescent="0.4">
      <c r="A390" s="10">
        <f t="shared" si="57"/>
        <v>389</v>
      </c>
      <c r="B390" s="13">
        <f t="shared" si="61"/>
        <v>389</v>
      </c>
      <c r="C390" s="16" t="s">
        <v>1389</v>
      </c>
      <c r="D390" s="16" t="s">
        <v>1474</v>
      </c>
      <c r="E390" s="17" t="s">
        <v>1257</v>
      </c>
      <c r="F390" s="16" t="s">
        <v>1475</v>
      </c>
      <c r="G390" s="16" t="s">
        <v>533</v>
      </c>
      <c r="H390" s="16" t="s">
        <v>1476</v>
      </c>
      <c r="I390" s="16" t="s">
        <v>1477</v>
      </c>
      <c r="J390" s="61" t="s">
        <v>22</v>
      </c>
      <c r="K390" s="16" t="s">
        <v>1478</v>
      </c>
      <c r="L390" s="16" t="s">
        <v>3319</v>
      </c>
      <c r="M390" s="16">
        <v>42</v>
      </c>
      <c r="N390" s="17" t="s">
        <v>659</v>
      </c>
      <c r="O390" s="17" t="str">
        <f t="shared" si="62"/>
        <v>NO</v>
      </c>
      <c r="P390" s="17" t="str">
        <f t="shared" si="60"/>
        <v>🟢</v>
      </c>
      <c r="Q390" s="60"/>
    </row>
    <row r="391" spans="1:17" ht="18" customHeight="1" x14ac:dyDescent="0.4">
      <c r="A391" s="7">
        <f t="shared" si="57"/>
        <v>390</v>
      </c>
      <c r="B391" s="7">
        <f t="shared" si="61"/>
        <v>390</v>
      </c>
      <c r="C391" s="8" t="s">
        <v>16</v>
      </c>
      <c r="D391" s="8" t="s">
        <v>670</v>
      </c>
      <c r="E391" s="17" t="s">
        <v>1257</v>
      </c>
      <c r="F391" s="8" t="s">
        <v>806</v>
      </c>
      <c r="G391" s="8" t="s">
        <v>528</v>
      </c>
      <c r="H391" s="8" t="s">
        <v>807</v>
      </c>
      <c r="I391" s="8"/>
      <c r="J391" s="62" t="s">
        <v>22</v>
      </c>
      <c r="K391" s="8" t="s">
        <v>808</v>
      </c>
      <c r="L391" s="8" t="s">
        <v>3320</v>
      </c>
      <c r="M391" s="8">
        <v>12</v>
      </c>
      <c r="N391" s="9" t="s">
        <v>659</v>
      </c>
      <c r="O391" s="9" t="str">
        <f t="shared" si="62"/>
        <v>NO</v>
      </c>
      <c r="P391" s="9" t="str">
        <f t="shared" si="60"/>
        <v>🟢</v>
      </c>
      <c r="Q391" s="58"/>
    </row>
    <row r="392" spans="1:17" ht="18" customHeight="1" x14ac:dyDescent="0.4">
      <c r="A392" s="7"/>
      <c r="B392" s="13"/>
      <c r="C392" s="16"/>
      <c r="D392" s="16"/>
      <c r="E392" s="17" t="s">
        <v>1257</v>
      </c>
      <c r="F392" s="16"/>
      <c r="G392" s="16" t="s">
        <v>992</v>
      </c>
      <c r="H392" s="16" t="s">
        <v>135</v>
      </c>
      <c r="I392" s="16" t="s">
        <v>3331</v>
      </c>
      <c r="J392" s="62" t="s">
        <v>22</v>
      </c>
      <c r="K392" s="16" t="s">
        <v>3332</v>
      </c>
      <c r="L392" s="16" t="s">
        <v>3318</v>
      </c>
      <c r="M392" s="16">
        <v>26</v>
      </c>
      <c r="N392" s="17"/>
      <c r="O392" s="17"/>
      <c r="P392" s="17" t="str">
        <f t="shared" si="60"/>
        <v>🟢</v>
      </c>
      <c r="Q392" s="60"/>
    </row>
    <row r="393" spans="1:17" ht="18" customHeight="1" x14ac:dyDescent="0.4">
      <c r="A393" s="7">
        <f t="shared" ref="A393:A412" si="63">IF(COUNTA(C393:K393)=0,"",ROW()-1)</f>
        <v>392</v>
      </c>
      <c r="B393" s="13">
        <f t="shared" ref="B393:B409" si="64">IF($F393&lt;&gt;"",$A393,"")</f>
        <v>392</v>
      </c>
      <c r="C393" s="16" t="s">
        <v>2441</v>
      </c>
      <c r="D393" s="11"/>
      <c r="E393" s="17" t="s">
        <v>1257</v>
      </c>
      <c r="F393" s="16" t="s">
        <v>2492</v>
      </c>
      <c r="G393" s="11" t="s">
        <v>1231</v>
      </c>
      <c r="H393" s="11" t="s">
        <v>1381</v>
      </c>
      <c r="I393" s="11" t="s">
        <v>2493</v>
      </c>
      <c r="J393" s="61" t="s">
        <v>22</v>
      </c>
      <c r="K393" s="11" t="s">
        <v>2494</v>
      </c>
      <c r="L393" s="16" t="s">
        <v>3321</v>
      </c>
      <c r="M393" s="16">
        <v>7</v>
      </c>
      <c r="N393" s="17" t="s">
        <v>1257</v>
      </c>
      <c r="O393" s="17" t="str">
        <f t="shared" ref="O393:O412" si="65">IF(AND(UPPER($N393)="VIP",UPPER($J393)&lt;&gt;"NO",$F393&lt;&gt;""),"SI","NO")</f>
        <v>NO</v>
      </c>
      <c r="P393" s="17" t="str">
        <f t="shared" si="60"/>
        <v>🟢</v>
      </c>
      <c r="Q393" s="60"/>
    </row>
    <row r="394" spans="1:17" ht="18" customHeight="1" x14ac:dyDescent="0.4">
      <c r="A394" s="7">
        <f t="shared" si="63"/>
        <v>393</v>
      </c>
      <c r="B394" s="7">
        <f t="shared" si="64"/>
        <v>393</v>
      </c>
      <c r="C394" s="8" t="s">
        <v>16</v>
      </c>
      <c r="D394" s="8" t="s">
        <v>670</v>
      </c>
      <c r="E394" s="17" t="s">
        <v>1257</v>
      </c>
      <c r="F394" s="8" t="s">
        <v>814</v>
      </c>
      <c r="G394" s="8" t="s">
        <v>815</v>
      </c>
      <c r="H394" s="8" t="s">
        <v>371</v>
      </c>
      <c r="I394" s="8"/>
      <c r="J394" s="62" t="s">
        <v>22</v>
      </c>
      <c r="K394" s="8" t="s">
        <v>816</v>
      </c>
      <c r="L394" s="8" t="s">
        <v>3320</v>
      </c>
      <c r="M394" s="8">
        <v>13</v>
      </c>
      <c r="N394" s="9" t="s">
        <v>659</v>
      </c>
      <c r="O394" s="9" t="str">
        <f t="shared" si="65"/>
        <v>NO</v>
      </c>
      <c r="P394" s="9" t="str">
        <f t="shared" si="60"/>
        <v>🟢</v>
      </c>
      <c r="Q394" s="58"/>
    </row>
    <row r="395" spans="1:17" ht="18" customHeight="1" x14ac:dyDescent="0.4">
      <c r="A395" s="10">
        <f t="shared" si="63"/>
        <v>394</v>
      </c>
      <c r="B395" s="13">
        <f t="shared" si="64"/>
        <v>394</v>
      </c>
      <c r="C395" s="28" t="s">
        <v>1770</v>
      </c>
      <c r="D395" s="28"/>
      <c r="E395" s="17" t="s">
        <v>1257</v>
      </c>
      <c r="F395" s="16" t="s">
        <v>2077</v>
      </c>
      <c r="G395" s="28" t="s">
        <v>528</v>
      </c>
      <c r="H395" s="28" t="s">
        <v>2078</v>
      </c>
      <c r="I395" s="28" t="s">
        <v>2079</v>
      </c>
      <c r="J395" s="62" t="s">
        <v>22</v>
      </c>
      <c r="K395" s="28" t="s">
        <v>2080</v>
      </c>
      <c r="L395" s="16" t="s">
        <v>3320</v>
      </c>
      <c r="M395" s="16">
        <v>14</v>
      </c>
      <c r="N395" s="17" t="s">
        <v>1257</v>
      </c>
      <c r="O395" s="17" t="str">
        <f t="shared" si="65"/>
        <v>NO</v>
      </c>
      <c r="P395" s="17" t="str">
        <f t="shared" si="60"/>
        <v>🟢</v>
      </c>
      <c r="Q395" s="60"/>
    </row>
    <row r="396" spans="1:17" ht="18" customHeight="1" x14ac:dyDescent="0.4">
      <c r="A396" s="10">
        <f t="shared" si="63"/>
        <v>395</v>
      </c>
      <c r="B396" s="13">
        <f t="shared" si="64"/>
        <v>395</v>
      </c>
      <c r="C396" s="28" t="s">
        <v>1770</v>
      </c>
      <c r="D396" s="28"/>
      <c r="E396" s="17" t="s">
        <v>1257</v>
      </c>
      <c r="F396" s="16" t="s">
        <v>2100</v>
      </c>
      <c r="G396" s="28" t="s">
        <v>2096</v>
      </c>
      <c r="H396" s="28" t="s">
        <v>410</v>
      </c>
      <c r="I396" s="28" t="s">
        <v>947</v>
      </c>
      <c r="J396" s="62" t="s">
        <v>22</v>
      </c>
      <c r="K396" s="28" t="s">
        <v>2101</v>
      </c>
      <c r="L396" s="16" t="s">
        <v>3320</v>
      </c>
      <c r="M396" s="16">
        <v>15</v>
      </c>
      <c r="N396" s="17" t="s">
        <v>1257</v>
      </c>
      <c r="O396" s="17" t="str">
        <f t="shared" si="65"/>
        <v>NO</v>
      </c>
      <c r="P396" s="17" t="str">
        <f t="shared" si="60"/>
        <v>🟢</v>
      </c>
      <c r="Q396" s="60"/>
    </row>
    <row r="397" spans="1:17" ht="18" customHeight="1" x14ac:dyDescent="0.4">
      <c r="A397" s="10">
        <f t="shared" si="63"/>
        <v>396</v>
      </c>
      <c r="B397" s="13">
        <f t="shared" si="64"/>
        <v>396</v>
      </c>
      <c r="C397" s="32" t="s">
        <v>2532</v>
      </c>
      <c r="D397" s="32"/>
      <c r="E397" s="33" t="str">
        <f>IF(UPPER($J397)="NO","",$N397)</f>
        <v>LATERAL</v>
      </c>
      <c r="F397" s="16" t="s">
        <v>2538</v>
      </c>
      <c r="G397" s="32" t="s">
        <v>311</v>
      </c>
      <c r="H397" s="32" t="s">
        <v>400</v>
      </c>
      <c r="I397" s="32" t="s">
        <v>2539</v>
      </c>
      <c r="J397" s="61" t="s">
        <v>22</v>
      </c>
      <c r="K397" s="32" t="s">
        <v>2540</v>
      </c>
      <c r="L397" s="16" t="s">
        <v>3321</v>
      </c>
      <c r="M397" s="16">
        <v>8</v>
      </c>
      <c r="N397" s="17" t="s">
        <v>1257</v>
      </c>
      <c r="O397" s="17" t="str">
        <f t="shared" si="65"/>
        <v>NO</v>
      </c>
      <c r="P397" s="17" t="str">
        <f t="shared" si="60"/>
        <v>🟢</v>
      </c>
      <c r="Q397" s="60"/>
    </row>
    <row r="398" spans="1:17" ht="18" customHeight="1" x14ac:dyDescent="0.4">
      <c r="A398" s="7">
        <f t="shared" si="63"/>
        <v>397</v>
      </c>
      <c r="B398" s="13">
        <f t="shared" si="64"/>
        <v>397</v>
      </c>
      <c r="C398" s="11" t="s">
        <v>2532</v>
      </c>
      <c r="D398" s="11"/>
      <c r="E398" s="12" t="str">
        <f>IF(UPPER($J398)="NO","",$N398)</f>
        <v>LATERAL</v>
      </c>
      <c r="F398" s="16" t="s">
        <v>2541</v>
      </c>
      <c r="G398" s="11" t="s">
        <v>242</v>
      </c>
      <c r="H398" s="11" t="s">
        <v>1381</v>
      </c>
      <c r="I398" s="11" t="s">
        <v>2542</v>
      </c>
      <c r="J398" s="61" t="s">
        <v>22</v>
      </c>
      <c r="K398" s="11" t="s">
        <v>2540</v>
      </c>
      <c r="L398" s="16" t="s">
        <v>3321</v>
      </c>
      <c r="M398" s="16">
        <v>9</v>
      </c>
      <c r="N398" s="17" t="s">
        <v>1257</v>
      </c>
      <c r="O398" s="17" t="str">
        <f t="shared" si="65"/>
        <v>NO</v>
      </c>
      <c r="P398" s="17" t="str">
        <f t="shared" si="60"/>
        <v>🟢</v>
      </c>
      <c r="Q398" s="60"/>
    </row>
    <row r="399" spans="1:17" ht="18" customHeight="1" x14ac:dyDescent="0.4">
      <c r="A399" s="10">
        <f t="shared" si="63"/>
        <v>398</v>
      </c>
      <c r="B399" s="13">
        <f t="shared" si="64"/>
        <v>398</v>
      </c>
      <c r="C399" s="14" t="s">
        <v>1134</v>
      </c>
      <c r="D399" s="14" t="s">
        <v>751</v>
      </c>
      <c r="E399" s="17" t="s">
        <v>1257</v>
      </c>
      <c r="F399" s="16" t="s">
        <v>1139</v>
      </c>
      <c r="G399" s="14" t="s">
        <v>1140</v>
      </c>
      <c r="H399" s="14" t="s">
        <v>1004</v>
      </c>
      <c r="I399" s="14"/>
      <c r="J399" s="61" t="s">
        <v>22</v>
      </c>
      <c r="K399" s="14" t="s">
        <v>1141</v>
      </c>
      <c r="L399" s="16" t="s">
        <v>3320</v>
      </c>
      <c r="M399" s="16">
        <v>16</v>
      </c>
      <c r="N399" s="17" t="s">
        <v>659</v>
      </c>
      <c r="O399" s="17" t="str">
        <f t="shared" si="65"/>
        <v>NO</v>
      </c>
      <c r="P399" s="17" t="str">
        <f t="shared" si="60"/>
        <v>🟢</v>
      </c>
      <c r="Q399" s="60"/>
    </row>
    <row r="400" spans="1:17" ht="18" customHeight="1" x14ac:dyDescent="0.4">
      <c r="A400" s="7">
        <f t="shared" si="63"/>
        <v>399</v>
      </c>
      <c r="B400" s="13">
        <f t="shared" si="64"/>
        <v>399</v>
      </c>
      <c r="C400" s="14" t="s">
        <v>1134</v>
      </c>
      <c r="D400" s="14"/>
      <c r="E400" s="17" t="s">
        <v>1257</v>
      </c>
      <c r="F400" s="16" t="s">
        <v>1153</v>
      </c>
      <c r="G400" s="14" t="s">
        <v>459</v>
      </c>
      <c r="H400" s="14" t="s">
        <v>1154</v>
      </c>
      <c r="I400" s="14"/>
      <c r="J400" s="61" t="s">
        <v>22</v>
      </c>
      <c r="K400" s="14" t="s">
        <v>1155</v>
      </c>
      <c r="L400" s="16" t="s">
        <v>3320</v>
      </c>
      <c r="M400" s="16">
        <v>17</v>
      </c>
      <c r="N400" s="17" t="s">
        <v>659</v>
      </c>
      <c r="O400" s="17" t="str">
        <f t="shared" si="65"/>
        <v>NO</v>
      </c>
      <c r="P400" s="17" t="str">
        <f t="shared" si="60"/>
        <v>🟢</v>
      </c>
      <c r="Q400" s="60"/>
    </row>
    <row r="401" spans="1:86" ht="18" hidden="1" customHeight="1" x14ac:dyDescent="0.4">
      <c r="A401" s="7">
        <f t="shared" si="63"/>
        <v>400</v>
      </c>
      <c r="B401" s="13">
        <f t="shared" si="64"/>
        <v>400</v>
      </c>
      <c r="C401" s="16" t="s">
        <v>1569</v>
      </c>
      <c r="D401" s="16" t="s">
        <v>1415</v>
      </c>
      <c r="E401" s="17" t="str">
        <f>IF(UPPER($J401)="NO","",$N401)</f>
        <v/>
      </c>
      <c r="F401" s="16" t="s">
        <v>1725</v>
      </c>
      <c r="G401" s="16" t="s">
        <v>1726</v>
      </c>
      <c r="H401" s="16" t="s">
        <v>1727</v>
      </c>
      <c r="I401" s="16" t="s">
        <v>444</v>
      </c>
      <c r="J401" s="62" t="s">
        <v>71</v>
      </c>
      <c r="K401" s="16" t="s">
        <v>1728</v>
      </c>
      <c r="L401" s="16"/>
      <c r="M401" s="16"/>
      <c r="N401" s="17" t="s">
        <v>1257</v>
      </c>
      <c r="O401" s="17" t="str">
        <f t="shared" si="65"/>
        <v>NO</v>
      </c>
      <c r="P401" s="17" t="str">
        <f t="shared" si="60"/>
        <v>🔴</v>
      </c>
      <c r="Q401" s="60"/>
    </row>
    <row r="402" spans="1:86" ht="18" customHeight="1" x14ac:dyDescent="0.4">
      <c r="A402" s="10">
        <f t="shared" si="63"/>
        <v>401</v>
      </c>
      <c r="B402" s="13">
        <f t="shared" si="64"/>
        <v>401</v>
      </c>
      <c r="C402" s="28" t="s">
        <v>1770</v>
      </c>
      <c r="D402" s="28" t="s">
        <v>95</v>
      </c>
      <c r="E402" s="17" t="s">
        <v>1257</v>
      </c>
      <c r="F402" s="16" t="s">
        <v>1783</v>
      </c>
      <c r="G402" s="28" t="s">
        <v>443</v>
      </c>
      <c r="H402" s="28" t="s">
        <v>1784</v>
      </c>
      <c r="I402" s="28"/>
      <c r="J402" s="62" t="s">
        <v>22</v>
      </c>
      <c r="K402" s="28" t="s">
        <v>1785</v>
      </c>
      <c r="L402" s="16" t="s">
        <v>3320</v>
      </c>
      <c r="M402" s="16">
        <v>18</v>
      </c>
      <c r="N402" s="17" t="s">
        <v>1257</v>
      </c>
      <c r="O402" s="17" t="str">
        <f t="shared" si="65"/>
        <v>NO</v>
      </c>
      <c r="P402" s="17" t="str">
        <f t="shared" ref="P402:P433" si="66">IF(UPPER($J402)="SI","🟢",IF(UPPER($J402)="NO","🔴","🟡"))</f>
        <v>🟢</v>
      </c>
      <c r="Q402" s="60"/>
    </row>
    <row r="403" spans="1:86" ht="18" customHeight="1" x14ac:dyDescent="0.4">
      <c r="A403" s="7">
        <f t="shared" si="63"/>
        <v>402</v>
      </c>
      <c r="B403" s="13">
        <f t="shared" si="64"/>
        <v>402</v>
      </c>
      <c r="C403" s="28" t="s">
        <v>1770</v>
      </c>
      <c r="D403" s="28"/>
      <c r="E403" s="29" t="str">
        <f>IF(UPPER($J403)="NO","",$N403)</f>
        <v>LATERAL</v>
      </c>
      <c r="F403" s="16" t="s">
        <v>1786</v>
      </c>
      <c r="G403" s="28" t="s">
        <v>1787</v>
      </c>
      <c r="H403" s="28" t="s">
        <v>1788</v>
      </c>
      <c r="I403" s="28"/>
      <c r="J403" s="62" t="s">
        <v>22</v>
      </c>
      <c r="K403" s="28" t="s">
        <v>1789</v>
      </c>
      <c r="L403" s="16" t="s">
        <v>3320</v>
      </c>
      <c r="M403" s="16">
        <v>19</v>
      </c>
      <c r="N403" s="17" t="s">
        <v>1257</v>
      </c>
      <c r="O403" s="17" t="str">
        <f t="shared" si="65"/>
        <v>NO</v>
      </c>
      <c r="P403" s="17" t="str">
        <f t="shared" si="66"/>
        <v>🟢</v>
      </c>
      <c r="Q403" s="60"/>
    </row>
    <row r="404" spans="1:86" ht="18" customHeight="1" x14ac:dyDescent="0.4">
      <c r="A404" s="10">
        <f t="shared" si="63"/>
        <v>403</v>
      </c>
      <c r="B404" s="13">
        <f t="shared" si="64"/>
        <v>403</v>
      </c>
      <c r="C404" s="16" t="s">
        <v>1770</v>
      </c>
      <c r="D404" s="16" t="s">
        <v>882</v>
      </c>
      <c r="E404" s="17" t="s">
        <v>1257</v>
      </c>
      <c r="F404" s="16" t="s">
        <v>1800</v>
      </c>
      <c r="G404" s="16" t="s">
        <v>1801</v>
      </c>
      <c r="H404" s="16" t="s">
        <v>1802</v>
      </c>
      <c r="I404" s="16" t="s">
        <v>611</v>
      </c>
      <c r="J404" s="61" t="s">
        <v>22</v>
      </c>
      <c r="K404" s="16" t="s">
        <v>1803</v>
      </c>
      <c r="L404" s="16" t="s">
        <v>3320</v>
      </c>
      <c r="M404" s="16">
        <v>20</v>
      </c>
      <c r="N404" s="17" t="s">
        <v>659</v>
      </c>
      <c r="O404" s="17" t="str">
        <f t="shared" si="65"/>
        <v>NO</v>
      </c>
      <c r="P404" s="17" t="str">
        <f t="shared" si="66"/>
        <v>🟢</v>
      </c>
      <c r="Q404" s="60"/>
    </row>
    <row r="405" spans="1:86" ht="18" customHeight="1" x14ac:dyDescent="0.4">
      <c r="A405" s="10">
        <f t="shared" si="63"/>
        <v>404</v>
      </c>
      <c r="B405" s="13">
        <f t="shared" si="64"/>
        <v>404</v>
      </c>
      <c r="C405" s="28" t="s">
        <v>1770</v>
      </c>
      <c r="D405" s="28" t="s">
        <v>1864</v>
      </c>
      <c r="E405" s="17" t="s">
        <v>1257</v>
      </c>
      <c r="F405" s="16" t="s">
        <v>1865</v>
      </c>
      <c r="G405" s="28" t="s">
        <v>120</v>
      </c>
      <c r="H405" s="28" t="s">
        <v>1866</v>
      </c>
      <c r="I405" s="28" t="s">
        <v>1867</v>
      </c>
      <c r="J405" s="61" t="s">
        <v>22</v>
      </c>
      <c r="K405" s="28" t="s">
        <v>1868</v>
      </c>
      <c r="L405" s="16" t="s">
        <v>3320</v>
      </c>
      <c r="M405" s="16">
        <v>21</v>
      </c>
      <c r="N405" s="17" t="s">
        <v>659</v>
      </c>
      <c r="O405" s="17" t="str">
        <f t="shared" si="65"/>
        <v>NO</v>
      </c>
      <c r="P405" s="17" t="str">
        <f t="shared" si="66"/>
        <v>🟢</v>
      </c>
      <c r="Q405" s="60"/>
    </row>
    <row r="406" spans="1:86" ht="18" customHeight="1" x14ac:dyDescent="0.4">
      <c r="A406" s="10">
        <f t="shared" si="63"/>
        <v>405</v>
      </c>
      <c r="B406" s="13">
        <f t="shared" si="64"/>
        <v>405</v>
      </c>
      <c r="C406" s="28" t="s">
        <v>1770</v>
      </c>
      <c r="D406" s="28" t="s">
        <v>1864</v>
      </c>
      <c r="E406" s="17" t="s">
        <v>1257</v>
      </c>
      <c r="F406" s="16" t="s">
        <v>1872</v>
      </c>
      <c r="G406" s="28" t="s">
        <v>873</v>
      </c>
      <c r="H406" s="28" t="s">
        <v>524</v>
      </c>
      <c r="I406" s="28" t="s">
        <v>1873</v>
      </c>
      <c r="J406" s="61" t="s">
        <v>22</v>
      </c>
      <c r="K406" s="28" t="s">
        <v>1871</v>
      </c>
      <c r="L406" s="16" t="s">
        <v>3320</v>
      </c>
      <c r="M406" s="16">
        <v>22</v>
      </c>
      <c r="N406" s="17" t="s">
        <v>659</v>
      </c>
      <c r="O406" s="17" t="str">
        <f t="shared" si="65"/>
        <v>NO</v>
      </c>
      <c r="P406" s="17" t="str">
        <f t="shared" si="66"/>
        <v>🟢</v>
      </c>
      <c r="Q406" s="60"/>
    </row>
    <row r="407" spans="1:86" ht="18" customHeight="1" x14ac:dyDescent="0.4">
      <c r="A407" s="10">
        <f t="shared" si="63"/>
        <v>406</v>
      </c>
      <c r="B407" s="13">
        <f t="shared" si="64"/>
        <v>406</v>
      </c>
      <c r="C407" s="16" t="s">
        <v>1770</v>
      </c>
      <c r="D407" s="16" t="s">
        <v>1874</v>
      </c>
      <c r="E407" s="17" t="s">
        <v>1257</v>
      </c>
      <c r="F407" s="16" t="s">
        <v>1878</v>
      </c>
      <c r="G407" s="16" t="s">
        <v>1879</v>
      </c>
      <c r="H407" s="16" t="s">
        <v>868</v>
      </c>
      <c r="I407" s="16" t="s">
        <v>1880</v>
      </c>
      <c r="J407" s="61" t="s">
        <v>22</v>
      </c>
      <c r="K407" s="16" t="s">
        <v>1881</v>
      </c>
      <c r="L407" s="16" t="s">
        <v>3320</v>
      </c>
      <c r="M407" s="16">
        <v>23</v>
      </c>
      <c r="N407" s="17" t="s">
        <v>659</v>
      </c>
      <c r="O407" s="17" t="str">
        <f t="shared" si="65"/>
        <v>NO</v>
      </c>
      <c r="P407" s="17" t="str">
        <f t="shared" si="66"/>
        <v>🟢</v>
      </c>
      <c r="Q407" s="60"/>
    </row>
    <row r="408" spans="1:86" ht="18" customHeight="1" x14ac:dyDescent="0.4">
      <c r="A408" s="10">
        <f t="shared" si="63"/>
        <v>407</v>
      </c>
      <c r="B408" s="13">
        <f t="shared" si="64"/>
        <v>407</v>
      </c>
      <c r="C408" s="28" t="s">
        <v>1770</v>
      </c>
      <c r="D408" s="28" t="s">
        <v>1874</v>
      </c>
      <c r="E408" s="17" t="s">
        <v>1257</v>
      </c>
      <c r="F408" s="16" t="s">
        <v>1884</v>
      </c>
      <c r="G408" s="28" t="s">
        <v>68</v>
      </c>
      <c r="H408" s="28" t="s">
        <v>927</v>
      </c>
      <c r="I408" s="28" t="s">
        <v>1885</v>
      </c>
      <c r="J408" s="61" t="s">
        <v>22</v>
      </c>
      <c r="K408" s="28" t="s">
        <v>1886</v>
      </c>
      <c r="L408" s="16" t="s">
        <v>3320</v>
      </c>
      <c r="M408" s="16">
        <v>24</v>
      </c>
      <c r="N408" s="17" t="s">
        <v>659</v>
      </c>
      <c r="O408" s="17" t="str">
        <f t="shared" si="65"/>
        <v>NO</v>
      </c>
      <c r="P408" s="17" t="str">
        <f t="shared" si="66"/>
        <v>🟢</v>
      </c>
      <c r="Q408" s="60"/>
    </row>
    <row r="409" spans="1:86" ht="18" customHeight="1" x14ac:dyDescent="0.4">
      <c r="A409" s="10">
        <f t="shared" si="63"/>
        <v>408</v>
      </c>
      <c r="B409" s="13">
        <f t="shared" si="64"/>
        <v>408</v>
      </c>
      <c r="C409" s="16" t="s">
        <v>1770</v>
      </c>
      <c r="D409" s="16"/>
      <c r="E409" s="17" t="s">
        <v>1257</v>
      </c>
      <c r="F409" s="16" t="s">
        <v>1947</v>
      </c>
      <c r="G409" s="16" t="s">
        <v>941</v>
      </c>
      <c r="H409" s="16" t="s">
        <v>1275</v>
      </c>
      <c r="I409" s="16" t="s">
        <v>796</v>
      </c>
      <c r="J409" s="61" t="s">
        <v>22</v>
      </c>
      <c r="K409" s="16" t="s">
        <v>1948</v>
      </c>
      <c r="L409" s="16" t="s">
        <v>3320</v>
      </c>
      <c r="M409" s="16">
        <v>25</v>
      </c>
      <c r="N409" s="17" t="s">
        <v>659</v>
      </c>
      <c r="O409" s="17" t="str">
        <f t="shared" si="65"/>
        <v>NO</v>
      </c>
      <c r="P409" s="17" t="str">
        <f t="shared" si="66"/>
        <v>🟢</v>
      </c>
      <c r="Q409" s="60"/>
    </row>
    <row r="410" spans="1:86" ht="18" customHeight="1" x14ac:dyDescent="0.4">
      <c r="A410" s="10">
        <f t="shared" si="63"/>
        <v>409</v>
      </c>
      <c r="B410" s="13">
        <v>455</v>
      </c>
      <c r="C410" s="28" t="s">
        <v>1770</v>
      </c>
      <c r="D410" s="28" t="s">
        <v>1956</v>
      </c>
      <c r="E410" s="17" t="s">
        <v>1257</v>
      </c>
      <c r="F410" s="16" t="s">
        <v>3302</v>
      </c>
      <c r="G410" s="28" t="s">
        <v>1957</v>
      </c>
      <c r="H410" s="28" t="s">
        <v>1958</v>
      </c>
      <c r="I410" s="28" t="s">
        <v>1959</v>
      </c>
      <c r="J410" s="61" t="s">
        <v>22</v>
      </c>
      <c r="K410" s="28" t="s">
        <v>1960</v>
      </c>
      <c r="L410" s="16" t="s">
        <v>3320</v>
      </c>
      <c r="M410" s="16">
        <v>26</v>
      </c>
      <c r="N410" s="17"/>
      <c r="O410" s="17" t="str">
        <f t="shared" si="65"/>
        <v>NO</v>
      </c>
      <c r="P410" s="17" t="str">
        <f t="shared" si="66"/>
        <v>🟢</v>
      </c>
      <c r="Q410" s="60"/>
    </row>
    <row r="411" spans="1:86" s="5" customFormat="1" ht="18" customHeight="1" x14ac:dyDescent="0.4">
      <c r="A411" s="7">
        <f t="shared" si="63"/>
        <v>410</v>
      </c>
      <c r="B411" s="13">
        <f>IF($F411&lt;&gt;"",$A411,"")</f>
        <v>410</v>
      </c>
      <c r="C411" s="16" t="s">
        <v>1770</v>
      </c>
      <c r="D411" s="16"/>
      <c r="E411" s="17" t="s">
        <v>1257</v>
      </c>
      <c r="F411" s="16" t="s">
        <v>1970</v>
      </c>
      <c r="G411" s="16" t="s">
        <v>68</v>
      </c>
      <c r="H411" s="16" t="s">
        <v>1971</v>
      </c>
      <c r="I411" s="16" t="s">
        <v>612</v>
      </c>
      <c r="J411" s="62" t="s">
        <v>22</v>
      </c>
      <c r="K411" s="16" t="s">
        <v>1972</v>
      </c>
      <c r="L411" s="16" t="s">
        <v>3320</v>
      </c>
      <c r="M411" s="16">
        <v>27</v>
      </c>
      <c r="N411" s="17" t="s">
        <v>1257</v>
      </c>
      <c r="O411" s="17" t="str">
        <f t="shared" si="65"/>
        <v>NO</v>
      </c>
      <c r="P411" s="17" t="str">
        <f t="shared" si="66"/>
        <v>🟢</v>
      </c>
      <c r="Q411" s="60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ht="18" hidden="1" customHeight="1" x14ac:dyDescent="0.4">
      <c r="A412" s="10">
        <f t="shared" si="63"/>
        <v>411</v>
      </c>
      <c r="B412" s="13">
        <f>IF($F412&lt;&gt;"",$A412,"")</f>
        <v>411</v>
      </c>
      <c r="C412" s="28" t="s">
        <v>1770</v>
      </c>
      <c r="D412" s="28" t="s">
        <v>46</v>
      </c>
      <c r="E412" s="29" t="str">
        <f>IF(UPPER($J412)="NO","",$N412)</f>
        <v>VIP</v>
      </c>
      <c r="F412" s="16" t="s">
        <v>1771</v>
      </c>
      <c r="G412" s="28" t="s">
        <v>1772</v>
      </c>
      <c r="H412" s="28" t="s">
        <v>1773</v>
      </c>
      <c r="I412" s="28"/>
      <c r="J412" s="61" t="s">
        <v>22</v>
      </c>
      <c r="K412" s="28" t="s">
        <v>1774</v>
      </c>
      <c r="L412" s="16"/>
      <c r="M412" s="16"/>
      <c r="N412" s="17" t="s">
        <v>24</v>
      </c>
      <c r="O412" s="17" t="str">
        <f t="shared" si="65"/>
        <v>SI</v>
      </c>
      <c r="P412" s="17" t="str">
        <f t="shared" si="66"/>
        <v>🟢</v>
      </c>
      <c r="Q412" s="60" t="s">
        <v>1152</v>
      </c>
    </row>
    <row r="413" spans="1:86" ht="18" hidden="1" customHeight="1" x14ac:dyDescent="0.4">
      <c r="A413" s="10"/>
      <c r="B413" s="13"/>
      <c r="C413" s="28"/>
      <c r="D413" s="28"/>
      <c r="E413" s="29" t="s">
        <v>24</v>
      </c>
      <c r="F413" s="16"/>
      <c r="G413" s="28" t="s">
        <v>1613</v>
      </c>
      <c r="H413" s="28" t="s">
        <v>3328</v>
      </c>
      <c r="I413" s="28" t="s">
        <v>3329</v>
      </c>
      <c r="J413" s="61" t="s">
        <v>22</v>
      </c>
      <c r="K413" s="28" t="s">
        <v>3330</v>
      </c>
      <c r="L413" s="16"/>
      <c r="M413" s="16"/>
      <c r="N413" s="17"/>
      <c r="O413" s="17"/>
      <c r="P413" s="17" t="str">
        <f t="shared" si="66"/>
        <v>🟢</v>
      </c>
      <c r="Q413" s="60"/>
    </row>
    <row r="414" spans="1:86" ht="18" customHeight="1" x14ac:dyDescent="0.4">
      <c r="A414" s="10">
        <f t="shared" ref="A414:A453" si="67">IF(COUNTA(C414:K414)=0,"",ROW()-1)</f>
        <v>413</v>
      </c>
      <c r="B414" s="13">
        <f t="shared" ref="B414:B453" si="68">IF($F414&lt;&gt;"",$A414,"")</f>
        <v>413</v>
      </c>
      <c r="C414" s="32" t="s">
        <v>2441</v>
      </c>
      <c r="D414" s="32" t="s">
        <v>670</v>
      </c>
      <c r="E414" s="17" t="s">
        <v>1257</v>
      </c>
      <c r="F414" s="16" t="s">
        <v>2466</v>
      </c>
      <c r="G414" s="32" t="s">
        <v>120</v>
      </c>
      <c r="H414" s="32" t="s">
        <v>461</v>
      </c>
      <c r="I414" s="32" t="s">
        <v>371</v>
      </c>
      <c r="J414" s="61" t="s">
        <v>22</v>
      </c>
      <c r="K414" s="32" t="s">
        <v>2467</v>
      </c>
      <c r="L414" s="16" t="s">
        <v>3318</v>
      </c>
      <c r="M414" s="16">
        <v>27</v>
      </c>
      <c r="N414" s="17" t="s">
        <v>659</v>
      </c>
      <c r="O414" s="17" t="str">
        <f t="shared" ref="O414:O453" si="69">IF(AND(UPPER($N414)="VIP",UPPER($J414)&lt;&gt;"NO",$F414&lt;&gt;""),"SI","NO")</f>
        <v>NO</v>
      </c>
      <c r="P414" s="17" t="str">
        <f t="shared" si="66"/>
        <v>🟢</v>
      </c>
      <c r="Q414" s="60"/>
    </row>
    <row r="415" spans="1:86" ht="18" hidden="1" customHeight="1" x14ac:dyDescent="0.4">
      <c r="A415" s="7">
        <f t="shared" si="67"/>
        <v>414</v>
      </c>
      <c r="B415" s="13">
        <f t="shared" si="68"/>
        <v>414</v>
      </c>
      <c r="C415" s="16" t="s">
        <v>1770</v>
      </c>
      <c r="D415" s="16" t="s">
        <v>95</v>
      </c>
      <c r="E415" s="17" t="str">
        <f>IF(UPPER($J415)="NO","",$N415)</f>
        <v>VIP</v>
      </c>
      <c r="F415" s="16" t="s">
        <v>1775</v>
      </c>
      <c r="G415" s="16" t="s">
        <v>992</v>
      </c>
      <c r="H415" s="16" t="s">
        <v>1417</v>
      </c>
      <c r="I415" s="16"/>
      <c r="J415" s="62" t="s">
        <v>22</v>
      </c>
      <c r="K415" s="16" t="s">
        <v>1776</v>
      </c>
      <c r="L415" s="16"/>
      <c r="M415" s="16"/>
      <c r="N415" s="17" t="s">
        <v>24</v>
      </c>
      <c r="O415" s="17" t="str">
        <f t="shared" si="69"/>
        <v>SI</v>
      </c>
      <c r="P415" s="17" t="str">
        <f t="shared" si="66"/>
        <v>🟢</v>
      </c>
      <c r="Q415" s="60" t="s">
        <v>1152</v>
      </c>
    </row>
    <row r="416" spans="1:86" ht="18" customHeight="1" x14ac:dyDescent="0.4">
      <c r="A416" s="10">
        <f t="shared" si="67"/>
        <v>415</v>
      </c>
      <c r="B416" s="13">
        <f t="shared" si="68"/>
        <v>415</v>
      </c>
      <c r="C416" s="16" t="s">
        <v>1770</v>
      </c>
      <c r="D416" s="16"/>
      <c r="E416" s="17" t="s">
        <v>1257</v>
      </c>
      <c r="F416" s="16" t="s">
        <v>2007</v>
      </c>
      <c r="G416" s="16" t="s">
        <v>120</v>
      </c>
      <c r="H416" s="16" t="s">
        <v>2008</v>
      </c>
      <c r="I416" s="16" t="s">
        <v>2009</v>
      </c>
      <c r="J416" s="62" t="s">
        <v>22</v>
      </c>
      <c r="K416" s="16" t="s">
        <v>2010</v>
      </c>
      <c r="L416" s="16" t="s">
        <v>3320</v>
      </c>
      <c r="M416" s="16">
        <v>28</v>
      </c>
      <c r="N416" s="17" t="s">
        <v>1257</v>
      </c>
      <c r="O416" s="17" t="str">
        <f t="shared" si="69"/>
        <v>NO</v>
      </c>
      <c r="P416" s="17" t="str">
        <f t="shared" si="66"/>
        <v>🟢</v>
      </c>
      <c r="Q416" s="60"/>
    </row>
    <row r="417" spans="1:17" ht="18" hidden="1" customHeight="1" x14ac:dyDescent="0.4">
      <c r="A417" s="10">
        <f t="shared" si="67"/>
        <v>416</v>
      </c>
      <c r="B417" s="13">
        <f t="shared" si="68"/>
        <v>416</v>
      </c>
      <c r="C417" s="28" t="s">
        <v>1770</v>
      </c>
      <c r="D417" s="28"/>
      <c r="E417" s="29" t="str">
        <f>IF(UPPER($J417)="NO","",$N417)</f>
        <v>VIP</v>
      </c>
      <c r="F417" s="16" t="s">
        <v>1777</v>
      </c>
      <c r="G417" s="28" t="s">
        <v>328</v>
      </c>
      <c r="H417" s="28" t="s">
        <v>1778</v>
      </c>
      <c r="I417" s="28" t="s">
        <v>1779</v>
      </c>
      <c r="J417" s="62" t="s">
        <v>22</v>
      </c>
      <c r="K417" s="28" t="s">
        <v>1780</v>
      </c>
      <c r="L417" s="16"/>
      <c r="M417" s="16"/>
      <c r="N417" s="17" t="s">
        <v>24</v>
      </c>
      <c r="O417" s="17" t="str">
        <f t="shared" si="69"/>
        <v>SI</v>
      </c>
      <c r="P417" s="17" t="str">
        <f t="shared" si="66"/>
        <v>🟢</v>
      </c>
      <c r="Q417" s="60" t="s">
        <v>1152</v>
      </c>
    </row>
    <row r="418" spans="1:17" ht="18" hidden="1" customHeight="1" x14ac:dyDescent="0.4">
      <c r="A418" s="7">
        <f t="shared" si="67"/>
        <v>417</v>
      </c>
      <c r="B418" s="13">
        <f t="shared" si="68"/>
        <v>417</v>
      </c>
      <c r="C418" s="28" t="s">
        <v>1770</v>
      </c>
      <c r="D418" s="28" t="s">
        <v>95</v>
      </c>
      <c r="E418" s="29" t="str">
        <f>IF(UPPER($J418)="NO","",$N418)</f>
        <v>VIP</v>
      </c>
      <c r="F418" s="16" t="s">
        <v>1781</v>
      </c>
      <c r="G418" s="28" t="s">
        <v>35</v>
      </c>
      <c r="H418" s="28" t="s">
        <v>371</v>
      </c>
      <c r="I418" s="28"/>
      <c r="J418" s="62" t="s">
        <v>22</v>
      </c>
      <c r="K418" s="28" t="s">
        <v>1782</v>
      </c>
      <c r="L418" s="16"/>
      <c r="M418" s="16"/>
      <c r="N418" s="17" t="s">
        <v>24</v>
      </c>
      <c r="O418" s="17" t="str">
        <f t="shared" si="69"/>
        <v>SI</v>
      </c>
      <c r="P418" s="17" t="str">
        <f t="shared" si="66"/>
        <v>🟢</v>
      </c>
      <c r="Q418" s="60" t="s">
        <v>1152</v>
      </c>
    </row>
    <row r="419" spans="1:17" ht="18" customHeight="1" x14ac:dyDescent="0.4">
      <c r="A419" s="7">
        <f t="shared" si="67"/>
        <v>418</v>
      </c>
      <c r="B419" s="13">
        <f t="shared" si="68"/>
        <v>418</v>
      </c>
      <c r="C419" s="28" t="s">
        <v>1770</v>
      </c>
      <c r="D419" s="28"/>
      <c r="E419" s="17" t="s">
        <v>1257</v>
      </c>
      <c r="F419" s="16" t="s">
        <v>1989</v>
      </c>
      <c r="G419" s="28" t="s">
        <v>473</v>
      </c>
      <c r="H419" s="28" t="s">
        <v>1990</v>
      </c>
      <c r="I419" s="28" t="s">
        <v>1991</v>
      </c>
      <c r="J419" s="61" t="s">
        <v>22</v>
      </c>
      <c r="K419" s="28" t="s">
        <v>1992</v>
      </c>
      <c r="L419" s="16" t="s">
        <v>3320</v>
      </c>
      <c r="M419" s="16">
        <v>29</v>
      </c>
      <c r="N419" s="17" t="s">
        <v>659</v>
      </c>
      <c r="O419" s="17" t="str">
        <f t="shared" si="69"/>
        <v>NO</v>
      </c>
      <c r="P419" s="17" t="str">
        <f t="shared" si="66"/>
        <v>🟢</v>
      </c>
      <c r="Q419" s="60"/>
    </row>
    <row r="420" spans="1:17" ht="18" customHeight="1" x14ac:dyDescent="0.4">
      <c r="A420" s="7">
        <f t="shared" si="67"/>
        <v>419</v>
      </c>
      <c r="B420" s="13">
        <f t="shared" si="68"/>
        <v>419</v>
      </c>
      <c r="C420" s="28" t="s">
        <v>1770</v>
      </c>
      <c r="D420" s="28"/>
      <c r="E420" s="17" t="s">
        <v>1257</v>
      </c>
      <c r="F420" s="16" t="s">
        <v>1985</v>
      </c>
      <c r="G420" s="28" t="s">
        <v>873</v>
      </c>
      <c r="H420" s="28" t="s">
        <v>868</v>
      </c>
      <c r="I420" s="28" t="s">
        <v>1844</v>
      </c>
      <c r="J420" s="61" t="s">
        <v>22</v>
      </c>
      <c r="K420" s="28" t="s">
        <v>1983</v>
      </c>
      <c r="L420" s="16" t="s">
        <v>3320</v>
      </c>
      <c r="M420" s="16">
        <v>30</v>
      </c>
      <c r="N420" s="17" t="s">
        <v>659</v>
      </c>
      <c r="O420" s="17" t="str">
        <f t="shared" si="69"/>
        <v>NO</v>
      </c>
      <c r="P420" s="17" t="str">
        <f t="shared" si="66"/>
        <v>🟢</v>
      </c>
      <c r="Q420" s="60"/>
    </row>
    <row r="421" spans="1:17" x14ac:dyDescent="0.4">
      <c r="A421" s="7">
        <f t="shared" si="67"/>
        <v>420</v>
      </c>
      <c r="B421" s="13">
        <f t="shared" si="68"/>
        <v>420</v>
      </c>
      <c r="C421" s="16" t="s">
        <v>1770</v>
      </c>
      <c r="D421" s="16"/>
      <c r="E421" s="17" t="s">
        <v>1257</v>
      </c>
      <c r="F421" s="16" t="s">
        <v>2148</v>
      </c>
      <c r="G421" s="11" t="s">
        <v>91</v>
      </c>
      <c r="H421" s="11" t="s">
        <v>2149</v>
      </c>
      <c r="I421" s="11" t="s">
        <v>2150</v>
      </c>
      <c r="J421" s="61" t="s">
        <v>22</v>
      </c>
      <c r="K421" s="16" t="s">
        <v>2151</v>
      </c>
      <c r="L421" s="16" t="s">
        <v>3320</v>
      </c>
      <c r="M421" s="16">
        <v>31</v>
      </c>
      <c r="N421" s="17" t="s">
        <v>659</v>
      </c>
      <c r="O421" s="17" t="str">
        <f t="shared" si="69"/>
        <v>NO</v>
      </c>
      <c r="P421" s="17" t="str">
        <f t="shared" si="66"/>
        <v>🟢</v>
      </c>
      <c r="Q421" s="60"/>
    </row>
    <row r="422" spans="1:17" ht="18" hidden="1" customHeight="1" x14ac:dyDescent="0.4">
      <c r="A422" s="7">
        <f t="shared" si="67"/>
        <v>421</v>
      </c>
      <c r="B422" s="13">
        <f t="shared" si="68"/>
        <v>421</v>
      </c>
      <c r="C422" s="16" t="s">
        <v>1770</v>
      </c>
      <c r="D422" s="16" t="s">
        <v>882</v>
      </c>
      <c r="E422" s="17" t="str">
        <f>IF(UPPER($J422)="NO","",$N422)</f>
        <v/>
      </c>
      <c r="F422" s="16" t="s">
        <v>1790</v>
      </c>
      <c r="G422" s="16" t="s">
        <v>519</v>
      </c>
      <c r="H422" s="16" t="s">
        <v>1791</v>
      </c>
      <c r="I422" s="16" t="s">
        <v>1792</v>
      </c>
      <c r="J422" s="63" t="s">
        <v>71</v>
      </c>
      <c r="K422" s="16" t="s">
        <v>1793</v>
      </c>
      <c r="L422" s="16"/>
      <c r="M422" s="16"/>
      <c r="N422" s="17"/>
      <c r="O422" s="17" t="str">
        <f t="shared" si="69"/>
        <v>NO</v>
      </c>
      <c r="P422" s="17" t="str">
        <f t="shared" si="66"/>
        <v>🔴</v>
      </c>
      <c r="Q422" s="60"/>
    </row>
    <row r="423" spans="1:17" ht="18" customHeight="1" x14ac:dyDescent="0.4">
      <c r="A423" s="7">
        <f t="shared" si="67"/>
        <v>422</v>
      </c>
      <c r="B423" s="13">
        <f t="shared" si="68"/>
        <v>422</v>
      </c>
      <c r="C423" s="20" t="s">
        <v>1319</v>
      </c>
      <c r="D423" s="20" t="s">
        <v>3314</v>
      </c>
      <c r="E423" s="17" t="s">
        <v>1257</v>
      </c>
      <c r="F423" s="16" t="s">
        <v>1367</v>
      </c>
      <c r="G423" s="20" t="s">
        <v>1029</v>
      </c>
      <c r="H423" s="20" t="s">
        <v>371</v>
      </c>
      <c r="I423" s="20" t="s">
        <v>1368</v>
      </c>
      <c r="J423" s="62" t="s">
        <v>22</v>
      </c>
      <c r="K423" s="20" t="s">
        <v>1369</v>
      </c>
      <c r="L423" s="16" t="s">
        <v>3318</v>
      </c>
      <c r="M423" s="16">
        <v>28</v>
      </c>
      <c r="N423" s="17" t="s">
        <v>659</v>
      </c>
      <c r="O423" s="17" t="str">
        <f t="shared" si="69"/>
        <v>NO</v>
      </c>
      <c r="P423" s="17" t="str">
        <f t="shared" si="66"/>
        <v>🟢</v>
      </c>
      <c r="Q423" s="60"/>
    </row>
    <row r="424" spans="1:17" ht="18" customHeight="1" x14ac:dyDescent="0.4">
      <c r="A424" s="10">
        <f t="shared" si="67"/>
        <v>423</v>
      </c>
      <c r="B424" s="13">
        <f t="shared" si="68"/>
        <v>423</v>
      </c>
      <c r="C424" s="18" t="s">
        <v>1225</v>
      </c>
      <c r="D424" s="18"/>
      <c r="E424" s="17" t="s">
        <v>1257</v>
      </c>
      <c r="F424" s="16" t="s">
        <v>1285</v>
      </c>
      <c r="G424" s="18" t="s">
        <v>120</v>
      </c>
      <c r="H424" s="18" t="s">
        <v>1286</v>
      </c>
      <c r="I424" s="18" t="s">
        <v>1287</v>
      </c>
      <c r="J424" s="61" t="s">
        <v>22</v>
      </c>
      <c r="K424" s="18" t="s">
        <v>1288</v>
      </c>
      <c r="L424" s="16" t="s">
        <v>3320</v>
      </c>
      <c r="M424" s="16">
        <v>32</v>
      </c>
      <c r="N424" s="17" t="s">
        <v>659</v>
      </c>
      <c r="O424" s="17" t="str">
        <f t="shared" si="69"/>
        <v>NO</v>
      </c>
      <c r="P424" s="17" t="str">
        <f t="shared" si="66"/>
        <v>🟢</v>
      </c>
      <c r="Q424" s="60"/>
    </row>
    <row r="425" spans="1:17" ht="18" customHeight="1" x14ac:dyDescent="0.4">
      <c r="A425" s="7">
        <f t="shared" si="67"/>
        <v>424</v>
      </c>
      <c r="B425" s="13">
        <f t="shared" si="68"/>
        <v>424</v>
      </c>
      <c r="C425" s="16" t="s">
        <v>1225</v>
      </c>
      <c r="D425" s="16"/>
      <c r="E425" s="17" t="s">
        <v>1257</v>
      </c>
      <c r="F425" s="16" t="s">
        <v>1289</v>
      </c>
      <c r="G425" s="16" t="s">
        <v>1290</v>
      </c>
      <c r="H425" s="16" t="s">
        <v>1291</v>
      </c>
      <c r="I425" s="16"/>
      <c r="J425" s="61" t="s">
        <v>22</v>
      </c>
      <c r="K425" s="16" t="s">
        <v>1288</v>
      </c>
      <c r="L425" s="16" t="s">
        <v>3320</v>
      </c>
      <c r="M425" s="16">
        <v>33</v>
      </c>
      <c r="N425" s="17" t="s">
        <v>659</v>
      </c>
      <c r="O425" s="17" t="str">
        <f t="shared" si="69"/>
        <v>NO</v>
      </c>
      <c r="P425" s="17" t="str">
        <f t="shared" si="66"/>
        <v>🟢</v>
      </c>
      <c r="Q425" s="60"/>
    </row>
    <row r="426" spans="1:17" ht="18" hidden="1" customHeight="1" x14ac:dyDescent="0.4">
      <c r="A426" s="7">
        <f t="shared" si="67"/>
        <v>425</v>
      </c>
      <c r="B426" s="13">
        <f t="shared" si="68"/>
        <v>425</v>
      </c>
      <c r="C426" s="28" t="s">
        <v>1770</v>
      </c>
      <c r="D426" s="28" t="s">
        <v>882</v>
      </c>
      <c r="E426" s="29" t="str">
        <f>IF(UPPER($J426)="NO","",$N426)</f>
        <v/>
      </c>
      <c r="F426" s="16" t="s">
        <v>1804</v>
      </c>
      <c r="G426" s="28" t="s">
        <v>35</v>
      </c>
      <c r="H426" s="28" t="s">
        <v>1805</v>
      </c>
      <c r="I426" s="28" t="s">
        <v>1806</v>
      </c>
      <c r="J426" s="63" t="s">
        <v>71</v>
      </c>
      <c r="K426" s="28" t="s">
        <v>1807</v>
      </c>
      <c r="L426" s="16"/>
      <c r="M426" s="16"/>
      <c r="N426" s="17" t="s">
        <v>1257</v>
      </c>
      <c r="O426" s="17" t="str">
        <f t="shared" si="69"/>
        <v>NO</v>
      </c>
      <c r="P426" s="17" t="str">
        <f t="shared" si="66"/>
        <v>🔴</v>
      </c>
      <c r="Q426" s="60"/>
    </row>
    <row r="427" spans="1:17" ht="18" hidden="1" customHeight="1" x14ac:dyDescent="0.4">
      <c r="A427" s="10">
        <f t="shared" si="67"/>
        <v>426</v>
      </c>
      <c r="B427" s="13">
        <f t="shared" si="68"/>
        <v>426</v>
      </c>
      <c r="C427" s="28" t="s">
        <v>1770</v>
      </c>
      <c r="D427" s="28" t="s">
        <v>882</v>
      </c>
      <c r="E427" s="29" t="str">
        <f>IF(UPPER($J427)="NO","",$N427)</f>
        <v/>
      </c>
      <c r="F427" s="16" t="s">
        <v>1808</v>
      </c>
      <c r="G427" s="28" t="s">
        <v>973</v>
      </c>
      <c r="H427" s="28" t="s">
        <v>1809</v>
      </c>
      <c r="I427" s="28" t="s">
        <v>1810</v>
      </c>
      <c r="J427" s="63" t="s">
        <v>71</v>
      </c>
      <c r="K427" s="28" t="s">
        <v>1811</v>
      </c>
      <c r="L427" s="16"/>
      <c r="M427" s="16"/>
      <c r="N427" s="17" t="s">
        <v>1257</v>
      </c>
      <c r="O427" s="17" t="str">
        <f t="shared" si="69"/>
        <v>NO</v>
      </c>
      <c r="P427" s="17" t="str">
        <f t="shared" si="66"/>
        <v>🔴</v>
      </c>
      <c r="Q427" s="60"/>
    </row>
    <row r="428" spans="1:17" ht="18" customHeight="1" x14ac:dyDescent="0.4">
      <c r="A428" s="10">
        <f t="shared" si="67"/>
        <v>427</v>
      </c>
      <c r="B428" s="13">
        <f t="shared" si="68"/>
        <v>427</v>
      </c>
      <c r="C428" s="32" t="s">
        <v>2532</v>
      </c>
      <c r="D428" s="32"/>
      <c r="E428" s="33" t="str">
        <f>IF(UPPER($J428)="NO","",$N428)</f>
        <v>LATERAL</v>
      </c>
      <c r="F428" s="16" t="s">
        <v>2548</v>
      </c>
      <c r="G428" s="32" t="s">
        <v>473</v>
      </c>
      <c r="H428" s="32" t="s">
        <v>104</v>
      </c>
      <c r="I428" s="32" t="s">
        <v>244</v>
      </c>
      <c r="J428" s="61" t="s">
        <v>22</v>
      </c>
      <c r="K428" s="32" t="s">
        <v>2549</v>
      </c>
      <c r="L428" s="16" t="s">
        <v>3321</v>
      </c>
      <c r="M428" s="16">
        <v>10</v>
      </c>
      <c r="N428" s="17" t="s">
        <v>1257</v>
      </c>
      <c r="O428" s="17" t="str">
        <f t="shared" si="69"/>
        <v>NO</v>
      </c>
      <c r="P428" s="17" t="str">
        <f t="shared" si="66"/>
        <v>🟢</v>
      </c>
      <c r="Q428" s="60"/>
    </row>
    <row r="429" spans="1:17" ht="18" customHeight="1" x14ac:dyDescent="0.4">
      <c r="A429" s="10">
        <f t="shared" si="67"/>
        <v>428</v>
      </c>
      <c r="B429" s="13">
        <f t="shared" si="68"/>
        <v>428</v>
      </c>
      <c r="C429" s="16" t="s">
        <v>1770</v>
      </c>
      <c r="D429" s="16"/>
      <c r="E429" s="17" t="s">
        <v>1257</v>
      </c>
      <c r="F429" s="16" t="s">
        <v>1998</v>
      </c>
      <c r="G429" s="16" t="s">
        <v>1999</v>
      </c>
      <c r="H429" s="16" t="s">
        <v>2000</v>
      </c>
      <c r="I429" s="16" t="s">
        <v>2001</v>
      </c>
      <c r="J429" s="62" t="s">
        <v>22</v>
      </c>
      <c r="K429" s="16" t="s">
        <v>2002</v>
      </c>
      <c r="L429" s="16" t="s">
        <v>3318</v>
      </c>
      <c r="M429" s="16">
        <v>29</v>
      </c>
      <c r="N429" s="17" t="s">
        <v>1257</v>
      </c>
      <c r="O429" s="17" t="str">
        <f t="shared" si="69"/>
        <v>NO</v>
      </c>
      <c r="P429" s="17" t="str">
        <f t="shared" si="66"/>
        <v>🟢</v>
      </c>
      <c r="Q429" s="60"/>
    </row>
    <row r="430" spans="1:17" ht="18" customHeight="1" x14ac:dyDescent="0.4">
      <c r="A430" s="7">
        <f t="shared" si="67"/>
        <v>429</v>
      </c>
      <c r="B430" s="13">
        <f t="shared" si="68"/>
        <v>429</v>
      </c>
      <c r="C430" s="16" t="s">
        <v>1225</v>
      </c>
      <c r="D430" s="16"/>
      <c r="E430" s="17" t="s">
        <v>1257</v>
      </c>
      <c r="F430" s="16" t="s">
        <v>1265</v>
      </c>
      <c r="G430" s="16" t="s">
        <v>35</v>
      </c>
      <c r="H430" s="16" t="s">
        <v>1266</v>
      </c>
      <c r="I430" s="16"/>
      <c r="J430" s="61" t="s">
        <v>22</v>
      </c>
      <c r="K430" s="16" t="s">
        <v>1267</v>
      </c>
      <c r="L430" s="16" t="s">
        <v>3318</v>
      </c>
      <c r="M430" s="16">
        <v>30</v>
      </c>
      <c r="N430" s="17" t="s">
        <v>659</v>
      </c>
      <c r="O430" s="17" t="str">
        <f t="shared" si="69"/>
        <v>NO</v>
      </c>
      <c r="P430" s="17" t="str">
        <f t="shared" si="66"/>
        <v>🟢</v>
      </c>
      <c r="Q430" s="60"/>
    </row>
    <row r="431" spans="1:17" ht="18" hidden="1" customHeight="1" x14ac:dyDescent="0.4">
      <c r="A431" s="10">
        <f t="shared" si="67"/>
        <v>430</v>
      </c>
      <c r="B431" s="13">
        <f t="shared" si="68"/>
        <v>430</v>
      </c>
      <c r="C431" s="28" t="s">
        <v>1770</v>
      </c>
      <c r="D431" s="28" t="s">
        <v>882</v>
      </c>
      <c r="E431" s="29" t="str">
        <f t="shared" ref="E431:E437" si="70">IF(UPPER($J431)="NO","",$N431)</f>
        <v/>
      </c>
      <c r="F431" s="16" t="s">
        <v>1824</v>
      </c>
      <c r="G431" s="28" t="s">
        <v>519</v>
      </c>
      <c r="H431" s="28" t="s">
        <v>1825</v>
      </c>
      <c r="I431" s="28" t="s">
        <v>1826</v>
      </c>
      <c r="J431" s="63" t="s">
        <v>71</v>
      </c>
      <c r="K431" s="28" t="s">
        <v>1827</v>
      </c>
      <c r="L431" s="16"/>
      <c r="M431" s="16"/>
      <c r="N431" s="17" t="s">
        <v>1257</v>
      </c>
      <c r="O431" s="17" t="str">
        <f t="shared" si="69"/>
        <v>NO</v>
      </c>
      <c r="P431" s="17" t="str">
        <f t="shared" si="66"/>
        <v>🔴</v>
      </c>
      <c r="Q431" s="60"/>
    </row>
    <row r="432" spans="1:17" ht="18" hidden="1" customHeight="1" x14ac:dyDescent="0.4">
      <c r="A432" s="7">
        <f t="shared" si="67"/>
        <v>431</v>
      </c>
      <c r="B432" s="13">
        <f t="shared" si="68"/>
        <v>431</v>
      </c>
      <c r="C432" s="28" t="s">
        <v>1770</v>
      </c>
      <c r="D432" s="28" t="s">
        <v>882</v>
      </c>
      <c r="E432" s="29" t="str">
        <f t="shared" si="70"/>
        <v/>
      </c>
      <c r="F432" s="16" t="s">
        <v>1828</v>
      </c>
      <c r="G432" s="28" t="s">
        <v>1829</v>
      </c>
      <c r="H432" s="28" t="s">
        <v>1830</v>
      </c>
      <c r="I432" s="28" t="s">
        <v>1831</v>
      </c>
      <c r="J432" s="63" t="s">
        <v>71</v>
      </c>
      <c r="K432" s="28" t="s">
        <v>1832</v>
      </c>
      <c r="L432" s="16"/>
      <c r="M432" s="16"/>
      <c r="N432" s="17"/>
      <c r="O432" s="17" t="str">
        <f t="shared" si="69"/>
        <v>NO</v>
      </c>
      <c r="P432" s="17" t="str">
        <f t="shared" si="66"/>
        <v>🔴</v>
      </c>
      <c r="Q432" s="60"/>
    </row>
    <row r="433" spans="1:17" ht="18" hidden="1" customHeight="1" x14ac:dyDescent="0.4">
      <c r="A433" s="10">
        <f t="shared" si="67"/>
        <v>432</v>
      </c>
      <c r="B433" s="13">
        <f t="shared" si="68"/>
        <v>432</v>
      </c>
      <c r="C433" s="28" t="s">
        <v>1770</v>
      </c>
      <c r="D433" s="28" t="s">
        <v>882</v>
      </c>
      <c r="E433" s="29" t="str">
        <f t="shared" si="70"/>
        <v/>
      </c>
      <c r="F433" s="16" t="s">
        <v>1833</v>
      </c>
      <c r="G433" s="28" t="s">
        <v>1386</v>
      </c>
      <c r="H433" s="28" t="s">
        <v>1834</v>
      </c>
      <c r="I433" s="28" t="s">
        <v>361</v>
      </c>
      <c r="J433" s="62" t="s">
        <v>71</v>
      </c>
      <c r="K433" s="28" t="s">
        <v>1835</v>
      </c>
      <c r="L433" s="16"/>
      <c r="M433" s="16"/>
      <c r="N433" s="17" t="s">
        <v>24</v>
      </c>
      <c r="O433" s="17" t="str">
        <f t="shared" si="69"/>
        <v>NO</v>
      </c>
      <c r="P433" s="17" t="str">
        <f t="shared" si="66"/>
        <v>🔴</v>
      </c>
      <c r="Q433" s="60" t="s">
        <v>1152</v>
      </c>
    </row>
    <row r="434" spans="1:17" ht="18" hidden="1" customHeight="1" x14ac:dyDescent="0.4">
      <c r="A434" s="7">
        <f t="shared" si="67"/>
        <v>433</v>
      </c>
      <c r="B434" s="13">
        <f t="shared" si="68"/>
        <v>433</v>
      </c>
      <c r="C434" s="16" t="s">
        <v>1770</v>
      </c>
      <c r="D434" s="16" t="s">
        <v>882</v>
      </c>
      <c r="E434" s="17" t="str">
        <f t="shared" si="70"/>
        <v/>
      </c>
      <c r="F434" s="16" t="s">
        <v>1836</v>
      </c>
      <c r="G434" s="16" t="s">
        <v>328</v>
      </c>
      <c r="H434" s="16" t="s">
        <v>1837</v>
      </c>
      <c r="I434" s="16" t="s">
        <v>349</v>
      </c>
      <c r="J434" s="63" t="s">
        <v>71</v>
      </c>
      <c r="K434" s="16" t="s">
        <v>1838</v>
      </c>
      <c r="L434" s="16"/>
      <c r="M434" s="16"/>
      <c r="N434" s="17" t="s">
        <v>1257</v>
      </c>
      <c r="O434" s="17" t="str">
        <f t="shared" si="69"/>
        <v>NO</v>
      </c>
      <c r="P434" s="17" t="str">
        <f t="shared" ref="P434:P465" si="71">IF(UPPER($J434)="SI","🟢",IF(UPPER($J434)="NO","🔴","🟡"))</f>
        <v>🔴</v>
      </c>
      <c r="Q434" s="60"/>
    </row>
    <row r="435" spans="1:17" ht="18" hidden="1" customHeight="1" x14ac:dyDescent="0.4">
      <c r="A435" s="10">
        <f t="shared" si="67"/>
        <v>434</v>
      </c>
      <c r="B435" s="13">
        <f t="shared" si="68"/>
        <v>434</v>
      </c>
      <c r="C435" s="16" t="s">
        <v>1770</v>
      </c>
      <c r="D435" s="16" t="s">
        <v>882</v>
      </c>
      <c r="E435" s="17" t="str">
        <f t="shared" si="70"/>
        <v/>
      </c>
      <c r="F435" s="16" t="s">
        <v>1839</v>
      </c>
      <c r="G435" s="16" t="s">
        <v>533</v>
      </c>
      <c r="H435" s="16" t="s">
        <v>1840</v>
      </c>
      <c r="I435" s="16" t="s">
        <v>1841</v>
      </c>
      <c r="J435" s="63" t="s">
        <v>71</v>
      </c>
      <c r="K435" s="16" t="s">
        <v>1842</v>
      </c>
      <c r="L435" s="16"/>
      <c r="M435" s="16"/>
      <c r="N435" s="17"/>
      <c r="O435" s="17" t="str">
        <f t="shared" si="69"/>
        <v>NO</v>
      </c>
      <c r="P435" s="17" t="str">
        <f t="shared" si="71"/>
        <v>🔴</v>
      </c>
      <c r="Q435" s="60"/>
    </row>
    <row r="436" spans="1:17" ht="18" hidden="1" customHeight="1" x14ac:dyDescent="0.4">
      <c r="A436" s="7">
        <f t="shared" si="67"/>
        <v>435</v>
      </c>
      <c r="B436" s="13">
        <f t="shared" si="68"/>
        <v>435</v>
      </c>
      <c r="C436" s="28" t="s">
        <v>1770</v>
      </c>
      <c r="D436" s="28" t="s">
        <v>882</v>
      </c>
      <c r="E436" s="29" t="str">
        <f t="shared" si="70"/>
        <v/>
      </c>
      <c r="F436" s="16" t="s">
        <v>1843</v>
      </c>
      <c r="G436" s="28" t="s">
        <v>782</v>
      </c>
      <c r="H436" s="28" t="s">
        <v>1844</v>
      </c>
      <c r="I436" s="28" t="s">
        <v>1223</v>
      </c>
      <c r="J436" s="63" t="s">
        <v>71</v>
      </c>
      <c r="K436" s="28" t="s">
        <v>1845</v>
      </c>
      <c r="L436" s="16"/>
      <c r="M436" s="16"/>
      <c r="N436" s="17" t="s">
        <v>24</v>
      </c>
      <c r="O436" s="17" t="str">
        <f t="shared" si="69"/>
        <v>NO</v>
      </c>
      <c r="P436" s="17" t="str">
        <f t="shared" si="71"/>
        <v>🔴</v>
      </c>
      <c r="Q436" s="60"/>
    </row>
    <row r="437" spans="1:17" ht="18" hidden="1" customHeight="1" x14ac:dyDescent="0.4">
      <c r="A437" s="10">
        <f t="shared" si="67"/>
        <v>436</v>
      </c>
      <c r="B437" s="13">
        <f t="shared" si="68"/>
        <v>436</v>
      </c>
      <c r="C437" s="28" t="s">
        <v>1770</v>
      </c>
      <c r="D437" s="28" t="s">
        <v>882</v>
      </c>
      <c r="E437" s="29" t="str">
        <f t="shared" si="70"/>
        <v/>
      </c>
      <c r="F437" s="16" t="s">
        <v>1846</v>
      </c>
      <c r="G437" s="28" t="s">
        <v>533</v>
      </c>
      <c r="H437" s="28" t="s">
        <v>524</v>
      </c>
      <c r="I437" s="28" t="s">
        <v>1847</v>
      </c>
      <c r="J437" s="63" t="s">
        <v>71</v>
      </c>
      <c r="K437" s="28" t="s">
        <v>1848</v>
      </c>
      <c r="L437" s="16"/>
      <c r="M437" s="16"/>
      <c r="N437" s="17"/>
      <c r="O437" s="17" t="str">
        <f t="shared" si="69"/>
        <v>NO</v>
      </c>
      <c r="P437" s="17" t="str">
        <f t="shared" si="71"/>
        <v>🔴</v>
      </c>
      <c r="Q437" s="60"/>
    </row>
    <row r="438" spans="1:17" ht="18" customHeight="1" x14ac:dyDescent="0.4">
      <c r="A438" s="10">
        <f t="shared" si="67"/>
        <v>437</v>
      </c>
      <c r="B438" s="13">
        <f t="shared" si="68"/>
        <v>437</v>
      </c>
      <c r="C438" s="18" t="s">
        <v>1225</v>
      </c>
      <c r="D438" s="18"/>
      <c r="E438" s="17" t="s">
        <v>1257</v>
      </c>
      <c r="F438" s="16" t="s">
        <v>1268</v>
      </c>
      <c r="G438" s="18" t="s">
        <v>519</v>
      </c>
      <c r="H438" s="18" t="s">
        <v>1269</v>
      </c>
      <c r="I438" s="18" t="s">
        <v>387</v>
      </c>
      <c r="J438" s="63" t="s">
        <v>3293</v>
      </c>
      <c r="K438" s="18" t="s">
        <v>1270</v>
      </c>
      <c r="L438" s="16" t="s">
        <v>3318</v>
      </c>
      <c r="M438" s="16">
        <v>31</v>
      </c>
      <c r="N438" s="17"/>
      <c r="O438" s="17" t="str">
        <f t="shared" si="69"/>
        <v>NO</v>
      </c>
      <c r="P438" s="17" t="str">
        <f t="shared" si="71"/>
        <v>🟢</v>
      </c>
      <c r="Q438" s="60"/>
    </row>
    <row r="439" spans="1:17" ht="18" hidden="1" customHeight="1" x14ac:dyDescent="0.4">
      <c r="A439" s="10">
        <f t="shared" si="67"/>
        <v>438</v>
      </c>
      <c r="B439" s="13">
        <f t="shared" si="68"/>
        <v>438</v>
      </c>
      <c r="C439" s="16" t="s">
        <v>1770</v>
      </c>
      <c r="D439" s="16" t="s">
        <v>882</v>
      </c>
      <c r="E439" s="17" t="str">
        <f t="shared" ref="E439:E446" si="72">IF(UPPER($J439)="NO","",$N439)</f>
        <v/>
      </c>
      <c r="F439" s="16" t="s">
        <v>1852</v>
      </c>
      <c r="G439" s="16" t="s">
        <v>303</v>
      </c>
      <c r="H439" s="16" t="s">
        <v>1853</v>
      </c>
      <c r="I439" s="16" t="s">
        <v>1854</v>
      </c>
      <c r="J439" s="63" t="s">
        <v>71</v>
      </c>
      <c r="K439" s="16" t="s">
        <v>1855</v>
      </c>
      <c r="L439" s="16"/>
      <c r="M439" s="16"/>
      <c r="N439" s="17" t="s">
        <v>1257</v>
      </c>
      <c r="O439" s="17" t="str">
        <f t="shared" si="69"/>
        <v>NO</v>
      </c>
      <c r="P439" s="17" t="str">
        <f t="shared" si="71"/>
        <v>🔴</v>
      </c>
      <c r="Q439" s="60"/>
    </row>
    <row r="440" spans="1:17" ht="18" customHeight="1" x14ac:dyDescent="0.4">
      <c r="A440" s="10">
        <f t="shared" si="67"/>
        <v>439</v>
      </c>
      <c r="B440" s="13">
        <f t="shared" si="68"/>
        <v>439</v>
      </c>
      <c r="C440" s="32" t="s">
        <v>2532</v>
      </c>
      <c r="D440" s="32"/>
      <c r="E440" s="33" t="str">
        <f t="shared" si="72"/>
        <v>LATERAL</v>
      </c>
      <c r="F440" s="16" t="s">
        <v>2563</v>
      </c>
      <c r="G440" s="32" t="s">
        <v>2564</v>
      </c>
      <c r="H440" s="32" t="s">
        <v>349</v>
      </c>
      <c r="I440" s="32" t="s">
        <v>2565</v>
      </c>
      <c r="J440" s="61" t="s">
        <v>22</v>
      </c>
      <c r="K440" s="32" t="s">
        <v>2566</v>
      </c>
      <c r="L440" s="16" t="s">
        <v>3321</v>
      </c>
      <c r="M440" s="16">
        <v>11</v>
      </c>
      <c r="N440" s="17" t="s">
        <v>1257</v>
      </c>
      <c r="O440" s="17" t="str">
        <f t="shared" si="69"/>
        <v>NO</v>
      </c>
      <c r="P440" s="17" t="str">
        <f t="shared" si="71"/>
        <v>🟢</v>
      </c>
      <c r="Q440" s="60"/>
    </row>
    <row r="441" spans="1:17" ht="18" hidden="1" customHeight="1" x14ac:dyDescent="0.4">
      <c r="A441" s="7">
        <f t="shared" si="67"/>
        <v>440</v>
      </c>
      <c r="B441" s="13">
        <f t="shared" si="68"/>
        <v>440</v>
      </c>
      <c r="C441" s="28" t="s">
        <v>1770</v>
      </c>
      <c r="D441" s="28" t="s">
        <v>1856</v>
      </c>
      <c r="E441" s="29" t="str">
        <f t="shared" si="72"/>
        <v/>
      </c>
      <c r="F441" s="16" t="s">
        <v>1857</v>
      </c>
      <c r="G441" s="28" t="s">
        <v>537</v>
      </c>
      <c r="H441" s="28" t="s">
        <v>99</v>
      </c>
      <c r="I441" s="28"/>
      <c r="J441" s="62" t="s">
        <v>71</v>
      </c>
      <c r="K441" s="28" t="s">
        <v>1858</v>
      </c>
      <c r="L441" s="16"/>
      <c r="M441" s="16"/>
      <c r="N441" s="17" t="s">
        <v>1257</v>
      </c>
      <c r="O441" s="17" t="str">
        <f t="shared" si="69"/>
        <v>NO</v>
      </c>
      <c r="P441" s="17" t="str">
        <f t="shared" si="71"/>
        <v>🔴</v>
      </c>
      <c r="Q441" s="60"/>
    </row>
    <row r="442" spans="1:17" ht="18" hidden="1" customHeight="1" x14ac:dyDescent="0.4">
      <c r="A442" s="7">
        <f t="shared" si="67"/>
        <v>441</v>
      </c>
      <c r="B442" s="13">
        <f t="shared" si="68"/>
        <v>441</v>
      </c>
      <c r="C442" s="16" t="s">
        <v>1770</v>
      </c>
      <c r="D442" s="16" t="s">
        <v>1856</v>
      </c>
      <c r="E442" s="17" t="str">
        <f t="shared" si="72"/>
        <v/>
      </c>
      <c r="F442" s="16" t="s">
        <v>1861</v>
      </c>
      <c r="G442" s="16" t="s">
        <v>459</v>
      </c>
      <c r="H442" s="16" t="s">
        <v>1862</v>
      </c>
      <c r="I442" s="16"/>
      <c r="J442" s="64" t="s">
        <v>71</v>
      </c>
      <c r="K442" s="16" t="s">
        <v>1863</v>
      </c>
      <c r="L442" s="16"/>
      <c r="M442" s="16"/>
      <c r="N442" s="17" t="s">
        <v>1257</v>
      </c>
      <c r="O442" s="17" t="str">
        <f t="shared" si="69"/>
        <v>NO</v>
      </c>
      <c r="P442" s="17" t="str">
        <f t="shared" si="71"/>
        <v>🔴</v>
      </c>
      <c r="Q442" s="60"/>
    </row>
    <row r="443" spans="1:17" ht="18" hidden="1" customHeight="1" x14ac:dyDescent="0.4">
      <c r="A443" s="10">
        <f t="shared" si="67"/>
        <v>442</v>
      </c>
      <c r="B443" s="13">
        <f t="shared" si="68"/>
        <v>442</v>
      </c>
      <c r="C443" s="16" t="s">
        <v>1770</v>
      </c>
      <c r="D443" s="16" t="s">
        <v>1856</v>
      </c>
      <c r="E443" s="17" t="str">
        <f t="shared" si="72"/>
        <v/>
      </c>
      <c r="F443" s="16" t="s">
        <v>1859</v>
      </c>
      <c r="G443" s="16" t="s">
        <v>86</v>
      </c>
      <c r="H443" s="16" t="s">
        <v>691</v>
      </c>
      <c r="I443" s="16"/>
      <c r="J443" s="62" t="s">
        <v>71</v>
      </c>
      <c r="K443" s="16" t="s">
        <v>1860</v>
      </c>
      <c r="L443" s="16"/>
      <c r="M443" s="16"/>
      <c r="N443" s="17" t="s">
        <v>1257</v>
      </c>
      <c r="O443" s="17" t="str">
        <f t="shared" si="69"/>
        <v>NO</v>
      </c>
      <c r="P443" s="17" t="str">
        <f t="shared" si="71"/>
        <v>🔴</v>
      </c>
      <c r="Q443" s="60"/>
    </row>
    <row r="444" spans="1:17" ht="18" hidden="1" customHeight="1" x14ac:dyDescent="0.4">
      <c r="A444" s="7">
        <f t="shared" si="67"/>
        <v>443</v>
      </c>
      <c r="B444" s="13">
        <f t="shared" si="68"/>
        <v>443</v>
      </c>
      <c r="C444" s="28" t="s">
        <v>1770</v>
      </c>
      <c r="D444" s="28" t="s">
        <v>1864</v>
      </c>
      <c r="E444" s="29" t="str">
        <f t="shared" si="72"/>
        <v/>
      </c>
      <c r="F444" s="16" t="s">
        <v>1869</v>
      </c>
      <c r="G444" s="28" t="s">
        <v>533</v>
      </c>
      <c r="H444" s="28" t="s">
        <v>1870</v>
      </c>
      <c r="I444" s="28" t="s">
        <v>410</v>
      </c>
      <c r="J444" s="63" t="s">
        <v>71</v>
      </c>
      <c r="K444" s="28" t="s">
        <v>1871</v>
      </c>
      <c r="L444" s="16"/>
      <c r="M444" s="16"/>
      <c r="N444" s="17" t="s">
        <v>1257</v>
      </c>
      <c r="O444" s="17" t="str">
        <f t="shared" si="69"/>
        <v>NO</v>
      </c>
      <c r="P444" s="17" t="str">
        <f t="shared" si="71"/>
        <v>🔴</v>
      </c>
      <c r="Q444" s="60"/>
    </row>
    <row r="445" spans="1:17" ht="18" customHeight="1" x14ac:dyDescent="0.4">
      <c r="A445" s="10">
        <f t="shared" si="67"/>
        <v>444</v>
      </c>
      <c r="B445" s="13">
        <f t="shared" si="68"/>
        <v>444</v>
      </c>
      <c r="C445" s="11" t="s">
        <v>2569</v>
      </c>
      <c r="D445" s="11"/>
      <c r="E445" s="12" t="str">
        <f t="shared" si="72"/>
        <v>LATERAL</v>
      </c>
      <c r="F445" s="16" t="s">
        <v>2570</v>
      </c>
      <c r="G445" s="11" t="s">
        <v>2571</v>
      </c>
      <c r="H445" s="11" t="s">
        <v>2572</v>
      </c>
      <c r="I445" s="11" t="s">
        <v>2573</v>
      </c>
      <c r="J445" s="61" t="s">
        <v>22</v>
      </c>
      <c r="K445" s="11" t="s">
        <v>2574</v>
      </c>
      <c r="L445" s="16" t="s">
        <v>3321</v>
      </c>
      <c r="M445" s="16">
        <v>12</v>
      </c>
      <c r="N445" s="17" t="s">
        <v>1257</v>
      </c>
      <c r="O445" s="17" t="str">
        <f t="shared" si="69"/>
        <v>NO</v>
      </c>
      <c r="P445" s="17" t="str">
        <f t="shared" si="71"/>
        <v>🟢</v>
      </c>
      <c r="Q445" s="60"/>
    </row>
    <row r="446" spans="1:17" ht="18" hidden="1" customHeight="1" x14ac:dyDescent="0.4">
      <c r="A446" s="7">
        <f t="shared" si="67"/>
        <v>445</v>
      </c>
      <c r="B446" s="13">
        <f t="shared" si="68"/>
        <v>445</v>
      </c>
      <c r="C446" s="16" t="s">
        <v>1770</v>
      </c>
      <c r="D446" s="16" t="s">
        <v>1874</v>
      </c>
      <c r="E446" s="17" t="str">
        <f t="shared" si="72"/>
        <v/>
      </c>
      <c r="F446" s="16" t="s">
        <v>1875</v>
      </c>
      <c r="G446" s="16" t="s">
        <v>275</v>
      </c>
      <c r="H446" s="16" t="s">
        <v>1876</v>
      </c>
      <c r="I446" s="16"/>
      <c r="J446" s="62" t="s">
        <v>71</v>
      </c>
      <c r="K446" s="16" t="s">
        <v>1877</v>
      </c>
      <c r="L446" s="16"/>
      <c r="M446" s="16"/>
      <c r="N446" s="17" t="s">
        <v>24</v>
      </c>
      <c r="O446" s="17" t="str">
        <f t="shared" si="69"/>
        <v>NO</v>
      </c>
      <c r="P446" s="17" t="str">
        <f t="shared" si="71"/>
        <v>🔴</v>
      </c>
      <c r="Q446" s="60" t="s">
        <v>1152</v>
      </c>
    </row>
    <row r="447" spans="1:17" ht="18" customHeight="1" x14ac:dyDescent="0.4">
      <c r="A447" s="10">
        <f t="shared" si="67"/>
        <v>446</v>
      </c>
      <c r="B447" s="13">
        <f t="shared" si="68"/>
        <v>446</v>
      </c>
      <c r="C447" s="32" t="s">
        <v>2441</v>
      </c>
      <c r="D447" s="32"/>
      <c r="E447" s="17" t="s">
        <v>1257</v>
      </c>
      <c r="F447" s="16" t="s">
        <v>2521</v>
      </c>
      <c r="G447" s="32" t="s">
        <v>86</v>
      </c>
      <c r="H447" s="32" t="s">
        <v>2522</v>
      </c>
      <c r="I447" s="32" t="s">
        <v>2523</v>
      </c>
      <c r="J447" s="61" t="s">
        <v>22</v>
      </c>
      <c r="K447" s="32" t="s">
        <v>2524</v>
      </c>
      <c r="L447" s="16" t="s">
        <v>3321</v>
      </c>
      <c r="M447" s="16">
        <v>13</v>
      </c>
      <c r="N447" s="17" t="s">
        <v>1257</v>
      </c>
      <c r="O447" s="17" t="str">
        <f t="shared" si="69"/>
        <v>NO</v>
      </c>
      <c r="P447" s="17" t="str">
        <f t="shared" si="71"/>
        <v>🟢</v>
      </c>
      <c r="Q447" s="60"/>
    </row>
    <row r="448" spans="1:17" ht="18" hidden="1" customHeight="1" x14ac:dyDescent="0.4">
      <c r="A448" s="7">
        <f t="shared" si="67"/>
        <v>447</v>
      </c>
      <c r="B448" s="13">
        <f t="shared" si="68"/>
        <v>447</v>
      </c>
      <c r="C448" s="16" t="s">
        <v>1770</v>
      </c>
      <c r="D448" s="16" t="s">
        <v>1874</v>
      </c>
      <c r="E448" s="17" t="str">
        <f>IF(UPPER($J448)="NO","",$N448)</f>
        <v>VIP</v>
      </c>
      <c r="F448" s="16" t="s">
        <v>1882</v>
      </c>
      <c r="G448" s="28" t="s">
        <v>513</v>
      </c>
      <c r="H448" s="28" t="s">
        <v>524</v>
      </c>
      <c r="I448" s="28" t="s">
        <v>172</v>
      </c>
      <c r="J448" s="61" t="s">
        <v>22</v>
      </c>
      <c r="K448" s="28" t="s">
        <v>1883</v>
      </c>
      <c r="L448" s="16"/>
      <c r="M448" s="16"/>
      <c r="N448" s="17" t="s">
        <v>24</v>
      </c>
      <c r="O448" s="17" t="str">
        <f t="shared" si="69"/>
        <v>SI</v>
      </c>
      <c r="P448" s="17" t="str">
        <f t="shared" si="71"/>
        <v>🟢</v>
      </c>
      <c r="Q448" s="60" t="s">
        <v>1152</v>
      </c>
    </row>
    <row r="449" spans="1:86" ht="18" customHeight="1" x14ac:dyDescent="0.4">
      <c r="A449" s="10">
        <f t="shared" si="67"/>
        <v>448</v>
      </c>
      <c r="B449" s="13">
        <f t="shared" si="68"/>
        <v>448</v>
      </c>
      <c r="C449" s="18" t="s">
        <v>1225</v>
      </c>
      <c r="D449" s="18"/>
      <c r="E449" s="17" t="s">
        <v>1257</v>
      </c>
      <c r="F449" s="16" t="s">
        <v>1292</v>
      </c>
      <c r="G449" s="18" t="s">
        <v>1293</v>
      </c>
      <c r="H449" s="18" t="s">
        <v>1294</v>
      </c>
      <c r="I449" s="18" t="s">
        <v>1223</v>
      </c>
      <c r="J449" s="61" t="s">
        <v>22</v>
      </c>
      <c r="K449" s="18" t="s">
        <v>1295</v>
      </c>
      <c r="L449" s="16" t="s">
        <v>3320</v>
      </c>
      <c r="M449" s="16">
        <v>34</v>
      </c>
      <c r="N449" s="17" t="s">
        <v>659</v>
      </c>
      <c r="O449" s="17" t="str">
        <f t="shared" si="69"/>
        <v>NO</v>
      </c>
      <c r="P449" s="17" t="str">
        <f t="shared" si="71"/>
        <v>🟢</v>
      </c>
      <c r="Q449" s="60"/>
    </row>
    <row r="450" spans="1:86" ht="18" customHeight="1" x14ac:dyDescent="0.4">
      <c r="A450" s="7">
        <f t="shared" si="67"/>
        <v>449</v>
      </c>
      <c r="B450" s="13">
        <f t="shared" si="68"/>
        <v>449</v>
      </c>
      <c r="C450" s="32" t="s">
        <v>2569</v>
      </c>
      <c r="D450" s="32" t="s">
        <v>1415</v>
      </c>
      <c r="E450" s="33" t="str">
        <f>IF(UPPER($J450)="NO","",$N450)</f>
        <v>LATERAL</v>
      </c>
      <c r="F450" s="16" t="s">
        <v>2635</v>
      </c>
      <c r="G450" s="32" t="s">
        <v>2636</v>
      </c>
      <c r="H450" s="32" t="s">
        <v>2637</v>
      </c>
      <c r="I450" s="32" t="s">
        <v>450</v>
      </c>
      <c r="J450" s="61" t="s">
        <v>22</v>
      </c>
      <c r="K450" s="32" t="s">
        <v>2638</v>
      </c>
      <c r="L450" s="16" t="s">
        <v>3321</v>
      </c>
      <c r="M450" s="16">
        <v>14</v>
      </c>
      <c r="N450" s="17" t="s">
        <v>1257</v>
      </c>
      <c r="O450" s="17" t="str">
        <f t="shared" si="69"/>
        <v>NO</v>
      </c>
      <c r="P450" s="17" t="str">
        <f t="shared" si="71"/>
        <v>🟢</v>
      </c>
      <c r="Q450" s="60"/>
    </row>
    <row r="451" spans="1:86" ht="18" customHeight="1" x14ac:dyDescent="0.4">
      <c r="A451" s="7">
        <f t="shared" si="67"/>
        <v>450</v>
      </c>
      <c r="B451" s="13">
        <f t="shared" si="68"/>
        <v>450</v>
      </c>
      <c r="C451" s="16" t="s">
        <v>1225</v>
      </c>
      <c r="D451" s="16" t="s">
        <v>908</v>
      </c>
      <c r="E451" s="17" t="s">
        <v>1257</v>
      </c>
      <c r="F451" s="16" t="s">
        <v>1271</v>
      </c>
      <c r="G451" s="16" t="s">
        <v>533</v>
      </c>
      <c r="H451" s="16" t="s">
        <v>329</v>
      </c>
      <c r="I451" s="16" t="s">
        <v>88</v>
      </c>
      <c r="J451" s="61" t="s">
        <v>22</v>
      </c>
      <c r="K451" s="16" t="s">
        <v>1272</v>
      </c>
      <c r="L451" s="16" t="s">
        <v>3318</v>
      </c>
      <c r="M451" s="16">
        <v>32</v>
      </c>
      <c r="N451" s="17" t="s">
        <v>659</v>
      </c>
      <c r="O451" s="17" t="str">
        <f t="shared" si="69"/>
        <v>NO</v>
      </c>
      <c r="P451" s="17" t="str">
        <f t="shared" si="71"/>
        <v>🟢</v>
      </c>
      <c r="Q451" s="60"/>
    </row>
    <row r="452" spans="1:86" ht="18" hidden="1" customHeight="1" x14ac:dyDescent="0.4">
      <c r="A452" s="7">
        <f t="shared" si="67"/>
        <v>451</v>
      </c>
      <c r="B452" s="13">
        <f t="shared" si="68"/>
        <v>451</v>
      </c>
      <c r="C452" s="28" t="s">
        <v>1770</v>
      </c>
      <c r="D452" s="28"/>
      <c r="E452" s="29" t="str">
        <f>IF(UPPER($J452)="NO","",$N452)</f>
        <v/>
      </c>
      <c r="F452" s="16" t="s">
        <v>1893</v>
      </c>
      <c r="G452" s="28" t="s">
        <v>1293</v>
      </c>
      <c r="H452" s="28" t="s">
        <v>1894</v>
      </c>
      <c r="I452" s="28"/>
      <c r="J452" s="62" t="s">
        <v>71</v>
      </c>
      <c r="K452" s="28" t="s">
        <v>1895</v>
      </c>
      <c r="L452" s="16"/>
      <c r="M452" s="16"/>
      <c r="N452" s="17" t="s">
        <v>24</v>
      </c>
      <c r="O452" s="17" t="str">
        <f t="shared" si="69"/>
        <v>NO</v>
      </c>
      <c r="P452" s="17" t="str">
        <f t="shared" si="71"/>
        <v>🔴</v>
      </c>
      <c r="Q452" s="60" t="s">
        <v>1152</v>
      </c>
    </row>
    <row r="453" spans="1:86" ht="18" hidden="1" customHeight="1" x14ac:dyDescent="0.4">
      <c r="A453" s="10">
        <f t="shared" si="67"/>
        <v>452</v>
      </c>
      <c r="B453" s="13">
        <f t="shared" si="68"/>
        <v>452</v>
      </c>
      <c r="C453" s="16" t="s">
        <v>1770</v>
      </c>
      <c r="D453" s="16"/>
      <c r="E453" s="17" t="str">
        <f>IF(UPPER($J453)="NO","",$N453)</f>
        <v/>
      </c>
      <c r="F453" s="16" t="s">
        <v>1896</v>
      </c>
      <c r="G453" s="16" t="s">
        <v>86</v>
      </c>
      <c r="H453" s="16" t="s">
        <v>1897</v>
      </c>
      <c r="I453" s="16" t="s">
        <v>1898</v>
      </c>
      <c r="J453" s="63" t="s">
        <v>71</v>
      </c>
      <c r="K453" s="16" t="s">
        <v>1899</v>
      </c>
      <c r="L453" s="16"/>
      <c r="M453" s="16"/>
      <c r="N453" s="17"/>
      <c r="O453" s="17" t="str">
        <f t="shared" si="69"/>
        <v>NO</v>
      </c>
      <c r="P453" s="17" t="str">
        <f t="shared" si="71"/>
        <v>🔴</v>
      </c>
      <c r="Q453" s="60"/>
    </row>
    <row r="454" spans="1:86" ht="18" customHeight="1" x14ac:dyDescent="0.4">
      <c r="A454" s="10"/>
      <c r="B454" s="10"/>
      <c r="C454" s="11"/>
      <c r="D454" s="11"/>
      <c r="E454" s="17" t="s">
        <v>1257</v>
      </c>
      <c r="F454" s="11"/>
      <c r="G454" s="11" t="s">
        <v>2511</v>
      </c>
      <c r="H454" s="11" t="s">
        <v>172</v>
      </c>
      <c r="I454" s="11" t="s">
        <v>3364</v>
      </c>
      <c r="J454" s="63" t="s">
        <v>22</v>
      </c>
      <c r="K454" s="11" t="s">
        <v>3363</v>
      </c>
      <c r="L454" s="11" t="s">
        <v>3318</v>
      </c>
      <c r="M454" s="11">
        <v>33</v>
      </c>
      <c r="N454" s="12"/>
      <c r="O454" s="12"/>
      <c r="P454" s="12" t="str">
        <f t="shared" si="71"/>
        <v>🟢</v>
      </c>
      <c r="Q454" s="59"/>
    </row>
    <row r="455" spans="1:86" ht="18" hidden="1" customHeight="1" x14ac:dyDescent="0.4">
      <c r="A455" s="10">
        <f t="shared" ref="A455:A486" si="73">IF(COUNTA(C455:K455)=0,"",ROW()-1)</f>
        <v>454</v>
      </c>
      <c r="B455" s="13">
        <f t="shared" ref="B455:B486" si="74">IF($F455&lt;&gt;"",$A455,"")</f>
        <v>454</v>
      </c>
      <c r="C455" s="16" t="s">
        <v>1770</v>
      </c>
      <c r="D455" s="16"/>
      <c r="E455" s="17" t="str">
        <f t="shared" ref="E455:E461" si="75">IF(UPPER($J455)="NO","",$N455)</f>
        <v/>
      </c>
      <c r="F455" s="16" t="s">
        <v>1905</v>
      </c>
      <c r="G455" s="16" t="s">
        <v>519</v>
      </c>
      <c r="H455" s="16" t="s">
        <v>1906</v>
      </c>
      <c r="I455" s="16"/>
      <c r="J455" s="63" t="s">
        <v>71</v>
      </c>
      <c r="K455" s="16" t="s">
        <v>1907</v>
      </c>
      <c r="L455" s="16"/>
      <c r="M455" s="16"/>
      <c r="N455" s="17"/>
      <c r="O455" s="17" t="str">
        <f t="shared" ref="O455:O486" si="76">IF(AND(UPPER($N455)="VIP",UPPER($J455)&lt;&gt;"NO",$F455&lt;&gt;""),"SI","NO")</f>
        <v>NO</v>
      </c>
      <c r="P455" s="17" t="str">
        <f t="shared" si="71"/>
        <v>🔴</v>
      </c>
      <c r="Q455" s="60"/>
    </row>
    <row r="456" spans="1:86" ht="18" hidden="1" customHeight="1" x14ac:dyDescent="0.4">
      <c r="A456" s="7">
        <f t="shared" si="73"/>
        <v>455</v>
      </c>
      <c r="B456" s="13">
        <f t="shared" si="74"/>
        <v>455</v>
      </c>
      <c r="C456" s="28" t="s">
        <v>1770</v>
      </c>
      <c r="D456" s="28" t="s">
        <v>95</v>
      </c>
      <c r="E456" s="29" t="str">
        <f t="shared" si="75"/>
        <v/>
      </c>
      <c r="F456" s="16" t="s">
        <v>1908</v>
      </c>
      <c r="G456" s="28" t="s">
        <v>513</v>
      </c>
      <c r="H456" s="28" t="s">
        <v>1909</v>
      </c>
      <c r="I456" s="28" t="s">
        <v>1910</v>
      </c>
      <c r="J456" s="63" t="s">
        <v>71</v>
      </c>
      <c r="K456" s="28" t="s">
        <v>1911</v>
      </c>
      <c r="L456" s="16"/>
      <c r="M456" s="16"/>
      <c r="N456" s="17" t="s">
        <v>24</v>
      </c>
      <c r="O456" s="17" t="str">
        <f t="shared" si="76"/>
        <v>NO</v>
      </c>
      <c r="P456" s="17" t="str">
        <f t="shared" si="71"/>
        <v>🔴</v>
      </c>
      <c r="Q456" s="60"/>
    </row>
    <row r="457" spans="1:86" ht="18" hidden="1" customHeight="1" x14ac:dyDescent="0.4">
      <c r="A457" s="10">
        <f t="shared" si="73"/>
        <v>456</v>
      </c>
      <c r="B457" s="13">
        <f t="shared" si="74"/>
        <v>456</v>
      </c>
      <c r="C457" s="28" t="s">
        <v>1770</v>
      </c>
      <c r="D457" s="28"/>
      <c r="E457" s="29" t="str">
        <f t="shared" si="75"/>
        <v/>
      </c>
      <c r="F457" s="16" t="s">
        <v>1912</v>
      </c>
      <c r="G457" s="28" t="s">
        <v>537</v>
      </c>
      <c r="H457" s="28" t="s">
        <v>1913</v>
      </c>
      <c r="I457" s="28" t="s">
        <v>1914</v>
      </c>
      <c r="J457" s="63" t="s">
        <v>71</v>
      </c>
      <c r="K457" s="28" t="s">
        <v>1915</v>
      </c>
      <c r="L457" s="16"/>
      <c r="M457" s="16"/>
      <c r="N457" s="17" t="s">
        <v>1257</v>
      </c>
      <c r="O457" s="17" t="str">
        <f t="shared" si="76"/>
        <v>NO</v>
      </c>
      <c r="P457" s="17" t="str">
        <f t="shared" si="71"/>
        <v>🔴</v>
      </c>
      <c r="Q457" s="60"/>
    </row>
    <row r="458" spans="1:86" ht="18" hidden="1" customHeight="1" x14ac:dyDescent="0.4">
      <c r="A458" s="7">
        <f t="shared" si="73"/>
        <v>457</v>
      </c>
      <c r="B458" s="13">
        <f t="shared" si="74"/>
        <v>457</v>
      </c>
      <c r="C458" s="28" t="s">
        <v>1770</v>
      </c>
      <c r="D458" s="28" t="s">
        <v>751</v>
      </c>
      <c r="E458" s="29" t="str">
        <f t="shared" si="75"/>
        <v/>
      </c>
      <c r="F458" s="16" t="s">
        <v>1900</v>
      </c>
      <c r="G458" s="28" t="s">
        <v>1901</v>
      </c>
      <c r="H458" s="28" t="s">
        <v>1902</v>
      </c>
      <c r="I458" s="28" t="s">
        <v>1903</v>
      </c>
      <c r="J458" s="62" t="s">
        <v>71</v>
      </c>
      <c r="K458" s="28" t="s">
        <v>1904</v>
      </c>
      <c r="L458" s="16"/>
      <c r="M458" s="16"/>
      <c r="N458" s="17" t="s">
        <v>1257</v>
      </c>
      <c r="O458" s="17" t="str">
        <f t="shared" si="76"/>
        <v>NO</v>
      </c>
      <c r="P458" s="17" t="str">
        <f t="shared" si="71"/>
        <v>🔴</v>
      </c>
      <c r="Q458" s="60"/>
    </row>
    <row r="459" spans="1:86" ht="18" hidden="1" customHeight="1" x14ac:dyDescent="0.4">
      <c r="A459" s="10">
        <f t="shared" si="73"/>
        <v>458</v>
      </c>
      <c r="B459" s="13">
        <f t="shared" si="74"/>
        <v>458</v>
      </c>
      <c r="C459" s="16" t="s">
        <v>1770</v>
      </c>
      <c r="D459" s="16" t="s">
        <v>751</v>
      </c>
      <c r="E459" s="17" t="str">
        <f t="shared" si="75"/>
        <v/>
      </c>
      <c r="F459" s="16" t="s">
        <v>1920</v>
      </c>
      <c r="G459" s="16" t="s">
        <v>68</v>
      </c>
      <c r="H459" s="16" t="s">
        <v>1921</v>
      </c>
      <c r="I459" s="16" t="s">
        <v>1922</v>
      </c>
      <c r="J459" s="63" t="s">
        <v>71</v>
      </c>
      <c r="K459" s="16" t="s">
        <v>1923</v>
      </c>
      <c r="L459" s="16"/>
      <c r="M459" s="16"/>
      <c r="N459" s="17" t="s">
        <v>24</v>
      </c>
      <c r="O459" s="17" t="str">
        <f t="shared" si="76"/>
        <v>NO</v>
      </c>
      <c r="P459" s="17" t="str">
        <f t="shared" si="71"/>
        <v>🔴</v>
      </c>
      <c r="Q459" s="60"/>
    </row>
    <row r="460" spans="1:86" ht="18" hidden="1" customHeight="1" x14ac:dyDescent="0.4">
      <c r="A460" s="7">
        <f t="shared" si="73"/>
        <v>459</v>
      </c>
      <c r="B460" s="13">
        <f t="shared" si="74"/>
        <v>459</v>
      </c>
      <c r="C460" s="16" t="s">
        <v>1770</v>
      </c>
      <c r="D460" s="16"/>
      <c r="E460" s="17" t="str">
        <f t="shared" si="75"/>
        <v/>
      </c>
      <c r="F460" s="16" t="s">
        <v>1924</v>
      </c>
      <c r="G460" s="16" t="s">
        <v>68</v>
      </c>
      <c r="H460" s="16" t="s">
        <v>1925</v>
      </c>
      <c r="I460" s="16" t="s">
        <v>345</v>
      </c>
      <c r="J460" s="62" t="s">
        <v>71</v>
      </c>
      <c r="K460" s="16"/>
      <c r="L460" s="16"/>
      <c r="M460" s="16"/>
      <c r="N460" s="17" t="s">
        <v>24</v>
      </c>
      <c r="O460" s="17" t="str">
        <f t="shared" si="76"/>
        <v>NO</v>
      </c>
      <c r="P460" s="17" t="str">
        <f t="shared" si="71"/>
        <v>🔴</v>
      </c>
      <c r="Q460" s="60" t="s">
        <v>1152</v>
      </c>
    </row>
    <row r="461" spans="1:86" ht="18" hidden="1" customHeight="1" x14ac:dyDescent="0.4">
      <c r="A461" s="10">
        <f t="shared" si="73"/>
        <v>460</v>
      </c>
      <c r="B461" s="13">
        <f t="shared" si="74"/>
        <v>460</v>
      </c>
      <c r="C461" s="16" t="s">
        <v>1770</v>
      </c>
      <c r="D461" s="16"/>
      <c r="E461" s="17" t="str">
        <f t="shared" si="75"/>
        <v/>
      </c>
      <c r="F461" s="16" t="s">
        <v>1927</v>
      </c>
      <c r="G461" s="16" t="s">
        <v>528</v>
      </c>
      <c r="H461" s="16" t="s">
        <v>1928</v>
      </c>
      <c r="I461" s="16" t="s">
        <v>1929</v>
      </c>
      <c r="J461" s="63" t="s">
        <v>71</v>
      </c>
      <c r="K461" s="16" t="s">
        <v>1930</v>
      </c>
      <c r="L461" s="16"/>
      <c r="M461" s="16"/>
      <c r="N461" s="17" t="s">
        <v>1257</v>
      </c>
      <c r="O461" s="17" t="str">
        <f t="shared" si="76"/>
        <v>NO</v>
      </c>
      <c r="P461" s="17" t="str">
        <f t="shared" si="71"/>
        <v>🔴</v>
      </c>
      <c r="Q461" s="60"/>
    </row>
    <row r="462" spans="1:86" ht="18" customHeight="1" x14ac:dyDescent="0.4">
      <c r="A462" s="10">
        <f t="shared" si="73"/>
        <v>461</v>
      </c>
      <c r="B462" s="10">
        <f t="shared" si="74"/>
        <v>461</v>
      </c>
      <c r="C462" s="11" t="s">
        <v>16</v>
      </c>
      <c r="D462" s="11" t="s">
        <v>670</v>
      </c>
      <c r="E462" s="12" t="s">
        <v>1257</v>
      </c>
      <c r="F462" s="11" t="s">
        <v>834</v>
      </c>
      <c r="G462" s="11" t="s">
        <v>724</v>
      </c>
      <c r="H462" s="11" t="s">
        <v>835</v>
      </c>
      <c r="I462" s="11" t="s">
        <v>172</v>
      </c>
      <c r="J462" s="62" t="s">
        <v>22</v>
      </c>
      <c r="K462" s="11" t="s">
        <v>836</v>
      </c>
      <c r="L462" s="11" t="s">
        <v>3318</v>
      </c>
      <c r="M462" s="11">
        <v>34</v>
      </c>
      <c r="N462" s="12"/>
      <c r="O462" s="12" t="str">
        <f t="shared" si="76"/>
        <v>NO</v>
      </c>
      <c r="P462" s="12" t="str">
        <f t="shared" si="71"/>
        <v>🟢</v>
      </c>
      <c r="Q462" s="59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</row>
    <row r="463" spans="1:86" ht="18" customHeight="1" x14ac:dyDescent="0.4">
      <c r="A463" s="10">
        <f t="shared" si="73"/>
        <v>462</v>
      </c>
      <c r="B463" s="13">
        <f t="shared" si="74"/>
        <v>462</v>
      </c>
      <c r="C463" s="28" t="s">
        <v>1770</v>
      </c>
      <c r="D463" s="28" t="s">
        <v>908</v>
      </c>
      <c r="E463" s="17" t="s">
        <v>1257</v>
      </c>
      <c r="F463" s="16" t="s">
        <v>2032</v>
      </c>
      <c r="G463" s="28" t="s">
        <v>68</v>
      </c>
      <c r="H463" s="28" t="s">
        <v>2033</v>
      </c>
      <c r="I463" s="28" t="s">
        <v>2034</v>
      </c>
      <c r="J463" s="61" t="s">
        <v>22</v>
      </c>
      <c r="K463" s="28" t="s">
        <v>2013</v>
      </c>
      <c r="L463" s="16" t="s">
        <v>3318</v>
      </c>
      <c r="M463" s="16">
        <v>35</v>
      </c>
      <c r="N463" s="17" t="s">
        <v>659</v>
      </c>
      <c r="O463" s="17" t="str">
        <f t="shared" si="76"/>
        <v>NO</v>
      </c>
      <c r="P463" s="17" t="str">
        <f t="shared" si="71"/>
        <v>🟢</v>
      </c>
      <c r="Q463" s="60"/>
    </row>
    <row r="464" spans="1:86" ht="18" hidden="1" customHeight="1" x14ac:dyDescent="0.4">
      <c r="A464" s="7">
        <f t="shared" si="73"/>
        <v>463</v>
      </c>
      <c r="B464" s="7">
        <f t="shared" si="74"/>
        <v>463</v>
      </c>
      <c r="C464" s="8" t="s">
        <v>16</v>
      </c>
      <c r="D464" s="8" t="s">
        <v>645</v>
      </c>
      <c r="E464" s="17" t="s">
        <v>24</v>
      </c>
      <c r="F464" s="8" t="s">
        <v>654</v>
      </c>
      <c r="G464" s="8" t="s">
        <v>655</v>
      </c>
      <c r="H464" s="8" t="s">
        <v>656</v>
      </c>
      <c r="I464" s="8" t="s">
        <v>657</v>
      </c>
      <c r="J464" s="61" t="s">
        <v>22</v>
      </c>
      <c r="K464" s="8" t="s">
        <v>658</v>
      </c>
      <c r="L464" s="8"/>
      <c r="M464" s="8"/>
      <c r="N464" s="9" t="s">
        <v>659</v>
      </c>
      <c r="O464" s="9" t="str">
        <f t="shared" si="76"/>
        <v>NO</v>
      </c>
      <c r="P464" s="9" t="str">
        <f t="shared" si="71"/>
        <v>🟢</v>
      </c>
      <c r="Q464" s="58"/>
    </row>
    <row r="465" spans="1:17" ht="18" hidden="1" customHeight="1" x14ac:dyDescent="0.4">
      <c r="A465" s="10">
        <f t="shared" si="73"/>
        <v>464</v>
      </c>
      <c r="B465" s="13">
        <f t="shared" si="74"/>
        <v>464</v>
      </c>
      <c r="C465" s="16" t="s">
        <v>1770</v>
      </c>
      <c r="D465" s="16" t="s">
        <v>46</v>
      </c>
      <c r="E465" s="17" t="str">
        <f>IF(UPPER($J465)="NO","",$N465)</f>
        <v>VIP</v>
      </c>
      <c r="F465" s="16" t="s">
        <v>1939</v>
      </c>
      <c r="G465" s="16" t="s">
        <v>1940</v>
      </c>
      <c r="H465" s="16" t="s">
        <v>1941</v>
      </c>
      <c r="I465" s="16" t="s">
        <v>1609</v>
      </c>
      <c r="J465" s="61" t="s">
        <v>22</v>
      </c>
      <c r="K465" s="16" t="s">
        <v>1942</v>
      </c>
      <c r="L465" s="16"/>
      <c r="M465" s="16"/>
      <c r="N465" s="17" t="s">
        <v>24</v>
      </c>
      <c r="O465" s="17" t="str">
        <f t="shared" si="76"/>
        <v>SI</v>
      </c>
      <c r="P465" s="17" t="str">
        <f t="shared" si="71"/>
        <v>🟢</v>
      </c>
      <c r="Q465" s="60" t="s">
        <v>1152</v>
      </c>
    </row>
    <row r="466" spans="1:17" ht="18" hidden="1" customHeight="1" x14ac:dyDescent="0.4">
      <c r="A466" s="7">
        <f t="shared" si="73"/>
        <v>465</v>
      </c>
      <c r="B466" s="13">
        <f t="shared" si="74"/>
        <v>465</v>
      </c>
      <c r="C466" s="16" t="s">
        <v>1770</v>
      </c>
      <c r="D466" s="16" t="s">
        <v>95</v>
      </c>
      <c r="E466" s="17" t="str">
        <f>IF(UPPER($J466)="NO","",$N466)</f>
        <v/>
      </c>
      <c r="F466" s="16" t="s">
        <v>1943</v>
      </c>
      <c r="G466" s="16" t="s">
        <v>519</v>
      </c>
      <c r="H466" s="16" t="s">
        <v>1944</v>
      </c>
      <c r="I466" s="16" t="s">
        <v>1945</v>
      </c>
      <c r="J466" s="63" t="s">
        <v>71</v>
      </c>
      <c r="K466" s="28" t="s">
        <v>1946</v>
      </c>
      <c r="L466" s="16"/>
      <c r="M466" s="16"/>
      <c r="N466" s="17"/>
      <c r="O466" s="17" t="str">
        <f t="shared" si="76"/>
        <v>NO</v>
      </c>
      <c r="P466" s="17" t="str">
        <f t="shared" ref="P466:P497" si="77">IF(UPPER($J466)="SI","🟢",IF(UPPER($J466)="NO","🔴","🟡"))</f>
        <v>🔴</v>
      </c>
      <c r="Q466" s="60"/>
    </row>
    <row r="467" spans="1:17" ht="18" hidden="1" customHeight="1" x14ac:dyDescent="0.4">
      <c r="A467" s="10">
        <f t="shared" si="73"/>
        <v>466</v>
      </c>
      <c r="B467" s="13">
        <f t="shared" si="74"/>
        <v>466</v>
      </c>
      <c r="C467" s="18" t="s">
        <v>1225</v>
      </c>
      <c r="D467" s="18" t="s">
        <v>645</v>
      </c>
      <c r="E467" s="17" t="s">
        <v>24</v>
      </c>
      <c r="F467" s="16" t="s">
        <v>1262</v>
      </c>
      <c r="G467" s="18" t="s">
        <v>704</v>
      </c>
      <c r="H467" s="18" t="s">
        <v>1263</v>
      </c>
      <c r="I467" s="18" t="s">
        <v>911</v>
      </c>
      <c r="J467" s="61" t="s">
        <v>22</v>
      </c>
      <c r="K467" s="18" t="s">
        <v>1264</v>
      </c>
      <c r="L467" s="16"/>
      <c r="M467" s="16"/>
      <c r="N467" s="17" t="s">
        <v>659</v>
      </c>
      <c r="O467" s="17" t="str">
        <f t="shared" si="76"/>
        <v>NO</v>
      </c>
      <c r="P467" s="17" t="str">
        <f t="shared" si="77"/>
        <v>🟢</v>
      </c>
      <c r="Q467" s="60"/>
    </row>
    <row r="468" spans="1:17" ht="18" customHeight="1" x14ac:dyDescent="0.4">
      <c r="A468" s="10">
        <f t="shared" si="73"/>
        <v>467</v>
      </c>
      <c r="B468" s="13">
        <f t="shared" si="74"/>
        <v>467</v>
      </c>
      <c r="C468" s="11" t="s">
        <v>2569</v>
      </c>
      <c r="D468" s="11" t="s">
        <v>1415</v>
      </c>
      <c r="E468" s="12" t="str">
        <f>IF(UPPER($J468)="NO","",$N468)</f>
        <v>LATERAL</v>
      </c>
      <c r="F468" s="16" t="s">
        <v>2639</v>
      </c>
      <c r="G468" s="11" t="s">
        <v>86</v>
      </c>
      <c r="H468" s="11" t="s">
        <v>2640</v>
      </c>
      <c r="I468" s="11" t="s">
        <v>2633</v>
      </c>
      <c r="J468" s="61" t="s">
        <v>22</v>
      </c>
      <c r="K468" s="11" t="s">
        <v>2641</v>
      </c>
      <c r="L468" s="16" t="s">
        <v>3321</v>
      </c>
      <c r="M468" s="16">
        <v>15</v>
      </c>
      <c r="N468" s="17" t="s">
        <v>1257</v>
      </c>
      <c r="O468" s="17" t="str">
        <f t="shared" si="76"/>
        <v>NO</v>
      </c>
      <c r="P468" s="17" t="str">
        <f t="shared" si="77"/>
        <v>🟢</v>
      </c>
      <c r="Q468" s="60"/>
    </row>
    <row r="469" spans="1:17" ht="18" hidden="1" customHeight="1" x14ac:dyDescent="0.4">
      <c r="A469" s="10">
        <f t="shared" si="73"/>
        <v>468</v>
      </c>
      <c r="B469" s="13">
        <f t="shared" si="74"/>
        <v>468</v>
      </c>
      <c r="C469" s="28" t="s">
        <v>1770</v>
      </c>
      <c r="D469" s="28"/>
      <c r="E469" s="29" t="str">
        <f>IF(UPPER($J469)="NO","",$N469)</f>
        <v/>
      </c>
      <c r="F469" s="16" t="s">
        <v>1952</v>
      </c>
      <c r="G469" s="28" t="s">
        <v>68</v>
      </c>
      <c r="H469" s="28" t="s">
        <v>189</v>
      </c>
      <c r="I469" s="28"/>
      <c r="J469" s="63" t="s">
        <v>71</v>
      </c>
      <c r="K469" s="28" t="s">
        <v>1953</v>
      </c>
      <c r="L469" s="16"/>
      <c r="M469" s="16"/>
      <c r="N469" s="17"/>
      <c r="O469" s="17" t="str">
        <f t="shared" si="76"/>
        <v>NO</v>
      </c>
      <c r="P469" s="17" t="str">
        <f t="shared" si="77"/>
        <v>🔴</v>
      </c>
      <c r="Q469" s="60"/>
    </row>
    <row r="470" spans="1:17" ht="18" customHeight="1" x14ac:dyDescent="0.4">
      <c r="A470" s="7">
        <f t="shared" si="73"/>
        <v>469</v>
      </c>
      <c r="B470" s="13">
        <f t="shared" si="74"/>
        <v>469</v>
      </c>
      <c r="C470" s="32" t="s">
        <v>2569</v>
      </c>
      <c r="D470" s="32" t="s">
        <v>817</v>
      </c>
      <c r="E470" s="33" t="str">
        <f>IF(UPPER($J470)="NO","",$N470)</f>
        <v>LATERAL</v>
      </c>
      <c r="F470" s="16" t="s">
        <v>2642</v>
      </c>
      <c r="G470" s="32" t="s">
        <v>627</v>
      </c>
      <c r="H470" s="32" t="s">
        <v>2643</v>
      </c>
      <c r="I470" s="32" t="s">
        <v>2623</v>
      </c>
      <c r="J470" s="61" t="s">
        <v>22</v>
      </c>
      <c r="K470" s="32" t="s">
        <v>2644</v>
      </c>
      <c r="L470" s="16" t="s">
        <v>3321</v>
      </c>
      <c r="M470" s="16">
        <v>16</v>
      </c>
      <c r="N470" s="17" t="s">
        <v>1257</v>
      </c>
      <c r="O470" s="17" t="str">
        <f t="shared" si="76"/>
        <v>NO</v>
      </c>
      <c r="P470" s="17" t="str">
        <f t="shared" si="77"/>
        <v>🟢</v>
      </c>
      <c r="Q470" s="60"/>
    </row>
    <row r="471" spans="1:17" ht="18" hidden="1" customHeight="1" x14ac:dyDescent="0.4">
      <c r="A471" s="7">
        <f t="shared" si="73"/>
        <v>470</v>
      </c>
      <c r="B471" s="13">
        <f t="shared" si="74"/>
        <v>470</v>
      </c>
      <c r="C471" s="28" t="s">
        <v>1770</v>
      </c>
      <c r="D471" s="28" t="s">
        <v>645</v>
      </c>
      <c r="E471" s="17" t="s">
        <v>24</v>
      </c>
      <c r="F471" s="16" t="s">
        <v>2016</v>
      </c>
      <c r="G471" s="28" t="s">
        <v>533</v>
      </c>
      <c r="H471" s="28" t="s">
        <v>2017</v>
      </c>
      <c r="I471" s="28" t="s">
        <v>2018</v>
      </c>
      <c r="J471" s="61" t="s">
        <v>22</v>
      </c>
      <c r="K471" s="28" t="s">
        <v>2013</v>
      </c>
      <c r="L471" s="16"/>
      <c r="M471" s="16"/>
      <c r="N471" s="17" t="s">
        <v>659</v>
      </c>
      <c r="O471" s="17" t="str">
        <f t="shared" si="76"/>
        <v>NO</v>
      </c>
      <c r="P471" s="17" t="str">
        <f t="shared" si="77"/>
        <v>🟢</v>
      </c>
      <c r="Q471" s="60"/>
    </row>
    <row r="472" spans="1:17" ht="18" customHeight="1" x14ac:dyDescent="0.4">
      <c r="A472" s="10">
        <f t="shared" si="73"/>
        <v>471</v>
      </c>
      <c r="B472" s="13">
        <f t="shared" si="74"/>
        <v>471</v>
      </c>
      <c r="C472" s="16" t="s">
        <v>1225</v>
      </c>
      <c r="D472" s="16"/>
      <c r="E472" s="17" t="s">
        <v>1257</v>
      </c>
      <c r="F472" s="16" t="s">
        <v>1301</v>
      </c>
      <c r="G472" s="16" t="s">
        <v>615</v>
      </c>
      <c r="H472" s="16" t="s">
        <v>390</v>
      </c>
      <c r="I472" s="16" t="s">
        <v>1302</v>
      </c>
      <c r="J472" s="61" t="s">
        <v>22</v>
      </c>
      <c r="K472" s="16" t="s">
        <v>1303</v>
      </c>
      <c r="L472" s="16" t="s">
        <v>3320</v>
      </c>
      <c r="M472" s="16">
        <v>35</v>
      </c>
      <c r="N472" s="17"/>
      <c r="O472" s="17" t="str">
        <f t="shared" si="76"/>
        <v>NO</v>
      </c>
      <c r="P472" s="17" t="str">
        <f t="shared" si="77"/>
        <v>🟢</v>
      </c>
      <c r="Q472" s="60"/>
    </row>
    <row r="473" spans="1:17" ht="18" customHeight="1" x14ac:dyDescent="0.4">
      <c r="A473" s="10">
        <f t="shared" si="73"/>
        <v>472</v>
      </c>
      <c r="B473" s="13">
        <f t="shared" si="74"/>
        <v>472</v>
      </c>
      <c r="C473" s="16" t="s">
        <v>1770</v>
      </c>
      <c r="D473" s="16" t="s">
        <v>908</v>
      </c>
      <c r="E473" s="17" t="s">
        <v>1257</v>
      </c>
      <c r="F473" s="16" t="s">
        <v>1973</v>
      </c>
      <c r="G473" s="16" t="s">
        <v>1321</v>
      </c>
      <c r="H473" s="16" t="s">
        <v>1974</v>
      </c>
      <c r="I473" s="16" t="s">
        <v>1975</v>
      </c>
      <c r="J473" s="61" t="s">
        <v>22</v>
      </c>
      <c r="K473" s="16" t="s">
        <v>1976</v>
      </c>
      <c r="L473" s="16" t="s">
        <v>3318</v>
      </c>
      <c r="M473" s="16">
        <v>36</v>
      </c>
      <c r="N473" s="17" t="s">
        <v>659</v>
      </c>
      <c r="O473" s="17" t="str">
        <f t="shared" si="76"/>
        <v>NO</v>
      </c>
      <c r="P473" s="17" t="str">
        <f t="shared" si="77"/>
        <v>🟢</v>
      </c>
      <c r="Q473" s="60"/>
    </row>
    <row r="474" spans="1:17" ht="18" customHeight="1" x14ac:dyDescent="0.4">
      <c r="A474" s="7">
        <f t="shared" si="73"/>
        <v>473</v>
      </c>
      <c r="B474" s="13">
        <f t="shared" si="74"/>
        <v>473</v>
      </c>
      <c r="C474" s="16" t="s">
        <v>1770</v>
      </c>
      <c r="D474" s="16"/>
      <c r="E474" s="17" t="s">
        <v>1257</v>
      </c>
      <c r="F474" s="16" t="s">
        <v>1961</v>
      </c>
      <c r="G474" s="16" t="s">
        <v>1962</v>
      </c>
      <c r="H474" s="16" t="s">
        <v>1963</v>
      </c>
      <c r="I474" s="16" t="s">
        <v>1435</v>
      </c>
      <c r="J474" s="61" t="s">
        <v>22</v>
      </c>
      <c r="K474" s="16" t="s">
        <v>1964</v>
      </c>
      <c r="L474" s="16" t="s">
        <v>3318</v>
      </c>
      <c r="M474" s="16">
        <v>37</v>
      </c>
      <c r="N474" s="17" t="s">
        <v>659</v>
      </c>
      <c r="O474" s="17" t="str">
        <f t="shared" si="76"/>
        <v>NO</v>
      </c>
      <c r="P474" s="17" t="str">
        <f t="shared" si="77"/>
        <v>🟢</v>
      </c>
      <c r="Q474" s="60"/>
    </row>
    <row r="475" spans="1:17" ht="18" customHeight="1" x14ac:dyDescent="0.4">
      <c r="A475" s="10">
        <f t="shared" si="73"/>
        <v>474</v>
      </c>
      <c r="B475" s="13">
        <f t="shared" si="74"/>
        <v>474</v>
      </c>
      <c r="C475" s="16" t="s">
        <v>1225</v>
      </c>
      <c r="D475" s="16"/>
      <c r="E475" s="17" t="s">
        <v>1257</v>
      </c>
      <c r="F475" s="16" t="s">
        <v>1316</v>
      </c>
      <c r="G475" s="16" t="s">
        <v>1317</v>
      </c>
      <c r="H475" s="16" t="s">
        <v>534</v>
      </c>
      <c r="I475" s="16"/>
      <c r="J475" s="61" t="s">
        <v>22</v>
      </c>
      <c r="K475" s="16" t="s">
        <v>1318</v>
      </c>
      <c r="L475" s="16" t="s">
        <v>3320</v>
      </c>
      <c r="M475" s="16">
        <v>36</v>
      </c>
      <c r="N475" s="17" t="s">
        <v>1257</v>
      </c>
      <c r="O475" s="17" t="str">
        <f t="shared" si="76"/>
        <v>NO</v>
      </c>
      <c r="P475" s="17" t="str">
        <f t="shared" si="77"/>
        <v>🟢</v>
      </c>
      <c r="Q475" s="60"/>
    </row>
    <row r="476" spans="1:17" ht="18" hidden="1" customHeight="1" x14ac:dyDescent="0.4">
      <c r="A476" s="7">
        <f t="shared" si="73"/>
        <v>475</v>
      </c>
      <c r="B476" s="13">
        <f t="shared" si="74"/>
        <v>475</v>
      </c>
      <c r="C476" s="28" t="s">
        <v>1770</v>
      </c>
      <c r="D476" s="28"/>
      <c r="E476" s="29" t="str">
        <f>IF(UPPER($J476)="NO","",$N476)</f>
        <v/>
      </c>
      <c r="F476" s="16" t="s">
        <v>1977</v>
      </c>
      <c r="G476" s="28" t="s">
        <v>615</v>
      </c>
      <c r="H476" s="28" t="s">
        <v>410</v>
      </c>
      <c r="I476" s="28"/>
      <c r="J476" s="61" t="s">
        <v>71</v>
      </c>
      <c r="K476" s="28" t="s">
        <v>1978</v>
      </c>
      <c r="L476" s="16"/>
      <c r="M476" s="16"/>
      <c r="N476" s="17" t="s">
        <v>24</v>
      </c>
      <c r="O476" s="17" t="str">
        <f t="shared" si="76"/>
        <v>NO</v>
      </c>
      <c r="P476" s="17" t="str">
        <f t="shared" si="77"/>
        <v>🔴</v>
      </c>
      <c r="Q476" s="60" t="s">
        <v>1152</v>
      </c>
    </row>
    <row r="477" spans="1:17" ht="18" hidden="1" customHeight="1" x14ac:dyDescent="0.4">
      <c r="A477" s="10">
        <f t="shared" si="73"/>
        <v>476</v>
      </c>
      <c r="B477" s="13">
        <f t="shared" si="74"/>
        <v>476</v>
      </c>
      <c r="C477" s="28" t="s">
        <v>1770</v>
      </c>
      <c r="D477" s="28"/>
      <c r="E477" s="17" t="s">
        <v>24</v>
      </c>
      <c r="F477" s="16" t="s">
        <v>1979</v>
      </c>
      <c r="G477" s="28" t="s">
        <v>1980</v>
      </c>
      <c r="H477" s="28" t="s">
        <v>1434</v>
      </c>
      <c r="I477" s="28"/>
      <c r="J477" s="61" t="s">
        <v>22</v>
      </c>
      <c r="K477" s="28" t="s">
        <v>1981</v>
      </c>
      <c r="L477" s="16"/>
      <c r="M477" s="16"/>
      <c r="N477" s="17" t="s">
        <v>659</v>
      </c>
      <c r="O477" s="17" t="str">
        <f t="shared" si="76"/>
        <v>NO</v>
      </c>
      <c r="P477" s="17" t="str">
        <f t="shared" si="77"/>
        <v>🟢</v>
      </c>
      <c r="Q477" s="60"/>
    </row>
    <row r="478" spans="1:17" ht="18" hidden="1" customHeight="1" x14ac:dyDescent="0.4">
      <c r="A478" s="7">
        <f t="shared" si="73"/>
        <v>477</v>
      </c>
      <c r="B478" s="13">
        <f t="shared" si="74"/>
        <v>477</v>
      </c>
      <c r="C478" s="28" t="s">
        <v>1770</v>
      </c>
      <c r="D478" s="28"/>
      <c r="E478" s="29" t="str">
        <f>IF(UPPER($J478)="NO","",$N478)</f>
        <v/>
      </c>
      <c r="F478" s="16" t="s">
        <v>1982</v>
      </c>
      <c r="G478" s="28" t="s">
        <v>998</v>
      </c>
      <c r="H478" s="28" t="s">
        <v>1779</v>
      </c>
      <c r="I478" s="28"/>
      <c r="J478" s="63" t="s">
        <v>71</v>
      </c>
      <c r="K478" s="28" t="s">
        <v>1983</v>
      </c>
      <c r="L478" s="16"/>
      <c r="M478" s="16"/>
      <c r="N478" s="17" t="s">
        <v>1257</v>
      </c>
      <c r="O478" s="17" t="str">
        <f t="shared" si="76"/>
        <v>NO</v>
      </c>
      <c r="P478" s="17" t="str">
        <f t="shared" si="77"/>
        <v>🔴</v>
      </c>
      <c r="Q478" s="60"/>
    </row>
    <row r="479" spans="1:17" ht="18" hidden="1" customHeight="1" x14ac:dyDescent="0.4">
      <c r="A479" s="10">
        <f t="shared" si="73"/>
        <v>478</v>
      </c>
      <c r="B479" s="13">
        <f t="shared" si="74"/>
        <v>478</v>
      </c>
      <c r="C479" s="28" t="s">
        <v>1770</v>
      </c>
      <c r="D479" s="28"/>
      <c r="E479" s="29" t="str">
        <f>IF(UPPER($J479)="NO","",$N479)</f>
        <v/>
      </c>
      <c r="F479" s="16" t="s">
        <v>1984</v>
      </c>
      <c r="G479" s="28" t="s">
        <v>473</v>
      </c>
      <c r="H479" s="28" t="s">
        <v>135</v>
      </c>
      <c r="I479" s="28"/>
      <c r="J479" s="63" t="s">
        <v>71</v>
      </c>
      <c r="K479" s="28" t="s">
        <v>1983</v>
      </c>
      <c r="L479" s="16"/>
      <c r="M479" s="16"/>
      <c r="N479" s="17" t="s">
        <v>1257</v>
      </c>
      <c r="O479" s="17" t="str">
        <f t="shared" si="76"/>
        <v>NO</v>
      </c>
      <c r="P479" s="17" t="str">
        <f t="shared" si="77"/>
        <v>🔴</v>
      </c>
      <c r="Q479" s="60"/>
    </row>
    <row r="480" spans="1:17" ht="18" customHeight="1" x14ac:dyDescent="0.4">
      <c r="A480" s="7">
        <f t="shared" si="73"/>
        <v>479</v>
      </c>
      <c r="B480" s="13">
        <f t="shared" si="74"/>
        <v>479</v>
      </c>
      <c r="C480" s="30" t="s">
        <v>2162</v>
      </c>
      <c r="D480" s="30" t="s">
        <v>908</v>
      </c>
      <c r="E480" s="17" t="s">
        <v>1257</v>
      </c>
      <c r="F480" s="16" t="s">
        <v>2357</v>
      </c>
      <c r="G480" s="30" t="s">
        <v>1821</v>
      </c>
      <c r="H480" s="30" t="s">
        <v>1368</v>
      </c>
      <c r="I480" s="30" t="s">
        <v>2358</v>
      </c>
      <c r="J480" s="61" t="s">
        <v>22</v>
      </c>
      <c r="K480" s="30" t="s">
        <v>2359</v>
      </c>
      <c r="L480" s="16" t="s">
        <v>3318</v>
      </c>
      <c r="M480" s="16">
        <v>38</v>
      </c>
      <c r="N480" s="17" t="s">
        <v>659</v>
      </c>
      <c r="O480" s="17" t="str">
        <f t="shared" si="76"/>
        <v>NO</v>
      </c>
      <c r="P480" s="17" t="str">
        <f t="shared" si="77"/>
        <v>🟢</v>
      </c>
      <c r="Q480" s="60"/>
    </row>
    <row r="481" spans="1:17" ht="18" customHeight="1" x14ac:dyDescent="0.4">
      <c r="A481" s="7">
        <f t="shared" si="73"/>
        <v>480</v>
      </c>
      <c r="B481" s="13">
        <f t="shared" si="74"/>
        <v>480</v>
      </c>
      <c r="C481" s="22" t="s">
        <v>1389</v>
      </c>
      <c r="D481" s="22" t="s">
        <v>1397</v>
      </c>
      <c r="E481" s="17" t="s">
        <v>1257</v>
      </c>
      <c r="F481" s="16" t="s">
        <v>1479</v>
      </c>
      <c r="G481" s="22" t="s">
        <v>128</v>
      </c>
      <c r="H481" s="22" t="s">
        <v>1480</v>
      </c>
      <c r="I481" s="22"/>
      <c r="J481" s="61" t="s">
        <v>22</v>
      </c>
      <c r="K481" s="22" t="s">
        <v>1481</v>
      </c>
      <c r="L481" s="16" t="s">
        <v>3319</v>
      </c>
      <c r="M481" s="16">
        <v>43</v>
      </c>
      <c r="N481" s="17" t="s">
        <v>659</v>
      </c>
      <c r="O481" s="17" t="str">
        <f t="shared" si="76"/>
        <v>NO</v>
      </c>
      <c r="P481" s="17" t="str">
        <f t="shared" si="77"/>
        <v>🟢</v>
      </c>
      <c r="Q481" s="60"/>
    </row>
    <row r="482" spans="1:17" ht="18" customHeight="1" x14ac:dyDescent="0.4">
      <c r="A482" s="7">
        <f t="shared" si="73"/>
        <v>481</v>
      </c>
      <c r="B482" s="13">
        <f t="shared" si="74"/>
        <v>481</v>
      </c>
      <c r="C482" s="22" t="s">
        <v>1389</v>
      </c>
      <c r="D482" s="22" t="s">
        <v>1397</v>
      </c>
      <c r="E482" s="17" t="s">
        <v>1257</v>
      </c>
      <c r="F482" s="16" t="s">
        <v>1486</v>
      </c>
      <c r="G482" s="22" t="s">
        <v>1487</v>
      </c>
      <c r="H482" s="22" t="s">
        <v>1488</v>
      </c>
      <c r="I482" s="22"/>
      <c r="J482" s="61" t="s">
        <v>22</v>
      </c>
      <c r="K482" s="22" t="s">
        <v>1489</v>
      </c>
      <c r="L482" s="16" t="s">
        <v>3319</v>
      </c>
      <c r="M482" s="16">
        <v>44</v>
      </c>
      <c r="N482" s="17" t="s">
        <v>659</v>
      </c>
      <c r="O482" s="17" t="str">
        <f t="shared" si="76"/>
        <v>NO</v>
      </c>
      <c r="P482" s="17" t="str">
        <f t="shared" si="77"/>
        <v>🟢</v>
      </c>
      <c r="Q482" s="60"/>
    </row>
    <row r="483" spans="1:17" ht="18" customHeight="1" x14ac:dyDescent="0.4">
      <c r="A483" s="7">
        <f t="shared" si="73"/>
        <v>482</v>
      </c>
      <c r="B483" s="13">
        <f t="shared" si="74"/>
        <v>482</v>
      </c>
      <c r="C483" s="22" t="s">
        <v>1389</v>
      </c>
      <c r="D483" s="22" t="s">
        <v>1390</v>
      </c>
      <c r="E483" s="17" t="s">
        <v>1257</v>
      </c>
      <c r="F483" s="16" t="s">
        <v>1502</v>
      </c>
      <c r="G483" s="22" t="s">
        <v>1503</v>
      </c>
      <c r="H483" s="22" t="s">
        <v>1504</v>
      </c>
      <c r="I483" s="22"/>
      <c r="J483" s="61" t="s">
        <v>22</v>
      </c>
      <c r="K483" s="22" t="s">
        <v>1505</v>
      </c>
      <c r="L483" s="16" t="s">
        <v>3319</v>
      </c>
      <c r="M483" s="16">
        <v>45</v>
      </c>
      <c r="N483" s="17" t="s">
        <v>659</v>
      </c>
      <c r="O483" s="17" t="str">
        <f t="shared" si="76"/>
        <v>NO</v>
      </c>
      <c r="P483" s="17" t="str">
        <f t="shared" si="77"/>
        <v>🟢</v>
      </c>
      <c r="Q483" s="60"/>
    </row>
    <row r="484" spans="1:17" ht="18" hidden="1" customHeight="1" x14ac:dyDescent="0.4">
      <c r="A484" s="7">
        <f t="shared" si="73"/>
        <v>483</v>
      </c>
      <c r="B484" s="13">
        <f t="shared" si="74"/>
        <v>483</v>
      </c>
      <c r="C484" s="16" t="s">
        <v>1770</v>
      </c>
      <c r="D484" s="16"/>
      <c r="E484" s="17" t="str">
        <f>IF(UPPER($J484)="NO","",$N484)</f>
        <v/>
      </c>
      <c r="F484" s="16" t="s">
        <v>1996</v>
      </c>
      <c r="G484" s="65" t="s">
        <v>478</v>
      </c>
      <c r="H484" s="65" t="s">
        <v>979</v>
      </c>
      <c r="I484" s="65" t="s">
        <v>667</v>
      </c>
      <c r="J484" s="62" t="s">
        <v>71</v>
      </c>
      <c r="K484" s="16" t="s">
        <v>1997</v>
      </c>
      <c r="L484" s="16"/>
      <c r="M484" s="16"/>
      <c r="N484" s="17" t="s">
        <v>24</v>
      </c>
      <c r="O484" s="17" t="str">
        <f t="shared" si="76"/>
        <v>NO</v>
      </c>
      <c r="P484" s="17" t="str">
        <f t="shared" si="77"/>
        <v>🔴</v>
      </c>
      <c r="Q484" s="60" t="s">
        <v>1152</v>
      </c>
    </row>
    <row r="485" spans="1:17" ht="18" customHeight="1" x14ac:dyDescent="0.4">
      <c r="A485" s="10">
        <f t="shared" si="73"/>
        <v>484</v>
      </c>
      <c r="B485" s="13">
        <f t="shared" si="74"/>
        <v>484</v>
      </c>
      <c r="C485" s="16" t="s">
        <v>1389</v>
      </c>
      <c r="D485" s="16" t="s">
        <v>1397</v>
      </c>
      <c r="E485" s="17" t="s">
        <v>1257</v>
      </c>
      <c r="F485" s="16" t="s">
        <v>1506</v>
      </c>
      <c r="G485" s="16" t="s">
        <v>1333</v>
      </c>
      <c r="H485" s="16" t="s">
        <v>1507</v>
      </c>
      <c r="I485" s="16" t="s">
        <v>1508</v>
      </c>
      <c r="J485" s="61" t="s">
        <v>22</v>
      </c>
      <c r="K485" s="16" t="s">
        <v>1509</v>
      </c>
      <c r="L485" s="16" t="s">
        <v>3319</v>
      </c>
      <c r="M485" s="16">
        <v>46</v>
      </c>
      <c r="N485" s="17" t="s">
        <v>659</v>
      </c>
      <c r="O485" s="17" t="str">
        <f t="shared" si="76"/>
        <v>NO</v>
      </c>
      <c r="P485" s="17" t="str">
        <f t="shared" si="77"/>
        <v>🟢</v>
      </c>
      <c r="Q485" s="60"/>
    </row>
    <row r="486" spans="1:17" ht="18" hidden="1" customHeight="1" x14ac:dyDescent="0.4">
      <c r="A486" s="7">
        <f t="shared" si="73"/>
        <v>485</v>
      </c>
      <c r="B486" s="13">
        <f t="shared" si="74"/>
        <v>485</v>
      </c>
      <c r="C486" s="16" t="s">
        <v>1770</v>
      </c>
      <c r="D486" s="16"/>
      <c r="E486" s="17" t="str">
        <f>IF(UPPER($J486)="NO","",$N486)</f>
        <v/>
      </c>
      <c r="F486" s="16" t="s">
        <v>2003</v>
      </c>
      <c r="G486" s="16" t="s">
        <v>35</v>
      </c>
      <c r="H486" s="16" t="s">
        <v>2004</v>
      </c>
      <c r="I486" s="16" t="s">
        <v>2005</v>
      </c>
      <c r="J486" s="62" t="s">
        <v>71</v>
      </c>
      <c r="K486" s="16" t="s">
        <v>2006</v>
      </c>
      <c r="L486" s="16"/>
      <c r="M486" s="16"/>
      <c r="N486" s="17" t="s">
        <v>1257</v>
      </c>
      <c r="O486" s="17" t="str">
        <f t="shared" si="76"/>
        <v>NO</v>
      </c>
      <c r="P486" s="17" t="str">
        <f t="shared" si="77"/>
        <v>🔴</v>
      </c>
      <c r="Q486" s="60"/>
    </row>
    <row r="487" spans="1:17" ht="18" customHeight="1" x14ac:dyDescent="0.4">
      <c r="A487" s="10">
        <f t="shared" ref="A487:A518" si="78">IF(COUNTA(C487:K487)=0,"",ROW()-1)</f>
        <v>486</v>
      </c>
      <c r="B487" s="13">
        <f t="shared" ref="B487:B515" si="79">IF($F487&lt;&gt;"",$A487,"")</f>
        <v>486</v>
      </c>
      <c r="C487" s="16" t="s">
        <v>1389</v>
      </c>
      <c r="D487" s="16" t="s">
        <v>1397</v>
      </c>
      <c r="E487" s="17" t="s">
        <v>1257</v>
      </c>
      <c r="F487" s="16" t="s">
        <v>1538</v>
      </c>
      <c r="G487" s="16" t="s">
        <v>68</v>
      </c>
      <c r="H487" s="16" t="s">
        <v>616</v>
      </c>
      <c r="I487" s="16" t="s">
        <v>585</v>
      </c>
      <c r="J487" s="61" t="s">
        <v>22</v>
      </c>
      <c r="K487" s="16" t="s">
        <v>1539</v>
      </c>
      <c r="L487" s="16" t="s">
        <v>3319</v>
      </c>
      <c r="M487" s="16">
        <v>47</v>
      </c>
      <c r="N487" s="17" t="s">
        <v>659</v>
      </c>
      <c r="O487" s="17" t="str">
        <f t="shared" ref="O487:O515" si="80">IF(AND(UPPER($N487)="VIP",UPPER($J487)&lt;&gt;"NO",$F487&lt;&gt;""),"SI","NO")</f>
        <v>NO</v>
      </c>
      <c r="P487" s="17" t="str">
        <f t="shared" si="77"/>
        <v>🟢</v>
      </c>
      <c r="Q487" s="60"/>
    </row>
    <row r="488" spans="1:17" ht="18" hidden="1" customHeight="1" x14ac:dyDescent="0.4">
      <c r="A488" s="7">
        <f t="shared" si="78"/>
        <v>487</v>
      </c>
      <c r="B488" s="13">
        <f t="shared" si="79"/>
        <v>487</v>
      </c>
      <c r="C488" s="28" t="s">
        <v>1770</v>
      </c>
      <c r="D488" s="28" t="s">
        <v>670</v>
      </c>
      <c r="E488" s="29" t="str">
        <f>IF(UPPER($J488)="NO","",$N488)</f>
        <v>VIP</v>
      </c>
      <c r="F488" s="16" t="s">
        <v>2011</v>
      </c>
      <c r="G488" s="28" t="s">
        <v>473</v>
      </c>
      <c r="H488" s="28" t="s">
        <v>2012</v>
      </c>
      <c r="I488" s="28" t="s">
        <v>783</v>
      </c>
      <c r="J488" s="61" t="s">
        <v>22</v>
      </c>
      <c r="K488" s="28" t="s">
        <v>2013</v>
      </c>
      <c r="L488" s="16"/>
      <c r="M488" s="16"/>
      <c r="N488" s="17" t="s">
        <v>24</v>
      </c>
      <c r="O488" s="17" t="str">
        <f t="shared" si="80"/>
        <v>SI</v>
      </c>
      <c r="P488" s="17" t="str">
        <f t="shared" si="77"/>
        <v>🟢</v>
      </c>
      <c r="Q488" s="60" t="s">
        <v>1152</v>
      </c>
    </row>
    <row r="489" spans="1:17" ht="18" customHeight="1" x14ac:dyDescent="0.4">
      <c r="A489" s="10">
        <f t="shared" si="78"/>
        <v>488</v>
      </c>
      <c r="B489" s="13">
        <f t="shared" si="79"/>
        <v>488</v>
      </c>
      <c r="C489" s="28" t="s">
        <v>1770</v>
      </c>
      <c r="D489" s="28"/>
      <c r="E489" s="17" t="s">
        <v>1257</v>
      </c>
      <c r="F489" s="16" t="s">
        <v>2067</v>
      </c>
      <c r="G489" s="28" t="s">
        <v>1545</v>
      </c>
      <c r="H489" s="28" t="s">
        <v>2068</v>
      </c>
      <c r="I489" s="28"/>
      <c r="J489" s="64" t="s">
        <v>22</v>
      </c>
      <c r="K489" s="28" t="s">
        <v>2069</v>
      </c>
      <c r="L489" s="16" t="s">
        <v>3320</v>
      </c>
      <c r="M489" s="16">
        <v>37</v>
      </c>
      <c r="N489" s="17" t="s">
        <v>1257</v>
      </c>
      <c r="O489" s="17" t="str">
        <f t="shared" si="80"/>
        <v>NO</v>
      </c>
      <c r="P489" s="17" t="str">
        <f t="shared" si="77"/>
        <v>🟢</v>
      </c>
      <c r="Q489" s="60"/>
    </row>
    <row r="490" spans="1:17" ht="18" customHeight="1" x14ac:dyDescent="0.4">
      <c r="A490" s="10">
        <f t="shared" si="78"/>
        <v>489</v>
      </c>
      <c r="B490" s="13">
        <f t="shared" si="79"/>
        <v>489</v>
      </c>
      <c r="C490" s="30" t="s">
        <v>2162</v>
      </c>
      <c r="D490" s="30"/>
      <c r="E490" s="17" t="s">
        <v>1257</v>
      </c>
      <c r="F490" s="16" t="s">
        <v>2360</v>
      </c>
      <c r="G490" s="30" t="s">
        <v>2361</v>
      </c>
      <c r="H490" s="30" t="s">
        <v>2362</v>
      </c>
      <c r="I490" s="30"/>
      <c r="J490" s="61" t="s">
        <v>22</v>
      </c>
      <c r="K490" s="30" t="s">
        <v>2363</v>
      </c>
      <c r="L490" s="16" t="s">
        <v>3318</v>
      </c>
      <c r="M490" s="16">
        <v>39</v>
      </c>
      <c r="N490" s="17" t="s">
        <v>659</v>
      </c>
      <c r="O490" s="17" t="str">
        <f t="shared" si="80"/>
        <v>NO</v>
      </c>
      <c r="P490" s="17" t="str">
        <f t="shared" si="77"/>
        <v>🟢</v>
      </c>
      <c r="Q490" s="60"/>
    </row>
    <row r="491" spans="1:17" ht="18" customHeight="1" x14ac:dyDescent="0.4">
      <c r="A491" s="10">
        <f t="shared" si="78"/>
        <v>490</v>
      </c>
      <c r="B491" s="13">
        <f t="shared" si="79"/>
        <v>490</v>
      </c>
      <c r="C491" s="30" t="s">
        <v>2162</v>
      </c>
      <c r="D491" s="30"/>
      <c r="E491" s="17" t="s">
        <v>1257</v>
      </c>
      <c r="F491" s="16" t="s">
        <v>2367</v>
      </c>
      <c r="G491" s="30" t="s">
        <v>704</v>
      </c>
      <c r="H491" s="30" t="s">
        <v>116</v>
      </c>
      <c r="I491" s="30" t="s">
        <v>2368</v>
      </c>
      <c r="J491" s="61" t="s">
        <v>22</v>
      </c>
      <c r="K491" s="30" t="s">
        <v>2369</v>
      </c>
      <c r="L491" s="16" t="s">
        <v>3318</v>
      </c>
      <c r="M491" s="16">
        <v>40</v>
      </c>
      <c r="N491" s="17" t="s">
        <v>659</v>
      </c>
      <c r="O491" s="17" t="str">
        <f t="shared" si="80"/>
        <v>NO</v>
      </c>
      <c r="P491" s="17" t="str">
        <f t="shared" si="77"/>
        <v>🟢</v>
      </c>
      <c r="Q491" s="60"/>
    </row>
    <row r="492" spans="1:17" ht="18" customHeight="1" x14ac:dyDescent="0.4">
      <c r="A492" s="10">
        <f t="shared" si="78"/>
        <v>491</v>
      </c>
      <c r="B492" s="13">
        <f t="shared" si="79"/>
        <v>491</v>
      </c>
      <c r="C492" s="16" t="s">
        <v>2162</v>
      </c>
      <c r="D492" s="16"/>
      <c r="E492" s="17" t="s">
        <v>1257</v>
      </c>
      <c r="F492" s="16" t="s">
        <v>2381</v>
      </c>
      <c r="G492" s="16" t="s">
        <v>992</v>
      </c>
      <c r="H492" s="16" t="s">
        <v>172</v>
      </c>
      <c r="I492" s="16" t="s">
        <v>2382</v>
      </c>
      <c r="J492" s="61" t="s">
        <v>22</v>
      </c>
      <c r="K492" s="16" t="s">
        <v>2383</v>
      </c>
      <c r="L492" s="16" t="s">
        <v>3318</v>
      </c>
      <c r="M492" s="16">
        <v>41</v>
      </c>
      <c r="N492" s="17" t="s">
        <v>659</v>
      </c>
      <c r="O492" s="17" t="str">
        <f t="shared" si="80"/>
        <v>NO</v>
      </c>
      <c r="P492" s="17" t="str">
        <f t="shared" si="77"/>
        <v>🟢</v>
      </c>
      <c r="Q492" s="60"/>
    </row>
    <row r="493" spans="1:17" ht="18" hidden="1" customHeight="1" x14ac:dyDescent="0.4">
      <c r="A493" s="10">
        <f t="shared" si="78"/>
        <v>492</v>
      </c>
      <c r="B493" s="13">
        <f t="shared" si="79"/>
        <v>492</v>
      </c>
      <c r="C493" s="28" t="s">
        <v>1770</v>
      </c>
      <c r="D493" s="28" t="s">
        <v>645</v>
      </c>
      <c r="E493" s="29" t="str">
        <f>IF(UPPER($J493)="NO","",$N493)</f>
        <v/>
      </c>
      <c r="F493" s="16" t="s">
        <v>2024</v>
      </c>
      <c r="G493" s="28" t="s">
        <v>998</v>
      </c>
      <c r="H493" s="28" t="s">
        <v>1059</v>
      </c>
      <c r="I493" s="28" t="s">
        <v>2025</v>
      </c>
      <c r="J493" s="63" t="s">
        <v>71</v>
      </c>
      <c r="K493" s="28" t="s">
        <v>2013</v>
      </c>
      <c r="L493" s="16"/>
      <c r="M493" s="16"/>
      <c r="N493" s="17" t="s">
        <v>24</v>
      </c>
      <c r="O493" s="17" t="str">
        <f t="shared" si="80"/>
        <v>NO</v>
      </c>
      <c r="P493" s="17" t="str">
        <f t="shared" si="77"/>
        <v>🔴</v>
      </c>
      <c r="Q493" s="60"/>
    </row>
    <row r="494" spans="1:17" ht="18" hidden="1" customHeight="1" x14ac:dyDescent="0.4">
      <c r="A494" s="7">
        <f t="shared" si="78"/>
        <v>493</v>
      </c>
      <c r="B494" s="13">
        <f t="shared" si="79"/>
        <v>493</v>
      </c>
      <c r="C494" s="28" t="s">
        <v>1770</v>
      </c>
      <c r="D494" s="28" t="s">
        <v>645</v>
      </c>
      <c r="E494" s="29" t="str">
        <f>IF(UPPER($J494)="NO","",$N494)</f>
        <v/>
      </c>
      <c r="F494" s="16" t="s">
        <v>2026</v>
      </c>
      <c r="G494" s="28" t="s">
        <v>2027</v>
      </c>
      <c r="H494" s="28" t="s">
        <v>172</v>
      </c>
      <c r="I494" s="28" t="s">
        <v>947</v>
      </c>
      <c r="J494" s="62" t="s">
        <v>71</v>
      </c>
      <c r="K494" s="28" t="s">
        <v>2013</v>
      </c>
      <c r="L494" s="16"/>
      <c r="M494" s="16"/>
      <c r="N494" s="17" t="s">
        <v>1257</v>
      </c>
      <c r="O494" s="17" t="str">
        <f t="shared" si="80"/>
        <v>NO</v>
      </c>
      <c r="P494" s="17" t="str">
        <f t="shared" si="77"/>
        <v>🔴</v>
      </c>
      <c r="Q494" s="60"/>
    </row>
    <row r="495" spans="1:17" ht="18" customHeight="1" x14ac:dyDescent="0.4">
      <c r="A495" s="10">
        <f t="shared" si="78"/>
        <v>494</v>
      </c>
      <c r="B495" s="13">
        <f t="shared" si="79"/>
        <v>494</v>
      </c>
      <c r="C495" s="28" t="s">
        <v>1770</v>
      </c>
      <c r="D495" s="28" t="s">
        <v>1379</v>
      </c>
      <c r="E495" s="17" t="s">
        <v>1257</v>
      </c>
      <c r="F495" s="16" t="s">
        <v>2019</v>
      </c>
      <c r="G495" s="28" t="s">
        <v>465</v>
      </c>
      <c r="H495" s="28" t="s">
        <v>1381</v>
      </c>
      <c r="I495" s="28" t="s">
        <v>1382</v>
      </c>
      <c r="J495" s="61" t="s">
        <v>22</v>
      </c>
      <c r="K495" s="28" t="s">
        <v>2013</v>
      </c>
      <c r="L495" s="16" t="s">
        <v>3318</v>
      </c>
      <c r="M495" s="16">
        <v>42</v>
      </c>
      <c r="N495" s="17" t="s">
        <v>659</v>
      </c>
      <c r="O495" s="17" t="str">
        <f t="shared" si="80"/>
        <v>NO</v>
      </c>
      <c r="P495" s="17" t="str">
        <f t="shared" si="77"/>
        <v>🟢</v>
      </c>
      <c r="Q495" s="60"/>
    </row>
    <row r="496" spans="1:17" ht="18" customHeight="1" x14ac:dyDescent="0.4">
      <c r="A496" s="10">
        <f t="shared" si="78"/>
        <v>495</v>
      </c>
      <c r="B496" s="13">
        <f t="shared" si="79"/>
        <v>495</v>
      </c>
      <c r="C496" s="16" t="s">
        <v>1389</v>
      </c>
      <c r="D496" s="16" t="s">
        <v>1397</v>
      </c>
      <c r="E496" s="17" t="s">
        <v>1257</v>
      </c>
      <c r="F496" s="16" t="s">
        <v>1552</v>
      </c>
      <c r="G496" s="16" t="s">
        <v>1553</v>
      </c>
      <c r="H496" s="16" t="s">
        <v>1554</v>
      </c>
      <c r="I496" s="16"/>
      <c r="J496" s="61" t="s">
        <v>22</v>
      </c>
      <c r="K496" s="16" t="s">
        <v>1555</v>
      </c>
      <c r="L496" s="16" t="s">
        <v>3319</v>
      </c>
      <c r="M496" s="16">
        <v>48</v>
      </c>
      <c r="N496" s="17" t="s">
        <v>659</v>
      </c>
      <c r="O496" s="17" t="str">
        <f t="shared" si="80"/>
        <v>NO</v>
      </c>
      <c r="P496" s="17" t="str">
        <f t="shared" si="77"/>
        <v>🟢</v>
      </c>
      <c r="Q496" s="60"/>
    </row>
    <row r="497" spans="1:17" ht="18" customHeight="1" x14ac:dyDescent="0.4">
      <c r="A497" s="7">
        <f t="shared" si="78"/>
        <v>496</v>
      </c>
      <c r="B497" s="13">
        <f t="shared" si="79"/>
        <v>496</v>
      </c>
      <c r="C497" s="28" t="s">
        <v>1770</v>
      </c>
      <c r="D497" s="28"/>
      <c r="E497" s="17" t="s">
        <v>1257</v>
      </c>
      <c r="F497" s="16" t="s">
        <v>2070</v>
      </c>
      <c r="G497" s="28" t="s">
        <v>1143</v>
      </c>
      <c r="H497" s="28" t="s">
        <v>2071</v>
      </c>
      <c r="I497" s="28" t="s">
        <v>2072</v>
      </c>
      <c r="J497" s="64" t="s">
        <v>22</v>
      </c>
      <c r="K497" s="28" t="s">
        <v>2073</v>
      </c>
      <c r="L497" s="16" t="s">
        <v>3320</v>
      </c>
      <c r="M497" s="16">
        <v>38</v>
      </c>
      <c r="N497" s="17" t="s">
        <v>1257</v>
      </c>
      <c r="O497" s="17" t="str">
        <f t="shared" si="80"/>
        <v>NO</v>
      </c>
      <c r="P497" s="17" t="str">
        <f t="shared" si="77"/>
        <v>🟢</v>
      </c>
      <c r="Q497" s="60"/>
    </row>
    <row r="498" spans="1:17" ht="18" hidden="1" customHeight="1" x14ac:dyDescent="0.4">
      <c r="A498" s="7">
        <f t="shared" si="78"/>
        <v>497</v>
      </c>
      <c r="B498" s="13">
        <f t="shared" si="79"/>
        <v>497</v>
      </c>
      <c r="C498" s="28" t="s">
        <v>1770</v>
      </c>
      <c r="D498" s="28" t="s">
        <v>2035</v>
      </c>
      <c r="E498" s="29" t="str">
        <f>IF(UPPER($J498)="NO","",$N498)</f>
        <v/>
      </c>
      <c r="F498" s="16" t="s">
        <v>2036</v>
      </c>
      <c r="G498" s="28" t="s">
        <v>2037</v>
      </c>
      <c r="H498" s="28" t="s">
        <v>1480</v>
      </c>
      <c r="I498" s="28" t="s">
        <v>2038</v>
      </c>
      <c r="J498" s="63" t="s">
        <v>71</v>
      </c>
      <c r="K498" s="28" t="s">
        <v>2013</v>
      </c>
      <c r="L498" s="16"/>
      <c r="M498" s="16"/>
      <c r="N498" s="17" t="s">
        <v>1257</v>
      </c>
      <c r="O498" s="17" t="str">
        <f t="shared" si="80"/>
        <v>NO</v>
      </c>
      <c r="P498" s="17" t="str">
        <f t="shared" ref="P498:P515" si="81">IF(UPPER($J498)="SI","🟢",IF(UPPER($J498)="NO","🔴","🟡"))</f>
        <v>🔴</v>
      </c>
      <c r="Q498" s="60"/>
    </row>
    <row r="499" spans="1:17" ht="18" hidden="1" customHeight="1" x14ac:dyDescent="0.4">
      <c r="A499" s="10">
        <f t="shared" si="78"/>
        <v>498</v>
      </c>
      <c r="B499" s="13">
        <f t="shared" si="79"/>
        <v>498</v>
      </c>
      <c r="C499" s="28" t="s">
        <v>1770</v>
      </c>
      <c r="D499" s="28" t="s">
        <v>751</v>
      </c>
      <c r="E499" s="29" t="str">
        <f>IF(UPPER($J499)="NO","",$N499)</f>
        <v/>
      </c>
      <c r="F499" s="16" t="s">
        <v>2039</v>
      </c>
      <c r="G499" s="28" t="s">
        <v>35</v>
      </c>
      <c r="H499" s="28" t="s">
        <v>2040</v>
      </c>
      <c r="I499" s="28" t="s">
        <v>2041</v>
      </c>
      <c r="J499" s="62" t="s">
        <v>71</v>
      </c>
      <c r="K499" s="28" t="s">
        <v>2013</v>
      </c>
      <c r="L499" s="16"/>
      <c r="M499" s="16"/>
      <c r="N499" s="17" t="s">
        <v>1257</v>
      </c>
      <c r="O499" s="17" t="str">
        <f t="shared" si="80"/>
        <v>NO</v>
      </c>
      <c r="P499" s="17" t="str">
        <f t="shared" si="81"/>
        <v>🔴</v>
      </c>
      <c r="Q499" s="60"/>
    </row>
    <row r="500" spans="1:17" ht="18" hidden="1" customHeight="1" x14ac:dyDescent="0.4">
      <c r="A500" s="7">
        <f t="shared" si="78"/>
        <v>499</v>
      </c>
      <c r="B500" s="13">
        <f t="shared" si="79"/>
        <v>499</v>
      </c>
      <c r="C500" s="28" t="s">
        <v>1770</v>
      </c>
      <c r="D500" s="28" t="s">
        <v>751</v>
      </c>
      <c r="E500" s="29" t="str">
        <f>IF(UPPER($J500)="NO","",$N500)</f>
        <v/>
      </c>
      <c r="F500" s="16" t="s">
        <v>2042</v>
      </c>
      <c r="G500" s="28" t="s">
        <v>221</v>
      </c>
      <c r="H500" s="28" t="s">
        <v>2043</v>
      </c>
      <c r="I500" s="28" t="s">
        <v>2044</v>
      </c>
      <c r="J500" s="63" t="s">
        <v>71</v>
      </c>
      <c r="K500" s="28" t="s">
        <v>2013</v>
      </c>
      <c r="L500" s="16"/>
      <c r="M500" s="16"/>
      <c r="N500" s="17" t="s">
        <v>659</v>
      </c>
      <c r="O500" s="17" t="str">
        <f t="shared" si="80"/>
        <v>NO</v>
      </c>
      <c r="P500" s="17" t="str">
        <f t="shared" si="81"/>
        <v>🔴</v>
      </c>
      <c r="Q500" s="60"/>
    </row>
    <row r="501" spans="1:17" ht="18" customHeight="1" x14ac:dyDescent="0.4">
      <c r="A501" s="7">
        <f t="shared" si="78"/>
        <v>500</v>
      </c>
      <c r="B501" s="13">
        <f t="shared" si="79"/>
        <v>500</v>
      </c>
      <c r="C501" s="28" t="s">
        <v>1770</v>
      </c>
      <c r="D501" s="28" t="s">
        <v>2020</v>
      </c>
      <c r="E501" s="17" t="s">
        <v>1257</v>
      </c>
      <c r="F501" s="16" t="s">
        <v>2021</v>
      </c>
      <c r="G501" s="28" t="s">
        <v>554</v>
      </c>
      <c r="H501" s="28" t="s">
        <v>2022</v>
      </c>
      <c r="I501" s="28" t="s">
        <v>2023</v>
      </c>
      <c r="J501" s="61" t="s">
        <v>22</v>
      </c>
      <c r="K501" s="28" t="s">
        <v>2013</v>
      </c>
      <c r="L501" s="16" t="s">
        <v>3318</v>
      </c>
      <c r="M501" s="16">
        <v>43</v>
      </c>
      <c r="N501" s="17" t="s">
        <v>659</v>
      </c>
      <c r="O501" s="17" t="str">
        <f t="shared" si="80"/>
        <v>NO</v>
      </c>
      <c r="P501" s="17" t="str">
        <f t="shared" si="81"/>
        <v>🟢</v>
      </c>
      <c r="Q501" s="60"/>
    </row>
    <row r="502" spans="1:17" ht="18" customHeight="1" x14ac:dyDescent="0.4">
      <c r="A502" s="7">
        <f t="shared" si="78"/>
        <v>501</v>
      </c>
      <c r="B502" s="13">
        <f t="shared" si="79"/>
        <v>501</v>
      </c>
      <c r="C502" s="22" t="s">
        <v>1389</v>
      </c>
      <c r="D502" s="22" t="s">
        <v>817</v>
      </c>
      <c r="E502" s="17" t="s">
        <v>1257</v>
      </c>
      <c r="F502" s="16" t="s">
        <v>1409</v>
      </c>
      <c r="G502" s="22" t="s">
        <v>473</v>
      </c>
      <c r="H502" s="22" t="s">
        <v>1178</v>
      </c>
      <c r="I502" s="22" t="s">
        <v>947</v>
      </c>
      <c r="J502" s="61" t="s">
        <v>22</v>
      </c>
      <c r="K502" s="22" t="s">
        <v>1410</v>
      </c>
      <c r="L502" s="16" t="s">
        <v>3320</v>
      </c>
      <c r="M502" s="16">
        <v>39</v>
      </c>
      <c r="N502" s="17" t="s">
        <v>659</v>
      </c>
      <c r="O502" s="17" t="str">
        <f t="shared" si="80"/>
        <v>NO</v>
      </c>
      <c r="P502" s="17" t="str">
        <f t="shared" si="81"/>
        <v>🟢</v>
      </c>
      <c r="Q502" s="60"/>
    </row>
    <row r="503" spans="1:17" ht="18" customHeight="1" x14ac:dyDescent="0.4">
      <c r="A503" s="7">
        <f t="shared" si="78"/>
        <v>502</v>
      </c>
      <c r="B503" s="13">
        <f t="shared" si="79"/>
        <v>502</v>
      </c>
      <c r="C503" s="32" t="s">
        <v>2430</v>
      </c>
      <c r="D503" s="32" t="s">
        <v>1397</v>
      </c>
      <c r="E503" s="17" t="s">
        <v>1257</v>
      </c>
      <c r="F503" s="16" t="s">
        <v>2431</v>
      </c>
      <c r="G503" s="32" t="s">
        <v>2385</v>
      </c>
      <c r="H503" s="32" t="s">
        <v>2432</v>
      </c>
      <c r="I503" s="32" t="s">
        <v>2433</v>
      </c>
      <c r="J503" s="61" t="s">
        <v>22</v>
      </c>
      <c r="K503" s="32" t="s">
        <v>2434</v>
      </c>
      <c r="L503" s="16" t="s">
        <v>3318</v>
      </c>
      <c r="M503" s="16">
        <v>44</v>
      </c>
      <c r="N503" s="17" t="s">
        <v>659</v>
      </c>
      <c r="O503" s="17" t="str">
        <f t="shared" si="80"/>
        <v>NO</v>
      </c>
      <c r="P503" s="17" t="str">
        <f t="shared" si="81"/>
        <v>🟢</v>
      </c>
      <c r="Q503" s="60"/>
    </row>
    <row r="504" spans="1:17" ht="18" customHeight="1" x14ac:dyDescent="0.4">
      <c r="A504" s="7">
        <f t="shared" si="78"/>
        <v>503</v>
      </c>
      <c r="B504" s="13">
        <f t="shared" si="79"/>
        <v>503</v>
      </c>
      <c r="C504" s="22" t="s">
        <v>1389</v>
      </c>
      <c r="D504" s="22" t="s">
        <v>1415</v>
      </c>
      <c r="E504" s="17" t="s">
        <v>1257</v>
      </c>
      <c r="F504" s="16" t="s">
        <v>1416</v>
      </c>
      <c r="G504" s="22" t="s">
        <v>1309</v>
      </c>
      <c r="H504" s="22" t="s">
        <v>1417</v>
      </c>
      <c r="I504" s="22" t="s">
        <v>410</v>
      </c>
      <c r="J504" s="61" t="s">
        <v>22</v>
      </c>
      <c r="K504" s="22" t="s">
        <v>1414</v>
      </c>
      <c r="L504" s="16" t="s">
        <v>3320</v>
      </c>
      <c r="M504" s="16">
        <v>40</v>
      </c>
      <c r="N504" s="17" t="s">
        <v>659</v>
      </c>
      <c r="O504" s="17" t="str">
        <f t="shared" si="80"/>
        <v>NO</v>
      </c>
      <c r="P504" s="17" t="str">
        <f t="shared" si="81"/>
        <v>🟢</v>
      </c>
      <c r="Q504" s="60"/>
    </row>
    <row r="505" spans="1:17" ht="18" hidden="1" customHeight="1" x14ac:dyDescent="0.4">
      <c r="A505" s="10">
        <f t="shared" si="78"/>
        <v>504</v>
      </c>
      <c r="B505" s="13">
        <f t="shared" si="79"/>
        <v>504</v>
      </c>
      <c r="C505" s="16" t="s">
        <v>1770</v>
      </c>
      <c r="D505" s="16"/>
      <c r="E505" s="17" t="str">
        <f>IF(UPPER($J505)="NO","",$N505)</f>
        <v>VIP</v>
      </c>
      <c r="F505" s="16" t="s">
        <v>2049</v>
      </c>
      <c r="G505" s="16" t="s">
        <v>1136</v>
      </c>
      <c r="H505" s="16" t="s">
        <v>70</v>
      </c>
      <c r="I505" s="16"/>
      <c r="J505" s="61" t="s">
        <v>22</v>
      </c>
      <c r="K505" s="16" t="s">
        <v>2050</v>
      </c>
      <c r="L505" s="16"/>
      <c r="M505" s="16"/>
      <c r="N505" s="17" t="s">
        <v>24</v>
      </c>
      <c r="O505" s="17" t="str">
        <f t="shared" si="80"/>
        <v>SI</v>
      </c>
      <c r="P505" s="17" t="str">
        <f t="shared" si="81"/>
        <v>🟢</v>
      </c>
      <c r="Q505" s="60" t="s">
        <v>1152</v>
      </c>
    </row>
    <row r="506" spans="1:17" ht="18" customHeight="1" x14ac:dyDescent="0.4">
      <c r="A506" s="10">
        <f t="shared" si="78"/>
        <v>505</v>
      </c>
      <c r="B506" s="13">
        <f t="shared" si="79"/>
        <v>505</v>
      </c>
      <c r="C506" s="16" t="s">
        <v>2430</v>
      </c>
      <c r="D506" s="16" t="s">
        <v>1397</v>
      </c>
      <c r="E506" s="17" t="s">
        <v>1257</v>
      </c>
      <c r="F506" s="16" t="s">
        <v>2435</v>
      </c>
      <c r="G506" s="16" t="s">
        <v>242</v>
      </c>
      <c r="H506" s="16" t="s">
        <v>2436</v>
      </c>
      <c r="I506" s="16" t="s">
        <v>2437</v>
      </c>
      <c r="J506" s="61" t="s">
        <v>22</v>
      </c>
      <c r="K506" s="16" t="s">
        <v>2438</v>
      </c>
      <c r="L506" s="16" t="s">
        <v>3318</v>
      </c>
      <c r="M506" s="16">
        <v>45</v>
      </c>
      <c r="N506" s="17" t="s">
        <v>659</v>
      </c>
      <c r="O506" s="17" t="str">
        <f t="shared" si="80"/>
        <v>NO</v>
      </c>
      <c r="P506" s="17" t="str">
        <f t="shared" si="81"/>
        <v>🟢</v>
      </c>
      <c r="Q506" s="60"/>
    </row>
    <row r="507" spans="1:17" ht="18" hidden="1" customHeight="1" x14ac:dyDescent="0.4">
      <c r="A507" s="10">
        <f t="shared" si="78"/>
        <v>506</v>
      </c>
      <c r="B507" s="13">
        <f t="shared" si="79"/>
        <v>506</v>
      </c>
      <c r="C507" s="28" t="s">
        <v>1770</v>
      </c>
      <c r="D507" s="28"/>
      <c r="E507" s="29" t="str">
        <f>IF(UPPER($J507)="NO","",$N507)</f>
        <v>VIP</v>
      </c>
      <c r="F507" s="16" t="s">
        <v>2053</v>
      </c>
      <c r="G507" s="28" t="s">
        <v>2054</v>
      </c>
      <c r="H507" s="28" t="s">
        <v>172</v>
      </c>
      <c r="I507" s="28"/>
      <c r="J507" s="64" t="s">
        <v>22</v>
      </c>
      <c r="K507" s="65" t="s">
        <v>2055</v>
      </c>
      <c r="L507" s="16"/>
      <c r="M507" s="16"/>
      <c r="N507" s="17" t="s">
        <v>24</v>
      </c>
      <c r="O507" s="17" t="str">
        <f t="shared" si="80"/>
        <v>SI</v>
      </c>
      <c r="P507" s="17" t="str">
        <f t="shared" si="81"/>
        <v>🟢</v>
      </c>
      <c r="Q507" s="60" t="s">
        <v>1152</v>
      </c>
    </row>
    <row r="508" spans="1:17" ht="18" hidden="1" customHeight="1" x14ac:dyDescent="0.4">
      <c r="A508" s="7">
        <f t="shared" si="78"/>
        <v>507</v>
      </c>
      <c r="B508" s="13">
        <f t="shared" si="79"/>
        <v>507</v>
      </c>
      <c r="C508" s="28" t="s">
        <v>1770</v>
      </c>
      <c r="D508" s="16" t="s">
        <v>670</v>
      </c>
      <c r="E508" s="17" t="str">
        <f>IF(UPPER($J508)="NO","",$N508)</f>
        <v>VIP</v>
      </c>
      <c r="F508" s="16" t="s">
        <v>2056</v>
      </c>
      <c r="G508" s="16" t="s">
        <v>2057</v>
      </c>
      <c r="H508" s="16" t="s">
        <v>145</v>
      </c>
      <c r="I508" s="16"/>
      <c r="J508" s="61" t="s">
        <v>22</v>
      </c>
      <c r="K508" s="16" t="s">
        <v>2058</v>
      </c>
      <c r="L508" s="16"/>
      <c r="M508" s="16"/>
      <c r="N508" s="17" t="s">
        <v>24</v>
      </c>
      <c r="O508" s="17" t="str">
        <f t="shared" si="80"/>
        <v>SI</v>
      </c>
      <c r="P508" s="17" t="str">
        <f t="shared" si="81"/>
        <v>🟢</v>
      </c>
      <c r="Q508" s="60" t="s">
        <v>1152</v>
      </c>
    </row>
    <row r="509" spans="1:17" ht="18" hidden="1" customHeight="1" x14ac:dyDescent="0.4">
      <c r="A509" s="10">
        <f t="shared" si="78"/>
        <v>508</v>
      </c>
      <c r="B509" s="13">
        <f t="shared" si="79"/>
        <v>508</v>
      </c>
      <c r="C509" s="28" t="s">
        <v>1770</v>
      </c>
      <c r="D509" s="16" t="s">
        <v>46</v>
      </c>
      <c r="E509" s="17" t="str">
        <f>IF(UPPER($J509)="NO","",$N509)</f>
        <v>VIP</v>
      </c>
      <c r="F509" s="16" t="s">
        <v>2059</v>
      </c>
      <c r="G509" s="16" t="s">
        <v>2060</v>
      </c>
      <c r="H509" s="16" t="s">
        <v>1779</v>
      </c>
      <c r="I509" s="16" t="s">
        <v>2061</v>
      </c>
      <c r="J509" s="61" t="s">
        <v>22</v>
      </c>
      <c r="K509" s="65" t="s">
        <v>2062</v>
      </c>
      <c r="L509" s="16"/>
      <c r="M509" s="16"/>
      <c r="N509" s="17" t="s">
        <v>24</v>
      </c>
      <c r="O509" s="17" t="str">
        <f t="shared" si="80"/>
        <v>SI</v>
      </c>
      <c r="P509" s="17" t="str">
        <f t="shared" si="81"/>
        <v>🟢</v>
      </c>
      <c r="Q509" s="60" t="s">
        <v>1152</v>
      </c>
    </row>
    <row r="510" spans="1:17" ht="18" customHeight="1" x14ac:dyDescent="0.4">
      <c r="A510" s="10">
        <f t="shared" si="78"/>
        <v>509</v>
      </c>
      <c r="B510" s="13">
        <f t="shared" si="79"/>
        <v>509</v>
      </c>
      <c r="C510" s="16" t="s">
        <v>1319</v>
      </c>
      <c r="D510" s="16" t="s">
        <v>817</v>
      </c>
      <c r="E510" s="17" t="s">
        <v>1257</v>
      </c>
      <c r="F510" s="16" t="s">
        <v>1336</v>
      </c>
      <c r="G510" s="16" t="s">
        <v>1337</v>
      </c>
      <c r="H510" s="16" t="s">
        <v>1338</v>
      </c>
      <c r="I510" s="16"/>
      <c r="J510" s="62" t="s">
        <v>22</v>
      </c>
      <c r="K510" s="16" t="s">
        <v>1339</v>
      </c>
      <c r="L510" s="16" t="s">
        <v>3320</v>
      </c>
      <c r="M510" s="16">
        <v>41</v>
      </c>
      <c r="N510" s="17" t="s">
        <v>24</v>
      </c>
      <c r="O510" s="17" t="str">
        <f t="shared" si="80"/>
        <v>SI</v>
      </c>
      <c r="P510" s="17" t="str">
        <f t="shared" si="81"/>
        <v>🟢</v>
      </c>
      <c r="Q510" s="60" t="s">
        <v>1152</v>
      </c>
    </row>
    <row r="511" spans="1:17" ht="18" customHeight="1" x14ac:dyDescent="0.4">
      <c r="A511" s="10">
        <f t="shared" si="78"/>
        <v>510</v>
      </c>
      <c r="B511" s="13">
        <f t="shared" si="79"/>
        <v>510</v>
      </c>
      <c r="C511" s="28" t="s">
        <v>1770</v>
      </c>
      <c r="D511" s="28"/>
      <c r="E511" s="17" t="s">
        <v>1257</v>
      </c>
      <c r="F511" s="16" t="s">
        <v>2074</v>
      </c>
      <c r="G511" s="28" t="s">
        <v>473</v>
      </c>
      <c r="H511" s="28" t="s">
        <v>2075</v>
      </c>
      <c r="I511" s="28"/>
      <c r="J511" s="64" t="s">
        <v>22</v>
      </c>
      <c r="K511" s="28" t="s">
        <v>2076</v>
      </c>
      <c r="L511" s="16" t="s">
        <v>3320</v>
      </c>
      <c r="M511" s="16">
        <v>42</v>
      </c>
      <c r="N511" s="17" t="s">
        <v>1257</v>
      </c>
      <c r="O511" s="17" t="str">
        <f t="shared" si="80"/>
        <v>NO</v>
      </c>
      <c r="P511" s="17" t="str">
        <f t="shared" si="81"/>
        <v>🟢</v>
      </c>
      <c r="Q511" s="60"/>
    </row>
    <row r="512" spans="1:17" ht="18" customHeight="1" x14ac:dyDescent="0.4">
      <c r="A512" s="10">
        <f t="shared" si="78"/>
        <v>511</v>
      </c>
      <c r="B512" s="13">
        <f t="shared" si="79"/>
        <v>511</v>
      </c>
      <c r="C512" s="28" t="s">
        <v>1770</v>
      </c>
      <c r="D512" s="28"/>
      <c r="E512" s="17" t="s">
        <v>1257</v>
      </c>
      <c r="F512" s="16" t="s">
        <v>2045</v>
      </c>
      <c r="G512" s="28" t="s">
        <v>120</v>
      </c>
      <c r="H512" s="28" t="s">
        <v>1071</v>
      </c>
      <c r="I512" s="28" t="s">
        <v>145</v>
      </c>
      <c r="J512" s="61" t="s">
        <v>22</v>
      </c>
      <c r="K512" s="28" t="s">
        <v>2013</v>
      </c>
      <c r="L512" s="16" t="s">
        <v>3320</v>
      </c>
      <c r="M512" s="16">
        <v>43</v>
      </c>
      <c r="N512" s="17" t="s">
        <v>659</v>
      </c>
      <c r="O512" s="17" t="str">
        <f t="shared" si="80"/>
        <v>NO</v>
      </c>
      <c r="P512" s="17" t="str">
        <f t="shared" si="81"/>
        <v>🟢</v>
      </c>
      <c r="Q512" s="60"/>
    </row>
    <row r="513" spans="1:17" ht="18" customHeight="1" x14ac:dyDescent="0.4">
      <c r="A513" s="10">
        <f t="shared" si="78"/>
        <v>512</v>
      </c>
      <c r="B513" s="13">
        <f t="shared" si="79"/>
        <v>512</v>
      </c>
      <c r="C513" s="16" t="s">
        <v>2162</v>
      </c>
      <c r="D513" s="16" t="s">
        <v>2373</v>
      </c>
      <c r="E513" s="17" t="s">
        <v>1257</v>
      </c>
      <c r="F513" s="16" t="s">
        <v>2374</v>
      </c>
      <c r="G513" s="16" t="s">
        <v>91</v>
      </c>
      <c r="H513" s="16" t="s">
        <v>2375</v>
      </c>
      <c r="I513" s="16" t="s">
        <v>2376</v>
      </c>
      <c r="J513" s="61" t="s">
        <v>22</v>
      </c>
      <c r="K513" s="16" t="s">
        <v>2377</v>
      </c>
      <c r="L513" s="16" t="s">
        <v>3320</v>
      </c>
      <c r="M513" s="16">
        <v>44</v>
      </c>
      <c r="N513" s="17" t="s">
        <v>659</v>
      </c>
      <c r="O513" s="17" t="str">
        <f t="shared" si="80"/>
        <v>NO</v>
      </c>
      <c r="P513" s="17" t="str">
        <f t="shared" si="81"/>
        <v>🟢</v>
      </c>
      <c r="Q513" s="60"/>
    </row>
    <row r="514" spans="1:17" ht="18" customHeight="1" x14ac:dyDescent="0.4">
      <c r="A514" s="10">
        <f t="shared" si="78"/>
        <v>513</v>
      </c>
      <c r="B514" s="13">
        <f t="shared" si="79"/>
        <v>513</v>
      </c>
      <c r="C514" s="16" t="s">
        <v>1389</v>
      </c>
      <c r="D514" s="16" t="s">
        <v>1470</v>
      </c>
      <c r="E514" s="17" t="s">
        <v>1257</v>
      </c>
      <c r="F514" s="16" t="s">
        <v>1560</v>
      </c>
      <c r="G514" s="16" t="s">
        <v>519</v>
      </c>
      <c r="H514" s="16" t="s">
        <v>1561</v>
      </c>
      <c r="I514" s="16" t="s">
        <v>1562</v>
      </c>
      <c r="J514" s="61" t="s">
        <v>22</v>
      </c>
      <c r="K514" s="16" t="s">
        <v>1563</v>
      </c>
      <c r="L514" s="16" t="s">
        <v>3319</v>
      </c>
      <c r="M514" s="16">
        <v>49</v>
      </c>
      <c r="N514" s="17" t="s">
        <v>659</v>
      </c>
      <c r="O514" s="17" t="str">
        <f t="shared" si="80"/>
        <v>NO</v>
      </c>
      <c r="P514" s="17" t="str">
        <f t="shared" si="81"/>
        <v>🟢</v>
      </c>
      <c r="Q514" s="60"/>
    </row>
    <row r="515" spans="1:17" ht="18" customHeight="1" x14ac:dyDescent="0.4">
      <c r="A515" s="10">
        <f t="shared" si="78"/>
        <v>514</v>
      </c>
      <c r="B515" s="13">
        <f t="shared" si="79"/>
        <v>514</v>
      </c>
      <c r="C515" s="32" t="s">
        <v>2441</v>
      </c>
      <c r="D515" s="32" t="s">
        <v>1397</v>
      </c>
      <c r="E515" s="17" t="s">
        <v>1257</v>
      </c>
      <c r="F515" s="16" t="s">
        <v>2442</v>
      </c>
      <c r="G515" s="32" t="s">
        <v>498</v>
      </c>
      <c r="H515" s="32" t="s">
        <v>2443</v>
      </c>
      <c r="I515" s="32" t="s">
        <v>2444</v>
      </c>
      <c r="J515" s="61" t="s">
        <v>22</v>
      </c>
      <c r="K515" s="32" t="s">
        <v>2445</v>
      </c>
      <c r="L515" s="16" t="s">
        <v>3318</v>
      </c>
      <c r="M515" s="16">
        <v>46</v>
      </c>
      <c r="N515" s="17" t="s">
        <v>659</v>
      </c>
      <c r="O515" s="17" t="str">
        <f t="shared" si="80"/>
        <v>NO</v>
      </c>
      <c r="P515" s="17" t="str">
        <f t="shared" si="81"/>
        <v>🟢</v>
      </c>
      <c r="Q515" s="60"/>
    </row>
    <row r="516" spans="1:17" ht="18" hidden="1" customHeight="1" x14ac:dyDescent="0.4">
      <c r="A516" s="7">
        <f t="shared" si="78"/>
        <v>515</v>
      </c>
      <c r="B516" s="13"/>
      <c r="C516" s="28"/>
      <c r="D516" s="28"/>
      <c r="E516" s="29"/>
      <c r="F516" s="16"/>
      <c r="G516" s="16" t="s">
        <v>513</v>
      </c>
      <c r="H516" s="16" t="s">
        <v>3310</v>
      </c>
      <c r="I516" s="16" t="s">
        <v>3311</v>
      </c>
      <c r="J516" s="62" t="s">
        <v>71</v>
      </c>
      <c r="K516" s="28" t="s">
        <v>2013</v>
      </c>
      <c r="L516" s="16"/>
      <c r="M516" s="16"/>
      <c r="N516" s="17"/>
      <c r="O516" s="17"/>
      <c r="P516" s="17"/>
      <c r="Q516" s="60"/>
    </row>
    <row r="517" spans="1:17" ht="18" customHeight="1" x14ac:dyDescent="0.4">
      <c r="A517" s="7">
        <f t="shared" si="78"/>
        <v>516</v>
      </c>
      <c r="B517" s="13">
        <f t="shared" ref="B517:B547" si="82">IF($F517&lt;&gt;"",$A517,"")</f>
        <v>516</v>
      </c>
      <c r="C517" s="16" t="s">
        <v>2532</v>
      </c>
      <c r="D517" s="16" t="s">
        <v>826</v>
      </c>
      <c r="E517" s="17" t="s">
        <v>1257</v>
      </c>
      <c r="F517" s="16" t="s">
        <v>2533</v>
      </c>
      <c r="G517" s="16" t="s">
        <v>2534</v>
      </c>
      <c r="H517" s="16" t="s">
        <v>2535</v>
      </c>
      <c r="I517" s="16" t="s">
        <v>2536</v>
      </c>
      <c r="J517" s="61" t="s">
        <v>22</v>
      </c>
      <c r="K517" s="16" t="s">
        <v>2537</v>
      </c>
      <c r="L517" s="16" t="s">
        <v>3318</v>
      </c>
      <c r="M517" s="16">
        <v>47</v>
      </c>
      <c r="N517" s="17" t="s">
        <v>659</v>
      </c>
      <c r="O517" s="17" t="str">
        <f t="shared" ref="O517:O547" si="83">IF(AND(UPPER($N517)="VIP",UPPER($J517)&lt;&gt;"NO",$F517&lt;&gt;""),"SI","NO")</f>
        <v>NO</v>
      </c>
      <c r="P517" s="17" t="str">
        <f t="shared" ref="P517:P547" si="84">IF(UPPER($J517)="SI","🟢",IF(UPPER($J517)="NO","🔴","🟡"))</f>
        <v>🟢</v>
      </c>
      <c r="Q517" s="60"/>
    </row>
    <row r="518" spans="1:17" ht="18" hidden="1" customHeight="1" x14ac:dyDescent="0.4">
      <c r="A518" s="7">
        <f t="shared" si="78"/>
        <v>517</v>
      </c>
      <c r="B518" s="13">
        <f t="shared" si="82"/>
        <v>517</v>
      </c>
      <c r="C518" s="28" t="s">
        <v>1770</v>
      </c>
      <c r="D518" s="16"/>
      <c r="E518" s="17" t="str">
        <f>IF(UPPER($J518)="NO","",$N518)</f>
        <v/>
      </c>
      <c r="F518" s="16" t="s">
        <v>2087</v>
      </c>
      <c r="G518" s="16" t="s">
        <v>2088</v>
      </c>
      <c r="H518" s="16" t="s">
        <v>43</v>
      </c>
      <c r="I518" s="16" t="s">
        <v>2089</v>
      </c>
      <c r="J518" s="62" t="s">
        <v>71</v>
      </c>
      <c r="K518" s="11" t="s">
        <v>2090</v>
      </c>
      <c r="L518" s="16"/>
      <c r="M518" s="16"/>
      <c r="N518" s="17" t="s">
        <v>1257</v>
      </c>
      <c r="O518" s="17" t="str">
        <f t="shared" si="83"/>
        <v>NO</v>
      </c>
      <c r="P518" s="17" t="str">
        <f t="shared" si="84"/>
        <v>🔴</v>
      </c>
      <c r="Q518" s="60"/>
    </row>
    <row r="519" spans="1:17" ht="18" customHeight="1" x14ac:dyDescent="0.4">
      <c r="A519" s="7">
        <f t="shared" ref="A519:A548" si="85">IF(COUNTA(C519:K519)=0,"",ROW()-1)</f>
        <v>518</v>
      </c>
      <c r="B519" s="7">
        <f t="shared" si="82"/>
        <v>518</v>
      </c>
      <c r="C519" s="8" t="s">
        <v>16</v>
      </c>
      <c r="D519" s="16" t="s">
        <v>1397</v>
      </c>
      <c r="E519" s="17" t="s">
        <v>1257</v>
      </c>
      <c r="F519" s="8" t="s">
        <v>791</v>
      </c>
      <c r="G519" s="8" t="s">
        <v>792</v>
      </c>
      <c r="H519" s="8" t="s">
        <v>793</v>
      </c>
      <c r="I519" s="8" t="s">
        <v>382</v>
      </c>
      <c r="J519" s="61" t="s">
        <v>22</v>
      </c>
      <c r="K519" s="8" t="s">
        <v>794</v>
      </c>
      <c r="L519" s="8" t="s">
        <v>3319</v>
      </c>
      <c r="M519" s="8">
        <v>50</v>
      </c>
      <c r="N519" s="9" t="s">
        <v>659</v>
      </c>
      <c r="O519" s="9" t="str">
        <f t="shared" si="83"/>
        <v>NO</v>
      </c>
      <c r="P519" s="9" t="str">
        <f t="shared" si="84"/>
        <v>🟢</v>
      </c>
      <c r="Q519" s="58"/>
    </row>
    <row r="520" spans="1:17" ht="18" hidden="1" customHeight="1" x14ac:dyDescent="0.4">
      <c r="A520" s="7">
        <f t="shared" si="85"/>
        <v>519</v>
      </c>
      <c r="B520" s="13">
        <f t="shared" si="82"/>
        <v>519</v>
      </c>
      <c r="C520" s="28" t="s">
        <v>1770</v>
      </c>
      <c r="D520" s="16"/>
      <c r="E520" s="17" t="str">
        <f>IF(UPPER($J520)="NO","",$N520)</f>
        <v/>
      </c>
      <c r="F520" s="16" t="s">
        <v>2095</v>
      </c>
      <c r="G520" s="16" t="s">
        <v>2096</v>
      </c>
      <c r="H520" s="16" t="s">
        <v>2097</v>
      </c>
      <c r="I520" s="16" t="s">
        <v>2098</v>
      </c>
      <c r="J520" s="62" t="s">
        <v>71</v>
      </c>
      <c r="K520" s="11" t="s">
        <v>2099</v>
      </c>
      <c r="L520" s="16"/>
      <c r="M520" s="16"/>
      <c r="N520" s="17" t="s">
        <v>1257</v>
      </c>
      <c r="O520" s="17" t="str">
        <f t="shared" si="83"/>
        <v>NO</v>
      </c>
      <c r="P520" s="17" t="str">
        <f t="shared" si="84"/>
        <v>🔴</v>
      </c>
      <c r="Q520" s="60"/>
    </row>
    <row r="521" spans="1:17" ht="18" customHeight="1" x14ac:dyDescent="0.4">
      <c r="A521" s="10">
        <f t="shared" si="85"/>
        <v>520</v>
      </c>
      <c r="B521" s="10">
        <f t="shared" si="82"/>
        <v>520</v>
      </c>
      <c r="C521" s="11" t="s">
        <v>16</v>
      </c>
      <c r="D521" s="16" t="s">
        <v>1397</v>
      </c>
      <c r="E521" s="17" t="s">
        <v>1257</v>
      </c>
      <c r="F521" s="11" t="s">
        <v>795</v>
      </c>
      <c r="G521" s="11" t="s">
        <v>615</v>
      </c>
      <c r="H521" s="11" t="s">
        <v>796</v>
      </c>
      <c r="I521" s="11" t="s">
        <v>221</v>
      </c>
      <c r="J521" s="61" t="s">
        <v>22</v>
      </c>
      <c r="K521" s="11" t="s">
        <v>794</v>
      </c>
      <c r="L521" s="11" t="s">
        <v>3319</v>
      </c>
      <c r="M521" s="11">
        <v>51</v>
      </c>
      <c r="N521" s="12" t="s">
        <v>659</v>
      </c>
      <c r="O521" s="12" t="str">
        <f t="shared" si="83"/>
        <v>NO</v>
      </c>
      <c r="P521" s="12" t="str">
        <f t="shared" si="84"/>
        <v>🟢</v>
      </c>
      <c r="Q521" s="59"/>
    </row>
    <row r="522" spans="1:17" ht="18" hidden="1" customHeight="1" x14ac:dyDescent="0.4">
      <c r="A522" s="7">
        <f t="shared" si="85"/>
        <v>521</v>
      </c>
      <c r="B522" s="13">
        <f t="shared" si="82"/>
        <v>521</v>
      </c>
      <c r="C522" s="28" t="s">
        <v>1770</v>
      </c>
      <c r="D522" s="16"/>
      <c r="E522" s="17" t="str">
        <f>IF(UPPER($J522)="NO","",$N522)</f>
        <v/>
      </c>
      <c r="F522" s="16" t="s">
        <v>2102</v>
      </c>
      <c r="G522" s="16" t="s">
        <v>2103</v>
      </c>
      <c r="H522" s="16" t="s">
        <v>2104</v>
      </c>
      <c r="I522" s="16" t="s">
        <v>965</v>
      </c>
      <c r="J522" s="62" t="s">
        <v>71</v>
      </c>
      <c r="K522" s="11" t="s">
        <v>2105</v>
      </c>
      <c r="L522" s="16"/>
      <c r="M522" s="16"/>
      <c r="N522" s="17" t="s">
        <v>1257</v>
      </c>
      <c r="O522" s="17" t="str">
        <f t="shared" si="83"/>
        <v>NO</v>
      </c>
      <c r="P522" s="17" t="str">
        <f t="shared" si="84"/>
        <v>🔴</v>
      </c>
      <c r="Q522" s="60"/>
    </row>
    <row r="523" spans="1:17" ht="18" hidden="1" customHeight="1" x14ac:dyDescent="0.4">
      <c r="A523" s="10">
        <f t="shared" si="85"/>
        <v>522</v>
      </c>
      <c r="B523" s="13">
        <f t="shared" si="82"/>
        <v>522</v>
      </c>
      <c r="C523" s="28" t="s">
        <v>1770</v>
      </c>
      <c r="D523" s="28"/>
      <c r="E523" s="29" t="str">
        <f>IF(UPPER($J523)="NO","",$N523)</f>
        <v/>
      </c>
      <c r="F523" s="16" t="s">
        <v>2106</v>
      </c>
      <c r="G523" s="28" t="s">
        <v>2107</v>
      </c>
      <c r="H523" s="28" t="s">
        <v>2108</v>
      </c>
      <c r="I523" s="28"/>
      <c r="J523" s="63" t="s">
        <v>71</v>
      </c>
      <c r="K523" s="28" t="s">
        <v>2109</v>
      </c>
      <c r="L523" s="16"/>
      <c r="M523" s="16"/>
      <c r="N523" s="17" t="s">
        <v>1257</v>
      </c>
      <c r="O523" s="17" t="str">
        <f t="shared" si="83"/>
        <v>NO</v>
      </c>
      <c r="P523" s="17" t="str">
        <f t="shared" si="84"/>
        <v>🔴</v>
      </c>
      <c r="Q523" s="60"/>
    </row>
    <row r="524" spans="1:17" ht="18" hidden="1" customHeight="1" x14ac:dyDescent="0.4">
      <c r="A524" s="7">
        <f t="shared" si="85"/>
        <v>523</v>
      </c>
      <c r="B524" s="13">
        <f t="shared" si="82"/>
        <v>523</v>
      </c>
      <c r="C524" s="16" t="s">
        <v>1770</v>
      </c>
      <c r="D524" s="16"/>
      <c r="E524" s="17" t="str">
        <f>IF(UPPER($J524)="NO","",$N524)</f>
        <v/>
      </c>
      <c r="F524" s="16" t="s">
        <v>2110</v>
      </c>
      <c r="G524" s="16" t="s">
        <v>562</v>
      </c>
      <c r="H524" s="16" t="s">
        <v>490</v>
      </c>
      <c r="I524" s="16" t="s">
        <v>2111</v>
      </c>
      <c r="J524" s="63" t="s">
        <v>71</v>
      </c>
      <c r="K524" s="16" t="s">
        <v>2112</v>
      </c>
      <c r="L524" s="16"/>
      <c r="M524" s="16"/>
      <c r="N524" s="17"/>
      <c r="O524" s="17" t="str">
        <f t="shared" si="83"/>
        <v>NO</v>
      </c>
      <c r="P524" s="17" t="str">
        <f t="shared" si="84"/>
        <v>🔴</v>
      </c>
      <c r="Q524" s="60"/>
    </row>
    <row r="525" spans="1:17" ht="18" hidden="1" customHeight="1" x14ac:dyDescent="0.4">
      <c r="A525" s="10">
        <f t="shared" si="85"/>
        <v>524</v>
      </c>
      <c r="B525" s="13">
        <f t="shared" si="82"/>
        <v>524</v>
      </c>
      <c r="C525" s="28" t="s">
        <v>1770</v>
      </c>
      <c r="D525" s="28"/>
      <c r="E525" s="29" t="str">
        <f>IF(UPPER($J525)="NO","",$N525)</f>
        <v/>
      </c>
      <c r="F525" s="16" t="s">
        <v>2113</v>
      </c>
      <c r="G525" s="28" t="s">
        <v>2114</v>
      </c>
      <c r="H525" s="28" t="s">
        <v>2115</v>
      </c>
      <c r="I525" s="28" t="s">
        <v>2116</v>
      </c>
      <c r="J525" s="63" t="s">
        <v>71</v>
      </c>
      <c r="K525" s="28" t="s">
        <v>2117</v>
      </c>
      <c r="L525" s="16"/>
      <c r="M525" s="16"/>
      <c r="N525" s="17"/>
      <c r="O525" s="17" t="str">
        <f t="shared" si="83"/>
        <v>NO</v>
      </c>
      <c r="P525" s="17" t="str">
        <f t="shared" si="84"/>
        <v>🔴</v>
      </c>
      <c r="Q525" s="60"/>
    </row>
    <row r="526" spans="1:17" ht="18" hidden="1" customHeight="1" x14ac:dyDescent="0.4">
      <c r="A526" s="7">
        <f t="shared" si="85"/>
        <v>525</v>
      </c>
      <c r="B526" s="13">
        <f t="shared" si="82"/>
        <v>525</v>
      </c>
      <c r="C526" s="28" t="s">
        <v>1770</v>
      </c>
      <c r="D526" s="28" t="s">
        <v>670</v>
      </c>
      <c r="E526" s="17" t="str">
        <f>IF(UPPER($J526)="NO","",$N526)</f>
        <v>VIP</v>
      </c>
      <c r="F526" s="16" t="s">
        <v>2118</v>
      </c>
      <c r="G526" s="28" t="s">
        <v>120</v>
      </c>
      <c r="H526" s="28" t="s">
        <v>2119</v>
      </c>
      <c r="I526" s="28"/>
      <c r="J526" s="61" t="s">
        <v>22</v>
      </c>
      <c r="K526" s="28" t="s">
        <v>2120</v>
      </c>
      <c r="L526" s="16"/>
      <c r="M526" s="16"/>
      <c r="N526" s="17" t="s">
        <v>24</v>
      </c>
      <c r="O526" s="17" t="str">
        <f t="shared" si="83"/>
        <v>SI</v>
      </c>
      <c r="P526" s="17" t="str">
        <f t="shared" si="84"/>
        <v>🟢</v>
      </c>
      <c r="Q526" s="60" t="s">
        <v>1152</v>
      </c>
    </row>
    <row r="527" spans="1:17" ht="18" customHeight="1" x14ac:dyDescent="0.4">
      <c r="A527" s="10">
        <f t="shared" si="85"/>
        <v>526</v>
      </c>
      <c r="B527" s="13">
        <f t="shared" si="82"/>
        <v>526</v>
      </c>
      <c r="C527" s="16" t="s">
        <v>1389</v>
      </c>
      <c r="D527" s="16" t="s">
        <v>1390</v>
      </c>
      <c r="E527" s="17" t="s">
        <v>1257</v>
      </c>
      <c r="F527" s="16" t="s">
        <v>1530</v>
      </c>
      <c r="G527" s="16" t="s">
        <v>1531</v>
      </c>
      <c r="H527" s="16" t="s">
        <v>1532</v>
      </c>
      <c r="I527" s="16"/>
      <c r="J527" s="61" t="s">
        <v>22</v>
      </c>
      <c r="K527" s="16" t="s">
        <v>1533</v>
      </c>
      <c r="L527" s="16" t="s">
        <v>3320</v>
      </c>
      <c r="M527" s="16">
        <v>45</v>
      </c>
      <c r="N527" s="17" t="s">
        <v>659</v>
      </c>
      <c r="O527" s="17" t="str">
        <f t="shared" si="83"/>
        <v>NO</v>
      </c>
      <c r="P527" s="17" t="str">
        <f t="shared" si="84"/>
        <v>🟢</v>
      </c>
      <c r="Q527" s="60"/>
    </row>
    <row r="528" spans="1:17" ht="18" customHeight="1" x14ac:dyDescent="0.4">
      <c r="A528" s="10">
        <f t="shared" si="85"/>
        <v>527</v>
      </c>
      <c r="B528" s="13">
        <f t="shared" si="82"/>
        <v>527</v>
      </c>
      <c r="C528" s="32" t="s">
        <v>2441</v>
      </c>
      <c r="D528" s="32" t="s">
        <v>1379</v>
      </c>
      <c r="E528" s="17" t="s">
        <v>1257</v>
      </c>
      <c r="F528" s="16" t="s">
        <v>2480</v>
      </c>
      <c r="G528" s="32" t="s">
        <v>2481</v>
      </c>
      <c r="H528" s="32" t="s">
        <v>783</v>
      </c>
      <c r="I528" s="32" t="s">
        <v>543</v>
      </c>
      <c r="J528" s="61" t="s">
        <v>22</v>
      </c>
      <c r="K528" s="32" t="s">
        <v>2482</v>
      </c>
      <c r="L528" s="16" t="s">
        <v>3318</v>
      </c>
      <c r="M528" s="16">
        <v>48</v>
      </c>
      <c r="N528" s="17" t="s">
        <v>659</v>
      </c>
      <c r="O528" s="17" t="str">
        <f t="shared" si="83"/>
        <v>NO</v>
      </c>
      <c r="P528" s="17" t="str">
        <f t="shared" si="84"/>
        <v>🟢</v>
      </c>
      <c r="Q528" s="60"/>
    </row>
    <row r="529" spans="1:86" ht="18" customHeight="1" x14ac:dyDescent="0.4">
      <c r="A529" s="7">
        <f t="shared" si="85"/>
        <v>528</v>
      </c>
      <c r="B529" s="13">
        <f t="shared" si="82"/>
        <v>528</v>
      </c>
      <c r="C529" s="16" t="s">
        <v>1569</v>
      </c>
      <c r="D529" s="16" t="s">
        <v>1601</v>
      </c>
      <c r="E529" s="17" t="s">
        <v>1257</v>
      </c>
      <c r="F529" s="16" t="s">
        <v>1602</v>
      </c>
      <c r="G529" s="16" t="s">
        <v>1603</v>
      </c>
      <c r="H529" s="16" t="s">
        <v>1604</v>
      </c>
      <c r="I529" s="16" t="s">
        <v>135</v>
      </c>
      <c r="J529" s="62" t="s">
        <v>22</v>
      </c>
      <c r="K529" s="16" t="s">
        <v>1605</v>
      </c>
      <c r="L529" s="16" t="s">
        <v>3319</v>
      </c>
      <c r="M529" s="16">
        <v>52</v>
      </c>
      <c r="N529" s="17" t="s">
        <v>659</v>
      </c>
      <c r="O529" s="17" t="str">
        <f t="shared" si="83"/>
        <v>NO</v>
      </c>
      <c r="P529" s="17" t="str">
        <f t="shared" si="84"/>
        <v>🟢</v>
      </c>
      <c r="Q529" s="60"/>
    </row>
    <row r="530" spans="1:86" ht="18" hidden="1" customHeight="1" x14ac:dyDescent="0.4">
      <c r="A530" s="10">
        <f t="shared" si="85"/>
        <v>529</v>
      </c>
      <c r="B530" s="13">
        <f t="shared" si="82"/>
        <v>529</v>
      </c>
      <c r="C530" s="16" t="s">
        <v>1770</v>
      </c>
      <c r="D530" s="16"/>
      <c r="E530" s="17" t="str">
        <f>IF(UPPER($J530)="NO","",$N530)</f>
        <v>LATERAL</v>
      </c>
      <c r="F530" s="16" t="s">
        <v>2129</v>
      </c>
      <c r="G530" s="16" t="s">
        <v>621</v>
      </c>
      <c r="H530" s="16" t="s">
        <v>2130</v>
      </c>
      <c r="I530" s="16" t="s">
        <v>2131</v>
      </c>
      <c r="J530" s="62" t="s">
        <v>57</v>
      </c>
      <c r="K530" s="16" t="s">
        <v>2132</v>
      </c>
      <c r="L530" s="16"/>
      <c r="M530" s="16"/>
      <c r="N530" s="17" t="s">
        <v>1257</v>
      </c>
      <c r="O530" s="17" t="str">
        <f t="shared" si="83"/>
        <v>NO</v>
      </c>
      <c r="P530" s="17" t="str">
        <f t="shared" si="84"/>
        <v>🟡</v>
      </c>
      <c r="Q530" s="60"/>
    </row>
    <row r="531" spans="1:86" ht="18" customHeight="1" x14ac:dyDescent="0.4">
      <c r="A531" s="10">
        <f t="shared" si="85"/>
        <v>530</v>
      </c>
      <c r="B531" s="13">
        <f t="shared" si="82"/>
        <v>530</v>
      </c>
      <c r="C531" s="24" t="s">
        <v>1569</v>
      </c>
      <c r="D531" s="24" t="s">
        <v>817</v>
      </c>
      <c r="E531" s="17" t="s">
        <v>1257</v>
      </c>
      <c r="F531" s="16" t="s">
        <v>1695</v>
      </c>
      <c r="G531" s="24" t="s">
        <v>1581</v>
      </c>
      <c r="H531" s="24" t="s">
        <v>1696</v>
      </c>
      <c r="I531" s="24" t="s">
        <v>543</v>
      </c>
      <c r="J531" s="61" t="s">
        <v>22</v>
      </c>
      <c r="K531" s="24" t="s">
        <v>1697</v>
      </c>
      <c r="L531" s="16" t="s">
        <v>3320</v>
      </c>
      <c r="M531" s="16">
        <v>46</v>
      </c>
      <c r="N531" s="17" t="s">
        <v>1257</v>
      </c>
      <c r="O531" s="17" t="str">
        <f t="shared" si="83"/>
        <v>NO</v>
      </c>
      <c r="P531" s="17" t="str">
        <f t="shared" si="84"/>
        <v>🟢</v>
      </c>
      <c r="Q531" s="60"/>
    </row>
    <row r="532" spans="1:86" ht="18" customHeight="1" x14ac:dyDescent="0.4">
      <c r="A532" s="10">
        <f t="shared" si="85"/>
        <v>531</v>
      </c>
      <c r="B532" s="13">
        <f t="shared" si="82"/>
        <v>531</v>
      </c>
      <c r="C532" s="24" t="s">
        <v>1569</v>
      </c>
      <c r="D532" s="24" t="s">
        <v>817</v>
      </c>
      <c r="E532" s="17" t="s">
        <v>1257</v>
      </c>
      <c r="F532" s="16" t="s">
        <v>1677</v>
      </c>
      <c r="G532" s="24" t="s">
        <v>1678</v>
      </c>
      <c r="H532" s="24" t="s">
        <v>1679</v>
      </c>
      <c r="I532" s="24" t="s">
        <v>1680</v>
      </c>
      <c r="J532" s="61" t="s">
        <v>22</v>
      </c>
      <c r="K532" s="24" t="s">
        <v>1681</v>
      </c>
      <c r="L532" s="16" t="s">
        <v>3320</v>
      </c>
      <c r="M532" s="16">
        <v>47</v>
      </c>
      <c r="N532" s="17" t="s">
        <v>1257</v>
      </c>
      <c r="O532" s="17" t="str">
        <f t="shared" si="83"/>
        <v>NO</v>
      </c>
      <c r="P532" s="17" t="str">
        <f t="shared" si="84"/>
        <v>🟢</v>
      </c>
      <c r="Q532" s="60"/>
    </row>
    <row r="533" spans="1:86" ht="18" customHeight="1" x14ac:dyDescent="0.4">
      <c r="A533" s="10">
        <f t="shared" si="85"/>
        <v>532</v>
      </c>
      <c r="B533" s="13">
        <f t="shared" si="82"/>
        <v>532</v>
      </c>
      <c r="C533" s="24" t="s">
        <v>1569</v>
      </c>
      <c r="D533" s="24" t="s">
        <v>817</v>
      </c>
      <c r="E533" s="17" t="s">
        <v>1257</v>
      </c>
      <c r="F533" s="16" t="s">
        <v>1721</v>
      </c>
      <c r="G533" s="24" t="s">
        <v>1722</v>
      </c>
      <c r="H533" s="24" t="s">
        <v>1723</v>
      </c>
      <c r="I533" s="24" t="s">
        <v>539</v>
      </c>
      <c r="J533" s="61" t="s">
        <v>22</v>
      </c>
      <c r="K533" s="24" t="s">
        <v>1724</v>
      </c>
      <c r="L533" s="16" t="s">
        <v>3320</v>
      </c>
      <c r="M533" s="16">
        <v>48</v>
      </c>
      <c r="N533" s="17" t="s">
        <v>1257</v>
      </c>
      <c r="O533" s="17" t="str">
        <f t="shared" si="83"/>
        <v>NO</v>
      </c>
      <c r="P533" s="17" t="str">
        <f t="shared" si="84"/>
        <v>🟢</v>
      </c>
      <c r="Q533" s="60"/>
    </row>
    <row r="534" spans="1:86" ht="18" customHeight="1" x14ac:dyDescent="0.4">
      <c r="A534" s="7">
        <f t="shared" si="85"/>
        <v>533</v>
      </c>
      <c r="B534" s="7">
        <f t="shared" si="82"/>
        <v>533</v>
      </c>
      <c r="C534" s="8" t="s">
        <v>16</v>
      </c>
      <c r="D534" s="8" t="s">
        <v>3317</v>
      </c>
      <c r="E534" s="12" t="s">
        <v>1257</v>
      </c>
      <c r="F534" s="8" t="s">
        <v>831</v>
      </c>
      <c r="G534" s="8" t="s">
        <v>68</v>
      </c>
      <c r="H534" s="8" t="s">
        <v>832</v>
      </c>
      <c r="I534" s="8" t="s">
        <v>833</v>
      </c>
      <c r="J534" s="63" t="s">
        <v>22</v>
      </c>
      <c r="K534" s="8" t="s">
        <v>820</v>
      </c>
      <c r="L534" s="8" t="s">
        <v>3324</v>
      </c>
      <c r="M534" s="8">
        <v>23</v>
      </c>
      <c r="N534" s="9" t="s">
        <v>659</v>
      </c>
      <c r="O534" s="9" t="str">
        <f t="shared" si="83"/>
        <v>NO</v>
      </c>
      <c r="P534" s="9" t="str">
        <f t="shared" si="84"/>
        <v>🟢</v>
      </c>
      <c r="Q534" s="58"/>
    </row>
    <row r="535" spans="1:86" ht="18" customHeight="1" x14ac:dyDescent="0.4">
      <c r="A535" s="7">
        <f t="shared" si="85"/>
        <v>534</v>
      </c>
      <c r="B535" s="13">
        <f t="shared" si="82"/>
        <v>534</v>
      </c>
      <c r="C535" s="16" t="s">
        <v>1569</v>
      </c>
      <c r="D535" s="16" t="s">
        <v>817</v>
      </c>
      <c r="E535" s="17" t="s">
        <v>1257</v>
      </c>
      <c r="F535" s="16" t="s">
        <v>1672</v>
      </c>
      <c r="G535" s="16" t="s">
        <v>1673</v>
      </c>
      <c r="H535" s="16" t="s">
        <v>1674</v>
      </c>
      <c r="I535" s="16" t="s">
        <v>1675</v>
      </c>
      <c r="J535" s="61" t="s">
        <v>22</v>
      </c>
      <c r="K535" s="16" t="s">
        <v>1676</v>
      </c>
      <c r="L535" s="16" t="s">
        <v>3320</v>
      </c>
      <c r="M535" s="16">
        <v>49</v>
      </c>
      <c r="N535" s="17" t="s">
        <v>1257</v>
      </c>
      <c r="O535" s="17" t="str">
        <f t="shared" si="83"/>
        <v>NO</v>
      </c>
      <c r="P535" s="17" t="str">
        <f t="shared" si="84"/>
        <v>🟢</v>
      </c>
      <c r="Q535" s="60"/>
    </row>
    <row r="536" spans="1:86" ht="18" customHeight="1" x14ac:dyDescent="0.4">
      <c r="A536" s="7">
        <f t="shared" si="85"/>
        <v>535</v>
      </c>
      <c r="B536" s="13" t="str">
        <f t="shared" si="82"/>
        <v/>
      </c>
      <c r="C536" s="24" t="s">
        <v>1569</v>
      </c>
      <c r="D536" s="24" t="s">
        <v>3313</v>
      </c>
      <c r="E536" s="17" t="s">
        <v>1257</v>
      </c>
      <c r="F536" s="16"/>
      <c r="G536" s="24" t="s">
        <v>473</v>
      </c>
      <c r="H536" s="24" t="s">
        <v>1629</v>
      </c>
      <c r="I536" s="24" t="s">
        <v>1630</v>
      </c>
      <c r="J536" s="64" t="s">
        <v>22</v>
      </c>
      <c r="K536" s="24" t="s">
        <v>1631</v>
      </c>
      <c r="L536" s="16" t="s">
        <v>3320</v>
      </c>
      <c r="M536" s="16">
        <v>50</v>
      </c>
      <c r="N536" s="17"/>
      <c r="O536" s="17" t="str">
        <f t="shared" si="83"/>
        <v>NO</v>
      </c>
      <c r="P536" s="17" t="str">
        <f t="shared" si="84"/>
        <v>🟢</v>
      </c>
      <c r="Q536" s="60"/>
    </row>
    <row r="537" spans="1:86" ht="18" customHeight="1" x14ac:dyDescent="0.4">
      <c r="A537" s="10">
        <f t="shared" si="85"/>
        <v>536</v>
      </c>
      <c r="B537" s="13">
        <f t="shared" si="82"/>
        <v>536</v>
      </c>
      <c r="C537" s="24" t="s">
        <v>1569</v>
      </c>
      <c r="D537" s="24" t="s">
        <v>1397</v>
      </c>
      <c r="E537" s="17" t="s">
        <v>1257</v>
      </c>
      <c r="F537" s="16" t="s">
        <v>1606</v>
      </c>
      <c r="G537" s="24" t="s">
        <v>1607</v>
      </c>
      <c r="H537" s="24" t="s">
        <v>1608</v>
      </c>
      <c r="I537" s="24" t="s">
        <v>1609</v>
      </c>
      <c r="J537" s="61" t="s">
        <v>22</v>
      </c>
      <c r="K537" s="24" t="s">
        <v>1610</v>
      </c>
      <c r="L537" s="16" t="s">
        <v>3319</v>
      </c>
      <c r="M537" s="16">
        <v>53</v>
      </c>
      <c r="N537" s="17" t="s">
        <v>659</v>
      </c>
      <c r="O537" s="17" t="str">
        <f t="shared" si="83"/>
        <v>NO</v>
      </c>
      <c r="P537" s="17" t="str">
        <f t="shared" si="84"/>
        <v>🟢</v>
      </c>
      <c r="Q537" s="60"/>
    </row>
    <row r="538" spans="1:86" s="5" customFormat="1" ht="18" customHeight="1" x14ac:dyDescent="0.4">
      <c r="A538" s="10">
        <f t="shared" si="85"/>
        <v>537</v>
      </c>
      <c r="B538" s="13">
        <f t="shared" si="82"/>
        <v>537</v>
      </c>
      <c r="C538" s="11" t="s">
        <v>2569</v>
      </c>
      <c r="D538" s="11"/>
      <c r="E538" s="12" t="str">
        <f>IF(UPPER($J538)="NO","",$N538)</f>
        <v>LATERAL</v>
      </c>
      <c r="F538" s="16" t="s">
        <v>2645</v>
      </c>
      <c r="G538" s="11" t="s">
        <v>68</v>
      </c>
      <c r="H538" s="11" t="s">
        <v>330</v>
      </c>
      <c r="I538" s="11" t="s">
        <v>2646</v>
      </c>
      <c r="J538" s="61" t="s">
        <v>22</v>
      </c>
      <c r="K538" s="11" t="s">
        <v>2647</v>
      </c>
      <c r="L538" s="16" t="s">
        <v>3321</v>
      </c>
      <c r="M538" s="16">
        <v>17</v>
      </c>
      <c r="N538" s="17" t="s">
        <v>1257</v>
      </c>
      <c r="O538" s="17" t="str">
        <f t="shared" si="83"/>
        <v>NO</v>
      </c>
      <c r="P538" s="17" t="str">
        <f t="shared" si="84"/>
        <v>🟢</v>
      </c>
      <c r="Q538" s="60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ht="18" hidden="1" customHeight="1" x14ac:dyDescent="0.4">
      <c r="A539" s="7">
        <f t="shared" si="85"/>
        <v>538</v>
      </c>
      <c r="B539" s="13">
        <f t="shared" si="82"/>
        <v>538</v>
      </c>
      <c r="C539" s="16" t="s">
        <v>2162</v>
      </c>
      <c r="D539" s="16" t="s">
        <v>751</v>
      </c>
      <c r="E539" s="17" t="str">
        <f>IF(UPPER($J539)="NO","",$N539)</f>
        <v/>
      </c>
      <c r="F539" s="16" t="s">
        <v>2163</v>
      </c>
      <c r="G539" s="16" t="s">
        <v>483</v>
      </c>
      <c r="H539" s="16" t="s">
        <v>2164</v>
      </c>
      <c r="I539" s="16"/>
      <c r="J539" s="62" t="s">
        <v>71</v>
      </c>
      <c r="K539" s="16" t="s">
        <v>2165</v>
      </c>
      <c r="L539" s="16"/>
      <c r="M539" s="16"/>
      <c r="N539" s="17" t="s">
        <v>24</v>
      </c>
      <c r="O539" s="17" t="str">
        <f t="shared" si="83"/>
        <v>NO</v>
      </c>
      <c r="P539" s="17" t="str">
        <f t="shared" si="84"/>
        <v>🔴</v>
      </c>
      <c r="Q539" s="60" t="s">
        <v>1152</v>
      </c>
    </row>
    <row r="540" spans="1:86" ht="18" hidden="1" customHeight="1" x14ac:dyDescent="0.4">
      <c r="A540" s="10">
        <f t="shared" si="85"/>
        <v>539</v>
      </c>
      <c r="B540" s="13">
        <f t="shared" si="82"/>
        <v>539</v>
      </c>
      <c r="C540" s="16" t="s">
        <v>2162</v>
      </c>
      <c r="D540" s="16"/>
      <c r="E540" s="17" t="str">
        <f>IF(UPPER($J540)="NO","",$N540)</f>
        <v>VIP</v>
      </c>
      <c r="F540" s="16" t="s">
        <v>2166</v>
      </c>
      <c r="G540" s="16" t="s">
        <v>35</v>
      </c>
      <c r="H540" s="16" t="s">
        <v>261</v>
      </c>
      <c r="I540" s="16"/>
      <c r="J540" s="61" t="s">
        <v>22</v>
      </c>
      <c r="K540" s="11" t="s">
        <v>2167</v>
      </c>
      <c r="L540" s="16"/>
      <c r="M540" s="16"/>
      <c r="N540" s="17" t="s">
        <v>24</v>
      </c>
      <c r="O540" s="17" t="str">
        <f t="shared" si="83"/>
        <v>SI</v>
      </c>
      <c r="P540" s="17" t="str">
        <f t="shared" si="84"/>
        <v>🟢</v>
      </c>
      <c r="Q540" s="60" t="s">
        <v>1152</v>
      </c>
    </row>
    <row r="541" spans="1:86" ht="18" hidden="1" customHeight="1" x14ac:dyDescent="0.4">
      <c r="A541" s="10">
        <f t="shared" si="85"/>
        <v>540</v>
      </c>
      <c r="B541" s="13">
        <f t="shared" si="82"/>
        <v>540</v>
      </c>
      <c r="C541" s="16" t="s">
        <v>1770</v>
      </c>
      <c r="D541" s="16"/>
      <c r="E541" s="17" t="str">
        <f>IF(UPPER($J541)="NO","",$N541)</f>
        <v>LATERAL</v>
      </c>
      <c r="F541" s="16" t="s">
        <v>2158</v>
      </c>
      <c r="G541" s="16" t="s">
        <v>322</v>
      </c>
      <c r="H541" s="16" t="s">
        <v>2159</v>
      </c>
      <c r="I541" s="16" t="s">
        <v>2160</v>
      </c>
      <c r="J541" s="62" t="s">
        <v>57</v>
      </c>
      <c r="K541" s="16" t="s">
        <v>2161</v>
      </c>
      <c r="L541" s="16"/>
      <c r="M541" s="16"/>
      <c r="N541" s="17" t="s">
        <v>1257</v>
      </c>
      <c r="O541" s="17" t="str">
        <f t="shared" si="83"/>
        <v>NO</v>
      </c>
      <c r="P541" s="17" t="str">
        <f t="shared" si="84"/>
        <v>🟡</v>
      </c>
      <c r="Q541" s="60"/>
    </row>
    <row r="542" spans="1:86" ht="18" customHeight="1" x14ac:dyDescent="0.4">
      <c r="A542" s="7">
        <f t="shared" si="85"/>
        <v>541</v>
      </c>
      <c r="B542" s="13">
        <f t="shared" si="82"/>
        <v>541</v>
      </c>
      <c r="C542" s="16" t="s">
        <v>1569</v>
      </c>
      <c r="D542" s="16" t="s">
        <v>1611</v>
      </c>
      <c r="E542" s="17" t="s">
        <v>1257</v>
      </c>
      <c r="F542" s="16" t="s">
        <v>1612</v>
      </c>
      <c r="G542" s="16" t="s">
        <v>1613</v>
      </c>
      <c r="H542" s="16" t="s">
        <v>1614</v>
      </c>
      <c r="I542" s="16" t="s">
        <v>42</v>
      </c>
      <c r="J542" s="61" t="s">
        <v>22</v>
      </c>
      <c r="K542" s="16" t="s">
        <v>1615</v>
      </c>
      <c r="L542" s="16" t="s">
        <v>3319</v>
      </c>
      <c r="M542" s="16">
        <v>54</v>
      </c>
      <c r="N542" s="17" t="s">
        <v>659</v>
      </c>
      <c r="O542" s="17" t="str">
        <f t="shared" si="83"/>
        <v>NO</v>
      </c>
      <c r="P542" s="17" t="str">
        <f t="shared" si="84"/>
        <v>🟢</v>
      </c>
      <c r="Q542" s="60"/>
    </row>
    <row r="543" spans="1:86" ht="18" hidden="1" customHeight="1" x14ac:dyDescent="0.4">
      <c r="A543" s="7">
        <f t="shared" si="85"/>
        <v>542</v>
      </c>
      <c r="B543" s="13">
        <f t="shared" si="82"/>
        <v>542</v>
      </c>
      <c r="C543" s="16" t="s">
        <v>2162</v>
      </c>
      <c r="D543" s="16"/>
      <c r="E543" s="17" t="str">
        <f>IF(UPPER($J543)="NO","",$N543)</f>
        <v/>
      </c>
      <c r="F543" s="16" t="s">
        <v>2174</v>
      </c>
      <c r="G543" s="16" t="s">
        <v>2175</v>
      </c>
      <c r="H543" s="16" t="s">
        <v>2176</v>
      </c>
      <c r="I543" s="16"/>
      <c r="J543" s="63" t="s">
        <v>71</v>
      </c>
      <c r="K543" s="11" t="s">
        <v>2177</v>
      </c>
      <c r="L543" s="16"/>
      <c r="M543" s="16"/>
      <c r="N543" s="17"/>
      <c r="O543" s="17" t="str">
        <f t="shared" si="83"/>
        <v>NO</v>
      </c>
      <c r="P543" s="17" t="str">
        <f t="shared" si="84"/>
        <v>🔴</v>
      </c>
      <c r="Q543" s="60"/>
    </row>
    <row r="544" spans="1:86" ht="18" hidden="1" customHeight="1" x14ac:dyDescent="0.4">
      <c r="A544" s="10">
        <f t="shared" si="85"/>
        <v>543</v>
      </c>
      <c r="B544" s="13">
        <f t="shared" si="82"/>
        <v>543</v>
      </c>
      <c r="C544" s="30" t="s">
        <v>2162</v>
      </c>
      <c r="D544" s="30" t="s">
        <v>1379</v>
      </c>
      <c r="E544" s="31" t="str">
        <f>IF(UPPER($J544)="NO","",$N544)</f>
        <v>VIP</v>
      </c>
      <c r="F544" s="16" t="s">
        <v>2178</v>
      </c>
      <c r="G544" s="30" t="s">
        <v>120</v>
      </c>
      <c r="H544" s="30" t="s">
        <v>2179</v>
      </c>
      <c r="I544" s="30" t="s">
        <v>2180</v>
      </c>
      <c r="J544" s="61" t="s">
        <v>22</v>
      </c>
      <c r="K544" s="30" t="s">
        <v>2181</v>
      </c>
      <c r="L544" s="16"/>
      <c r="M544" s="16"/>
      <c r="N544" s="17" t="s">
        <v>24</v>
      </c>
      <c r="O544" s="17" t="str">
        <f t="shared" si="83"/>
        <v>SI</v>
      </c>
      <c r="P544" s="17" t="str">
        <f t="shared" si="84"/>
        <v>🟢</v>
      </c>
      <c r="Q544" s="60" t="s">
        <v>1152</v>
      </c>
    </row>
    <row r="545" spans="1:17" ht="18" customHeight="1" x14ac:dyDescent="0.4">
      <c r="A545" s="10">
        <f t="shared" si="85"/>
        <v>544</v>
      </c>
      <c r="B545" s="13">
        <f t="shared" si="82"/>
        <v>544</v>
      </c>
      <c r="C545" s="28" t="s">
        <v>1770</v>
      </c>
      <c r="D545" s="28" t="s">
        <v>1397</v>
      </c>
      <c r="E545" s="17" t="s">
        <v>1257</v>
      </c>
      <c r="F545" s="16" t="s">
        <v>2028</v>
      </c>
      <c r="G545" s="28" t="s">
        <v>757</v>
      </c>
      <c r="H545" s="28" t="s">
        <v>2029</v>
      </c>
      <c r="I545" s="28" t="s">
        <v>2030</v>
      </c>
      <c r="J545" s="61" t="s">
        <v>22</v>
      </c>
      <c r="K545" s="28" t="s">
        <v>2013</v>
      </c>
      <c r="L545" s="16" t="s">
        <v>3319</v>
      </c>
      <c r="M545" s="16">
        <v>55</v>
      </c>
      <c r="N545" s="17" t="s">
        <v>659</v>
      </c>
      <c r="O545" s="17" t="str">
        <f t="shared" si="83"/>
        <v>NO</v>
      </c>
      <c r="P545" s="17" t="str">
        <f t="shared" si="84"/>
        <v>🟢</v>
      </c>
      <c r="Q545" s="60"/>
    </row>
    <row r="546" spans="1:17" ht="18" customHeight="1" x14ac:dyDescent="0.4">
      <c r="A546" s="7">
        <f t="shared" si="85"/>
        <v>545</v>
      </c>
      <c r="B546" s="13">
        <f t="shared" si="82"/>
        <v>545</v>
      </c>
      <c r="C546" s="28" t="s">
        <v>1770</v>
      </c>
      <c r="D546" s="28" t="s">
        <v>1397</v>
      </c>
      <c r="E546" s="17" t="s">
        <v>1257</v>
      </c>
      <c r="F546" s="16" t="s">
        <v>2031</v>
      </c>
      <c r="G546" s="28" t="s">
        <v>399</v>
      </c>
      <c r="H546" s="28" t="s">
        <v>1854</v>
      </c>
      <c r="I546" s="28" t="s">
        <v>1017</v>
      </c>
      <c r="J546" s="61" t="s">
        <v>22</v>
      </c>
      <c r="K546" s="28" t="s">
        <v>2013</v>
      </c>
      <c r="L546" s="16" t="s">
        <v>3319</v>
      </c>
      <c r="M546" s="16">
        <v>56</v>
      </c>
      <c r="N546" s="17" t="s">
        <v>659</v>
      </c>
      <c r="O546" s="17" t="str">
        <f t="shared" si="83"/>
        <v>NO</v>
      </c>
      <c r="P546" s="17" t="str">
        <f t="shared" si="84"/>
        <v>🟢</v>
      </c>
      <c r="Q546" s="60"/>
    </row>
    <row r="547" spans="1:17" ht="18" hidden="1" customHeight="1" x14ac:dyDescent="0.4">
      <c r="A547" s="7">
        <f t="shared" si="85"/>
        <v>546</v>
      </c>
      <c r="B547" s="13">
        <f t="shared" si="82"/>
        <v>546</v>
      </c>
      <c r="C547" s="30" t="s">
        <v>2162</v>
      </c>
      <c r="D547" s="30"/>
      <c r="E547" s="31" t="str">
        <f>IF(UPPER($J547)="NO","",$N547)</f>
        <v/>
      </c>
      <c r="F547" s="16" t="s">
        <v>2188</v>
      </c>
      <c r="G547" s="30" t="s">
        <v>1054</v>
      </c>
      <c r="H547" s="30" t="s">
        <v>2189</v>
      </c>
      <c r="I547" s="30" t="s">
        <v>2189</v>
      </c>
      <c r="J547" s="63" t="s">
        <v>71</v>
      </c>
      <c r="K547" s="30" t="s">
        <v>2187</v>
      </c>
      <c r="L547" s="16"/>
      <c r="M547" s="16"/>
      <c r="N547" s="17" t="s">
        <v>1257</v>
      </c>
      <c r="O547" s="17" t="str">
        <f t="shared" si="83"/>
        <v>NO</v>
      </c>
      <c r="P547" s="17" t="str">
        <f t="shared" si="84"/>
        <v>🔴</v>
      </c>
      <c r="Q547" s="60"/>
    </row>
    <row r="548" spans="1:17" ht="18" customHeight="1" x14ac:dyDescent="0.4">
      <c r="A548" s="10">
        <f t="shared" si="85"/>
        <v>547</v>
      </c>
      <c r="B548" s="13"/>
      <c r="C548" s="28"/>
      <c r="D548" s="28" t="s">
        <v>1397</v>
      </c>
      <c r="E548" s="17" t="s">
        <v>1257</v>
      </c>
      <c r="F548" s="16"/>
      <c r="G548" s="16" t="s">
        <v>2088</v>
      </c>
      <c r="H548" s="16" t="s">
        <v>341</v>
      </c>
      <c r="I548" s="16" t="s">
        <v>3309</v>
      </c>
      <c r="J548" s="64" t="s">
        <v>22</v>
      </c>
      <c r="K548" s="28" t="s">
        <v>2013</v>
      </c>
      <c r="L548" s="16" t="s">
        <v>3319</v>
      </c>
      <c r="M548" s="16">
        <v>57</v>
      </c>
      <c r="N548" s="17"/>
      <c r="O548" s="17"/>
      <c r="P548" s="17"/>
      <c r="Q548" s="60"/>
    </row>
    <row r="549" spans="1:17" ht="18" customHeight="1" x14ac:dyDescent="0.4">
      <c r="A549" s="10"/>
      <c r="B549" s="10"/>
      <c r="C549" s="11"/>
      <c r="D549" s="11"/>
      <c r="E549" s="12" t="s">
        <v>1257</v>
      </c>
      <c r="F549" s="11"/>
      <c r="G549" s="11" t="s">
        <v>3354</v>
      </c>
      <c r="H549" s="11" t="s">
        <v>3358</v>
      </c>
      <c r="I549" s="11"/>
      <c r="J549" s="63" t="s">
        <v>22</v>
      </c>
      <c r="K549" s="11" t="s">
        <v>3355</v>
      </c>
      <c r="L549" s="11" t="s">
        <v>3319</v>
      </c>
      <c r="M549" s="11">
        <v>58</v>
      </c>
      <c r="N549" s="12"/>
      <c r="O549" s="12"/>
      <c r="P549" s="12" t="str">
        <f t="shared" ref="P549:P580" si="86">IF(UPPER($J549)="SI","🟢",IF(UPPER($J549)="NO","🔴","🟡"))</f>
        <v>🟢</v>
      </c>
      <c r="Q549" s="59"/>
    </row>
    <row r="550" spans="1:17" ht="18" customHeight="1" x14ac:dyDescent="0.4">
      <c r="A550" s="10">
        <f t="shared" ref="A550:A581" si="87">IF(COUNTA(C550:K550)=0,"",ROW()-1)</f>
        <v>549</v>
      </c>
      <c r="B550" s="13">
        <f t="shared" ref="B550:B581" si="88">IF($F550&lt;&gt;"",$A550,"")</f>
        <v>549</v>
      </c>
      <c r="C550" s="24" t="s">
        <v>1569</v>
      </c>
      <c r="D550" s="24" t="s">
        <v>817</v>
      </c>
      <c r="E550" s="17" t="s">
        <v>1257</v>
      </c>
      <c r="F550" s="16" t="s">
        <v>1632</v>
      </c>
      <c r="G550" s="24" t="s">
        <v>1633</v>
      </c>
      <c r="H550" s="24" t="s">
        <v>1634</v>
      </c>
      <c r="I550" s="24" t="s">
        <v>450</v>
      </c>
      <c r="J550" s="61" t="s">
        <v>22</v>
      </c>
      <c r="K550" s="24" t="s">
        <v>1635</v>
      </c>
      <c r="L550" s="16" t="s">
        <v>3320</v>
      </c>
      <c r="M550" s="16">
        <v>51</v>
      </c>
      <c r="N550" s="17" t="s">
        <v>1257</v>
      </c>
      <c r="O550" s="17" t="str">
        <f t="shared" ref="O550:O581" si="89">IF(AND(UPPER($N550)="VIP",UPPER($J550)&lt;&gt;"NO",$F550&lt;&gt;""),"SI","NO")</f>
        <v>NO</v>
      </c>
      <c r="P550" s="17" t="str">
        <f t="shared" si="86"/>
        <v>🟢</v>
      </c>
      <c r="Q550" s="60"/>
    </row>
    <row r="551" spans="1:17" ht="18" hidden="1" customHeight="1" x14ac:dyDescent="0.4">
      <c r="A551" s="7">
        <f t="shared" si="87"/>
        <v>550</v>
      </c>
      <c r="B551" s="13">
        <f t="shared" si="88"/>
        <v>550</v>
      </c>
      <c r="C551" s="30" t="s">
        <v>2162</v>
      </c>
      <c r="D551" s="30"/>
      <c r="E551" s="31" t="str">
        <f t="shared" ref="E551:E563" si="90">IF(UPPER($J551)="NO","",$N551)</f>
        <v/>
      </c>
      <c r="F551" s="16" t="s">
        <v>2198</v>
      </c>
      <c r="G551" s="30" t="s">
        <v>1254</v>
      </c>
      <c r="H551" s="30" t="s">
        <v>2199</v>
      </c>
      <c r="I551" s="30" t="s">
        <v>2200</v>
      </c>
      <c r="J551" s="63" t="s">
        <v>71</v>
      </c>
      <c r="K551" s="30" t="s">
        <v>2201</v>
      </c>
      <c r="L551" s="16"/>
      <c r="M551" s="16"/>
      <c r="N551" s="17" t="s">
        <v>1257</v>
      </c>
      <c r="O551" s="17" t="str">
        <f t="shared" si="89"/>
        <v>NO</v>
      </c>
      <c r="P551" s="17" t="str">
        <f t="shared" si="86"/>
        <v>🔴</v>
      </c>
      <c r="Q551" s="60"/>
    </row>
    <row r="552" spans="1:17" ht="18" hidden="1" customHeight="1" x14ac:dyDescent="0.4">
      <c r="A552" s="10">
        <f t="shared" si="87"/>
        <v>551</v>
      </c>
      <c r="B552" s="13">
        <f t="shared" si="88"/>
        <v>551</v>
      </c>
      <c r="C552" s="16" t="s">
        <v>2162</v>
      </c>
      <c r="D552" s="16" t="s">
        <v>670</v>
      </c>
      <c r="E552" s="17" t="str">
        <f t="shared" si="90"/>
        <v>VIP</v>
      </c>
      <c r="F552" s="16" t="s">
        <v>2202</v>
      </c>
      <c r="G552" s="16" t="s">
        <v>68</v>
      </c>
      <c r="H552" s="16" t="s">
        <v>2203</v>
      </c>
      <c r="I552" s="16" t="s">
        <v>2204</v>
      </c>
      <c r="J552" s="61" t="s">
        <v>22</v>
      </c>
      <c r="K552" s="11" t="s">
        <v>2205</v>
      </c>
      <c r="L552" s="16"/>
      <c r="M552" s="16"/>
      <c r="N552" s="17" t="s">
        <v>24</v>
      </c>
      <c r="O552" s="17" t="str">
        <f t="shared" si="89"/>
        <v>SI</v>
      </c>
      <c r="P552" s="17" t="str">
        <f t="shared" si="86"/>
        <v>🟢</v>
      </c>
      <c r="Q552" s="60" t="s">
        <v>1152</v>
      </c>
    </row>
    <row r="553" spans="1:17" ht="18" hidden="1" customHeight="1" x14ac:dyDescent="0.4">
      <c r="A553" s="7">
        <f t="shared" si="87"/>
        <v>552</v>
      </c>
      <c r="B553" s="13">
        <f t="shared" si="88"/>
        <v>552</v>
      </c>
      <c r="C553" s="16" t="s">
        <v>2162</v>
      </c>
      <c r="D553" s="16"/>
      <c r="E553" s="17" t="str">
        <f t="shared" si="90"/>
        <v>VIP</v>
      </c>
      <c r="F553" s="16" t="s">
        <v>2206</v>
      </c>
      <c r="G553" s="16" t="s">
        <v>2207</v>
      </c>
      <c r="H553" s="16" t="s">
        <v>2203</v>
      </c>
      <c r="I553" s="16"/>
      <c r="J553" s="61" t="s">
        <v>22</v>
      </c>
      <c r="K553" s="16" t="s">
        <v>2208</v>
      </c>
      <c r="L553" s="16"/>
      <c r="M553" s="16"/>
      <c r="N553" s="17" t="s">
        <v>24</v>
      </c>
      <c r="O553" s="17" t="str">
        <f t="shared" si="89"/>
        <v>SI</v>
      </c>
      <c r="P553" s="17" t="str">
        <f t="shared" si="86"/>
        <v>🟢</v>
      </c>
      <c r="Q553" s="60" t="s">
        <v>1152</v>
      </c>
    </row>
    <row r="554" spans="1:17" ht="18" customHeight="1" x14ac:dyDescent="0.4">
      <c r="A554" s="10">
        <f t="shared" si="87"/>
        <v>553</v>
      </c>
      <c r="B554" s="13">
        <f t="shared" si="88"/>
        <v>553</v>
      </c>
      <c r="C554" s="11" t="s">
        <v>2569</v>
      </c>
      <c r="D554" s="11"/>
      <c r="E554" s="12" t="str">
        <f t="shared" si="90"/>
        <v>LATERAL</v>
      </c>
      <c r="F554" s="16" t="s">
        <v>2577</v>
      </c>
      <c r="G554" s="11" t="s">
        <v>753</v>
      </c>
      <c r="H554" s="11" t="s">
        <v>2578</v>
      </c>
      <c r="I554" s="11" t="s">
        <v>2579</v>
      </c>
      <c r="J554" s="61" t="s">
        <v>22</v>
      </c>
      <c r="K554" s="11" t="s">
        <v>2580</v>
      </c>
      <c r="L554" s="16" t="s">
        <v>3319</v>
      </c>
      <c r="M554" s="16">
        <v>60</v>
      </c>
      <c r="N554" s="17" t="s">
        <v>1257</v>
      </c>
      <c r="O554" s="17" t="str">
        <f t="shared" si="89"/>
        <v>NO</v>
      </c>
      <c r="P554" s="17" t="str">
        <f t="shared" si="86"/>
        <v>🟢</v>
      </c>
      <c r="Q554" s="60"/>
    </row>
    <row r="555" spans="1:17" ht="18" hidden="1" customHeight="1" x14ac:dyDescent="0.4">
      <c r="A555" s="7">
        <f t="shared" si="87"/>
        <v>554</v>
      </c>
      <c r="B555" s="13">
        <f t="shared" si="88"/>
        <v>554</v>
      </c>
      <c r="C555" s="30" t="s">
        <v>2162</v>
      </c>
      <c r="D555" s="30"/>
      <c r="E555" s="31" t="str">
        <f t="shared" si="90"/>
        <v>VIP</v>
      </c>
      <c r="F555" s="16" t="s">
        <v>2212</v>
      </c>
      <c r="G555" s="30" t="s">
        <v>2027</v>
      </c>
      <c r="H555" s="30" t="s">
        <v>2213</v>
      </c>
      <c r="I555" s="30" t="s">
        <v>2214</v>
      </c>
      <c r="J555" s="61" t="s">
        <v>22</v>
      </c>
      <c r="K555" s="30" t="s">
        <v>2215</v>
      </c>
      <c r="L555" s="16"/>
      <c r="M555" s="16"/>
      <c r="N555" s="17" t="s">
        <v>24</v>
      </c>
      <c r="O555" s="17" t="str">
        <f t="shared" si="89"/>
        <v>SI</v>
      </c>
      <c r="P555" s="17" t="str">
        <f t="shared" si="86"/>
        <v>🟢</v>
      </c>
      <c r="Q555" s="60" t="s">
        <v>1152</v>
      </c>
    </row>
    <row r="556" spans="1:17" ht="18" hidden="1" customHeight="1" x14ac:dyDescent="0.4">
      <c r="A556" s="10">
        <f t="shared" si="87"/>
        <v>555</v>
      </c>
      <c r="B556" s="13">
        <f t="shared" si="88"/>
        <v>555</v>
      </c>
      <c r="C556" s="16" t="s">
        <v>2162</v>
      </c>
      <c r="D556" s="16"/>
      <c r="E556" s="17" t="str">
        <f t="shared" si="90"/>
        <v>VIP</v>
      </c>
      <c r="F556" s="16" t="s">
        <v>2216</v>
      </c>
      <c r="G556" s="16" t="s">
        <v>317</v>
      </c>
      <c r="H556" s="16" t="s">
        <v>2217</v>
      </c>
      <c r="I556" s="16" t="s">
        <v>135</v>
      </c>
      <c r="J556" s="61" t="s">
        <v>22</v>
      </c>
      <c r="K556" s="11" t="s">
        <v>2218</v>
      </c>
      <c r="L556" s="16"/>
      <c r="M556" s="16"/>
      <c r="N556" s="17" t="s">
        <v>24</v>
      </c>
      <c r="O556" s="17" t="str">
        <f t="shared" si="89"/>
        <v>SI</v>
      </c>
      <c r="P556" s="17" t="str">
        <f t="shared" si="86"/>
        <v>🟢</v>
      </c>
      <c r="Q556" s="60" t="s">
        <v>1152</v>
      </c>
    </row>
    <row r="557" spans="1:17" ht="18" hidden="1" customHeight="1" x14ac:dyDescent="0.4">
      <c r="A557" s="7">
        <f t="shared" si="87"/>
        <v>556</v>
      </c>
      <c r="B557" s="13">
        <f t="shared" si="88"/>
        <v>556</v>
      </c>
      <c r="C557" s="16" t="s">
        <v>2162</v>
      </c>
      <c r="D557" s="16"/>
      <c r="E557" s="17" t="str">
        <f t="shared" si="90"/>
        <v/>
      </c>
      <c r="F557" s="16" t="s">
        <v>2219</v>
      </c>
      <c r="G557" s="16" t="s">
        <v>519</v>
      </c>
      <c r="H557" s="16" t="s">
        <v>2217</v>
      </c>
      <c r="I557" s="16" t="s">
        <v>2220</v>
      </c>
      <c r="J557" s="63" t="s">
        <v>71</v>
      </c>
      <c r="K557" s="16" t="s">
        <v>2221</v>
      </c>
      <c r="L557" s="16"/>
      <c r="M557" s="16"/>
      <c r="N557" s="17" t="s">
        <v>1257</v>
      </c>
      <c r="O557" s="17" t="str">
        <f t="shared" si="89"/>
        <v>NO</v>
      </c>
      <c r="P557" s="17" t="str">
        <f t="shared" si="86"/>
        <v>🔴</v>
      </c>
      <c r="Q557" s="60"/>
    </row>
    <row r="558" spans="1:17" ht="18" hidden="1" customHeight="1" x14ac:dyDescent="0.4">
      <c r="A558" s="10">
        <f t="shared" si="87"/>
        <v>557</v>
      </c>
      <c r="B558" s="13">
        <f t="shared" si="88"/>
        <v>557</v>
      </c>
      <c r="C558" s="30" t="s">
        <v>2162</v>
      </c>
      <c r="D558" s="30" t="s">
        <v>751</v>
      </c>
      <c r="E558" s="31" t="str">
        <f t="shared" si="90"/>
        <v>VIP</v>
      </c>
      <c r="F558" s="16" t="s">
        <v>2222</v>
      </c>
      <c r="G558" s="30" t="s">
        <v>562</v>
      </c>
      <c r="H558" s="30" t="s">
        <v>213</v>
      </c>
      <c r="I558" s="30"/>
      <c r="J558" s="61" t="s">
        <v>22</v>
      </c>
      <c r="K558" s="30" t="s">
        <v>2223</v>
      </c>
      <c r="L558" s="16"/>
      <c r="M558" s="16"/>
      <c r="N558" s="17" t="s">
        <v>24</v>
      </c>
      <c r="O558" s="17" t="str">
        <f t="shared" si="89"/>
        <v>SI</v>
      </c>
      <c r="P558" s="17" t="str">
        <f t="shared" si="86"/>
        <v>🟢</v>
      </c>
      <c r="Q558" s="60" t="s">
        <v>1152</v>
      </c>
    </row>
    <row r="559" spans="1:17" ht="18" customHeight="1" x14ac:dyDescent="0.4">
      <c r="A559" s="7">
        <f t="shared" si="87"/>
        <v>558</v>
      </c>
      <c r="B559" s="13">
        <f t="shared" si="88"/>
        <v>558</v>
      </c>
      <c r="C559" s="32" t="s">
        <v>2569</v>
      </c>
      <c r="D559" s="32" t="s">
        <v>1449</v>
      </c>
      <c r="E559" s="33" t="str">
        <f t="shared" si="90"/>
        <v>LATERAL</v>
      </c>
      <c r="F559" s="16" t="s">
        <v>2648</v>
      </c>
      <c r="G559" s="32" t="s">
        <v>519</v>
      </c>
      <c r="H559" s="32" t="s">
        <v>2649</v>
      </c>
      <c r="I559" s="32" t="s">
        <v>2650</v>
      </c>
      <c r="J559" s="61" t="s">
        <v>22</v>
      </c>
      <c r="K559" s="32" t="s">
        <v>2651</v>
      </c>
      <c r="L559" s="16" t="s">
        <v>3321</v>
      </c>
      <c r="M559" s="16">
        <v>18</v>
      </c>
      <c r="N559" s="17" t="s">
        <v>1257</v>
      </c>
      <c r="O559" s="17" t="str">
        <f t="shared" si="89"/>
        <v>NO</v>
      </c>
      <c r="P559" s="17" t="str">
        <f t="shared" si="86"/>
        <v>🟢</v>
      </c>
      <c r="Q559" s="60"/>
    </row>
    <row r="560" spans="1:17" ht="18" hidden="1" customHeight="1" x14ac:dyDescent="0.4">
      <c r="A560" s="10">
        <f t="shared" si="87"/>
        <v>559</v>
      </c>
      <c r="B560" s="13">
        <f t="shared" si="88"/>
        <v>559</v>
      </c>
      <c r="C560" s="16" t="s">
        <v>2162</v>
      </c>
      <c r="D560" s="16" t="s">
        <v>1379</v>
      </c>
      <c r="E560" s="17" t="str">
        <f t="shared" si="90"/>
        <v>VIP</v>
      </c>
      <c r="F560" s="16" t="s">
        <v>2227</v>
      </c>
      <c r="G560" s="16" t="s">
        <v>2228</v>
      </c>
      <c r="H560" s="16" t="s">
        <v>2229</v>
      </c>
      <c r="I560" s="16" t="s">
        <v>2230</v>
      </c>
      <c r="J560" s="61" t="s">
        <v>22</v>
      </c>
      <c r="K560" s="11" t="s">
        <v>2231</v>
      </c>
      <c r="L560" s="16"/>
      <c r="M560" s="16"/>
      <c r="N560" s="17" t="s">
        <v>24</v>
      </c>
      <c r="O560" s="17" t="str">
        <f t="shared" si="89"/>
        <v>SI</v>
      </c>
      <c r="P560" s="17" t="str">
        <f t="shared" si="86"/>
        <v>🟢</v>
      </c>
      <c r="Q560" s="60" t="s">
        <v>1152</v>
      </c>
    </row>
    <row r="561" spans="1:17" ht="18" customHeight="1" x14ac:dyDescent="0.4">
      <c r="A561" s="7">
        <f t="shared" si="87"/>
        <v>560</v>
      </c>
      <c r="B561" s="13">
        <f t="shared" si="88"/>
        <v>560</v>
      </c>
      <c r="C561" s="32" t="s">
        <v>2569</v>
      </c>
      <c r="D561" s="32"/>
      <c r="E561" s="33" t="str">
        <f t="shared" si="90"/>
        <v>LATERAL</v>
      </c>
      <c r="F561" s="16" t="s">
        <v>2655</v>
      </c>
      <c r="G561" s="32" t="s">
        <v>2656</v>
      </c>
      <c r="H561" s="32" t="s">
        <v>946</v>
      </c>
      <c r="I561" s="32" t="s">
        <v>2657</v>
      </c>
      <c r="J561" s="61" t="s">
        <v>22</v>
      </c>
      <c r="K561" s="32" t="s">
        <v>2658</v>
      </c>
      <c r="L561" s="16" t="s">
        <v>3321</v>
      </c>
      <c r="M561" s="16">
        <v>19</v>
      </c>
      <c r="N561" s="17" t="s">
        <v>1257</v>
      </c>
      <c r="O561" s="17" t="str">
        <f t="shared" si="89"/>
        <v>NO</v>
      </c>
      <c r="P561" s="17" t="str">
        <f t="shared" si="86"/>
        <v>🟢</v>
      </c>
      <c r="Q561" s="60"/>
    </row>
    <row r="562" spans="1:17" ht="18" hidden="1" customHeight="1" x14ac:dyDescent="0.4">
      <c r="A562" s="10">
        <f t="shared" si="87"/>
        <v>561</v>
      </c>
      <c r="B562" s="13">
        <f t="shared" si="88"/>
        <v>561</v>
      </c>
      <c r="C562" s="30" t="s">
        <v>2162</v>
      </c>
      <c r="D562" s="30"/>
      <c r="E562" s="31" t="str">
        <f t="shared" si="90"/>
        <v/>
      </c>
      <c r="F562" s="16" t="s">
        <v>2236</v>
      </c>
      <c r="G562" s="30" t="s">
        <v>1115</v>
      </c>
      <c r="H562" s="30" t="s">
        <v>2237</v>
      </c>
      <c r="I562" s="30"/>
      <c r="J562" s="63" t="s">
        <v>71</v>
      </c>
      <c r="K562" s="30" t="s">
        <v>2238</v>
      </c>
      <c r="L562" s="16"/>
      <c r="M562" s="16"/>
      <c r="N562" s="17" t="s">
        <v>24</v>
      </c>
      <c r="O562" s="17" t="str">
        <f t="shared" si="89"/>
        <v>NO</v>
      </c>
      <c r="P562" s="17" t="str">
        <f t="shared" si="86"/>
        <v>🔴</v>
      </c>
      <c r="Q562" s="60"/>
    </row>
    <row r="563" spans="1:17" ht="18" hidden="1" customHeight="1" x14ac:dyDescent="0.4">
      <c r="A563" s="7">
        <f t="shared" si="87"/>
        <v>562</v>
      </c>
      <c r="B563" s="13">
        <f t="shared" si="88"/>
        <v>562</v>
      </c>
      <c r="C563" s="30" t="s">
        <v>2162</v>
      </c>
      <c r="D563" s="30"/>
      <c r="E563" s="31" t="str">
        <f t="shared" si="90"/>
        <v>VIP</v>
      </c>
      <c r="F563" s="16" t="s">
        <v>2239</v>
      </c>
      <c r="G563" s="30" t="s">
        <v>2240</v>
      </c>
      <c r="H563" s="30" t="s">
        <v>2241</v>
      </c>
      <c r="I563" s="30"/>
      <c r="J563" s="61" t="s">
        <v>22</v>
      </c>
      <c r="K563" s="30" t="s">
        <v>2242</v>
      </c>
      <c r="L563" s="16"/>
      <c r="M563" s="16"/>
      <c r="N563" s="17" t="s">
        <v>24</v>
      </c>
      <c r="O563" s="17" t="str">
        <f t="shared" si="89"/>
        <v>SI</v>
      </c>
      <c r="P563" s="17" t="str">
        <f t="shared" si="86"/>
        <v>🟢</v>
      </c>
      <c r="Q563" s="60" t="s">
        <v>1152</v>
      </c>
    </row>
    <row r="564" spans="1:17" ht="18" customHeight="1" x14ac:dyDescent="0.4">
      <c r="A564" s="10">
        <f t="shared" si="87"/>
        <v>563</v>
      </c>
      <c r="B564" s="13">
        <f t="shared" si="88"/>
        <v>563</v>
      </c>
      <c r="C564" s="24" t="s">
        <v>1569</v>
      </c>
      <c r="D564" s="24" t="s">
        <v>1648</v>
      </c>
      <c r="E564" s="17" t="s">
        <v>1257</v>
      </c>
      <c r="F564" s="16" t="s">
        <v>1649</v>
      </c>
      <c r="G564" s="24" t="s">
        <v>1446</v>
      </c>
      <c r="H564" s="24" t="s">
        <v>1650</v>
      </c>
      <c r="I564" s="24" t="s">
        <v>167</v>
      </c>
      <c r="J564" s="61" t="s">
        <v>22</v>
      </c>
      <c r="K564" s="24" t="s">
        <v>1651</v>
      </c>
      <c r="L564" s="16" t="s">
        <v>3320</v>
      </c>
      <c r="M564" s="16">
        <v>52</v>
      </c>
      <c r="N564" s="17" t="s">
        <v>1257</v>
      </c>
      <c r="O564" s="17" t="str">
        <f t="shared" si="89"/>
        <v>NO</v>
      </c>
      <c r="P564" s="17" t="str">
        <f t="shared" si="86"/>
        <v>🟢</v>
      </c>
      <c r="Q564" s="60"/>
    </row>
    <row r="565" spans="1:17" ht="18" customHeight="1" x14ac:dyDescent="0.4">
      <c r="A565" s="7">
        <f t="shared" si="87"/>
        <v>564</v>
      </c>
      <c r="B565" s="13">
        <f t="shared" si="88"/>
        <v>564</v>
      </c>
      <c r="C565" s="16" t="s">
        <v>1569</v>
      </c>
      <c r="D565" s="16" t="s">
        <v>817</v>
      </c>
      <c r="E565" s="17" t="s">
        <v>1257</v>
      </c>
      <c r="F565" s="16" t="s">
        <v>1644</v>
      </c>
      <c r="G565" s="16" t="s">
        <v>1545</v>
      </c>
      <c r="H565" s="16" t="s">
        <v>1645</v>
      </c>
      <c r="I565" s="16" t="s">
        <v>1646</v>
      </c>
      <c r="J565" s="61" t="s">
        <v>22</v>
      </c>
      <c r="K565" s="16" t="s">
        <v>1647</v>
      </c>
      <c r="L565" s="16" t="s">
        <v>3320</v>
      </c>
      <c r="M565" s="16">
        <v>53</v>
      </c>
      <c r="N565" s="17" t="s">
        <v>1257</v>
      </c>
      <c r="O565" s="17" t="str">
        <f t="shared" si="89"/>
        <v>NO</v>
      </c>
      <c r="P565" s="17" t="str">
        <f t="shared" si="86"/>
        <v>🟢</v>
      </c>
      <c r="Q565" s="60"/>
    </row>
    <row r="566" spans="1:17" ht="18" customHeight="1" x14ac:dyDescent="0.4">
      <c r="A566" s="10">
        <f t="shared" si="87"/>
        <v>565</v>
      </c>
      <c r="B566" s="13">
        <f t="shared" si="88"/>
        <v>565</v>
      </c>
      <c r="C566" s="11" t="s">
        <v>2569</v>
      </c>
      <c r="D566" s="11"/>
      <c r="E566" s="12" t="str">
        <f>IF(UPPER($J566)="NO","",$N566)</f>
        <v>LATERAL</v>
      </c>
      <c r="F566" s="16" t="s">
        <v>2659</v>
      </c>
      <c r="G566" s="11" t="s">
        <v>2660</v>
      </c>
      <c r="H566" s="11" t="s">
        <v>2661</v>
      </c>
      <c r="I566" s="11" t="s">
        <v>2662</v>
      </c>
      <c r="J566" s="61" t="s">
        <v>22</v>
      </c>
      <c r="K566" s="11" t="s">
        <v>2663</v>
      </c>
      <c r="L566" s="16" t="s">
        <v>3321</v>
      </c>
      <c r="M566" s="16">
        <v>20</v>
      </c>
      <c r="N566" s="17" t="s">
        <v>1257</v>
      </c>
      <c r="O566" s="17" t="str">
        <f t="shared" si="89"/>
        <v>NO</v>
      </c>
      <c r="P566" s="17" t="str">
        <f t="shared" si="86"/>
        <v>🟢</v>
      </c>
      <c r="Q566" s="60"/>
    </row>
    <row r="567" spans="1:17" ht="18" customHeight="1" x14ac:dyDescent="0.4">
      <c r="A567" s="7">
        <f t="shared" si="87"/>
        <v>566</v>
      </c>
      <c r="B567" s="13">
        <f t="shared" si="88"/>
        <v>566</v>
      </c>
      <c r="C567" s="16" t="s">
        <v>1569</v>
      </c>
      <c r="D567" s="16" t="s">
        <v>817</v>
      </c>
      <c r="E567" s="17" t="s">
        <v>1257</v>
      </c>
      <c r="F567" s="16" t="s">
        <v>1636</v>
      </c>
      <c r="G567" s="16" t="s">
        <v>1637</v>
      </c>
      <c r="H567" s="16" t="s">
        <v>1638</v>
      </c>
      <c r="I567" s="16" t="s">
        <v>1609</v>
      </c>
      <c r="J567" s="62" t="s">
        <v>22</v>
      </c>
      <c r="K567" s="16" t="s">
        <v>1639</v>
      </c>
      <c r="L567" s="16" t="s">
        <v>3320</v>
      </c>
      <c r="M567" s="16">
        <v>54</v>
      </c>
      <c r="N567" s="17" t="s">
        <v>1257</v>
      </c>
      <c r="O567" s="17" t="str">
        <f t="shared" si="89"/>
        <v>NO</v>
      </c>
      <c r="P567" s="17" t="str">
        <f t="shared" si="86"/>
        <v>🟢</v>
      </c>
      <c r="Q567" s="60"/>
    </row>
    <row r="568" spans="1:17" ht="18" hidden="1" customHeight="1" x14ac:dyDescent="0.4">
      <c r="A568" s="10">
        <f t="shared" si="87"/>
        <v>567</v>
      </c>
      <c r="B568" s="13">
        <f t="shared" si="88"/>
        <v>567</v>
      </c>
      <c r="C568" s="30" t="s">
        <v>2162</v>
      </c>
      <c r="D568" s="30"/>
      <c r="E568" s="31"/>
      <c r="F568" s="16" t="s">
        <v>2253</v>
      </c>
      <c r="G568" s="30" t="s">
        <v>2156</v>
      </c>
      <c r="H568" s="30" t="s">
        <v>2254</v>
      </c>
      <c r="I568" s="30"/>
      <c r="J568" s="62" t="s">
        <v>71</v>
      </c>
      <c r="K568" s="30" t="s">
        <v>2255</v>
      </c>
      <c r="L568" s="16"/>
      <c r="M568" s="16"/>
      <c r="N568" s="17" t="s">
        <v>24</v>
      </c>
      <c r="O568" s="17" t="str">
        <f t="shared" si="89"/>
        <v>NO</v>
      </c>
      <c r="P568" s="17" t="str">
        <f t="shared" si="86"/>
        <v>🔴</v>
      </c>
      <c r="Q568" s="60" t="s">
        <v>1152</v>
      </c>
    </row>
    <row r="569" spans="1:17" ht="18" hidden="1" customHeight="1" x14ac:dyDescent="0.4">
      <c r="A569" s="7">
        <f t="shared" si="87"/>
        <v>568</v>
      </c>
      <c r="B569" s="13">
        <f t="shared" si="88"/>
        <v>568</v>
      </c>
      <c r="C569" s="16" t="s">
        <v>2162</v>
      </c>
      <c r="D569" s="16" t="s">
        <v>95</v>
      </c>
      <c r="E569" s="17" t="str">
        <f>IF(UPPER($J569)="NO","",$N569)</f>
        <v/>
      </c>
      <c r="F569" s="16" t="s">
        <v>2256</v>
      </c>
      <c r="G569" s="16" t="s">
        <v>488</v>
      </c>
      <c r="H569" s="16" t="s">
        <v>2257</v>
      </c>
      <c r="I569" s="16" t="s">
        <v>172</v>
      </c>
      <c r="J569" s="62" t="s">
        <v>71</v>
      </c>
      <c r="K569" s="16" t="s">
        <v>2258</v>
      </c>
      <c r="L569" s="16"/>
      <c r="M569" s="16"/>
      <c r="N569" s="17" t="s">
        <v>24</v>
      </c>
      <c r="O569" s="17" t="str">
        <f t="shared" si="89"/>
        <v>NO</v>
      </c>
      <c r="P569" s="17" t="str">
        <f t="shared" si="86"/>
        <v>🔴</v>
      </c>
      <c r="Q569" s="60" t="s">
        <v>1152</v>
      </c>
    </row>
    <row r="570" spans="1:17" ht="18" hidden="1" customHeight="1" x14ac:dyDescent="0.4">
      <c r="A570" s="10">
        <f t="shared" si="87"/>
        <v>569</v>
      </c>
      <c r="B570" s="13">
        <f t="shared" si="88"/>
        <v>569</v>
      </c>
      <c r="C570" s="16" t="s">
        <v>2162</v>
      </c>
      <c r="D570" s="16"/>
      <c r="E570" s="17" t="str">
        <f>IF(UPPER($J570)="NO","",$N570)</f>
        <v>VIP</v>
      </c>
      <c r="F570" s="16" t="s">
        <v>1984</v>
      </c>
      <c r="G570" s="16" t="s">
        <v>473</v>
      </c>
      <c r="H570" s="16" t="s">
        <v>135</v>
      </c>
      <c r="I570" s="16"/>
      <c r="J570" s="61" t="s">
        <v>22</v>
      </c>
      <c r="K570" s="16" t="s">
        <v>2259</v>
      </c>
      <c r="L570" s="16"/>
      <c r="M570" s="16"/>
      <c r="N570" s="17" t="s">
        <v>24</v>
      </c>
      <c r="O570" s="17" t="str">
        <f t="shared" si="89"/>
        <v>SI</v>
      </c>
      <c r="P570" s="17" t="str">
        <f t="shared" si="86"/>
        <v>🟢</v>
      </c>
      <c r="Q570" s="60" t="s">
        <v>1152</v>
      </c>
    </row>
    <row r="571" spans="1:17" ht="18" hidden="1" customHeight="1" x14ac:dyDescent="0.4">
      <c r="A571" s="7">
        <f t="shared" si="87"/>
        <v>570</v>
      </c>
      <c r="B571" s="13">
        <f t="shared" si="88"/>
        <v>570</v>
      </c>
      <c r="C571" s="30" t="s">
        <v>2162</v>
      </c>
      <c r="D571" s="30" t="s">
        <v>95</v>
      </c>
      <c r="E571" s="31" t="str">
        <f>IF(UPPER($J571)="NO","",$N571)</f>
        <v>VIP</v>
      </c>
      <c r="F571" s="16" t="s">
        <v>2260</v>
      </c>
      <c r="G571" s="30" t="s">
        <v>513</v>
      </c>
      <c r="H571" s="30" t="s">
        <v>172</v>
      </c>
      <c r="I571" s="30" t="s">
        <v>2261</v>
      </c>
      <c r="J571" s="61" t="s">
        <v>22</v>
      </c>
      <c r="K571" s="30" t="s">
        <v>2262</v>
      </c>
      <c r="L571" s="16"/>
      <c r="M571" s="16"/>
      <c r="N571" s="17" t="s">
        <v>24</v>
      </c>
      <c r="O571" s="17" t="str">
        <f t="shared" si="89"/>
        <v>SI</v>
      </c>
      <c r="P571" s="17" t="str">
        <f t="shared" si="86"/>
        <v>🟢</v>
      </c>
      <c r="Q571" s="60" t="s">
        <v>1152</v>
      </c>
    </row>
    <row r="572" spans="1:17" ht="18" hidden="1" customHeight="1" x14ac:dyDescent="0.4">
      <c r="A572" s="10">
        <f t="shared" si="87"/>
        <v>571</v>
      </c>
      <c r="B572" s="13">
        <f t="shared" si="88"/>
        <v>571</v>
      </c>
      <c r="C572" s="30" t="s">
        <v>2162</v>
      </c>
      <c r="D572" s="30"/>
      <c r="E572" s="31" t="str">
        <f>IF(UPPER($J572)="NO","",$N572)</f>
        <v/>
      </c>
      <c r="F572" s="16" t="s">
        <v>2263</v>
      </c>
      <c r="G572" s="30" t="s">
        <v>2264</v>
      </c>
      <c r="H572" s="30" t="s">
        <v>172</v>
      </c>
      <c r="I572" s="30" t="s">
        <v>2265</v>
      </c>
      <c r="J572" s="62" t="s">
        <v>71</v>
      </c>
      <c r="K572" s="30" t="s">
        <v>2266</v>
      </c>
      <c r="L572" s="16"/>
      <c r="M572" s="16"/>
      <c r="N572" s="17" t="s">
        <v>24</v>
      </c>
      <c r="O572" s="17" t="str">
        <f t="shared" si="89"/>
        <v>NO</v>
      </c>
      <c r="P572" s="17" t="str">
        <f t="shared" si="86"/>
        <v>🔴</v>
      </c>
      <c r="Q572" s="60"/>
    </row>
    <row r="573" spans="1:17" ht="18" customHeight="1" x14ac:dyDescent="0.4">
      <c r="A573" s="7">
        <f t="shared" si="87"/>
        <v>572</v>
      </c>
      <c r="B573" s="13">
        <f t="shared" si="88"/>
        <v>572</v>
      </c>
      <c r="C573" s="16" t="s">
        <v>1569</v>
      </c>
      <c r="D573" s="16" t="s">
        <v>817</v>
      </c>
      <c r="E573" s="17" t="s">
        <v>1257</v>
      </c>
      <c r="F573" s="16" t="s">
        <v>1621</v>
      </c>
      <c r="G573" s="16" t="s">
        <v>68</v>
      </c>
      <c r="H573" s="16" t="s">
        <v>1622</v>
      </c>
      <c r="I573" s="16" t="s">
        <v>1623</v>
      </c>
      <c r="J573" s="62" t="s">
        <v>22</v>
      </c>
      <c r="K573" s="16" t="s">
        <v>1624</v>
      </c>
      <c r="L573" s="16" t="s">
        <v>3320</v>
      </c>
      <c r="M573" s="16">
        <v>55</v>
      </c>
      <c r="N573" s="17" t="s">
        <v>1257</v>
      </c>
      <c r="O573" s="17" t="str">
        <f t="shared" si="89"/>
        <v>NO</v>
      </c>
      <c r="P573" s="17" t="str">
        <f t="shared" si="86"/>
        <v>🟢</v>
      </c>
      <c r="Q573" s="60"/>
    </row>
    <row r="574" spans="1:17" ht="18" hidden="1" customHeight="1" x14ac:dyDescent="0.4">
      <c r="A574" s="10">
        <f t="shared" si="87"/>
        <v>573</v>
      </c>
      <c r="B574" s="13">
        <f t="shared" si="88"/>
        <v>573</v>
      </c>
      <c r="C574" s="30" t="s">
        <v>2162</v>
      </c>
      <c r="D574" s="30" t="s">
        <v>95</v>
      </c>
      <c r="E574" s="31" t="str">
        <f>IF(UPPER($J574)="NO","",$N574)</f>
        <v/>
      </c>
      <c r="F574" s="16" t="s">
        <v>2270</v>
      </c>
      <c r="G574" s="30" t="s">
        <v>86</v>
      </c>
      <c r="H574" s="30" t="s">
        <v>2271</v>
      </c>
      <c r="I574" s="30"/>
      <c r="J574" s="63" t="s">
        <v>71</v>
      </c>
      <c r="K574" s="30" t="s">
        <v>2272</v>
      </c>
      <c r="L574" s="16"/>
      <c r="M574" s="16"/>
      <c r="N574" s="17" t="s">
        <v>24</v>
      </c>
      <c r="O574" s="17" t="str">
        <f t="shared" si="89"/>
        <v>NO</v>
      </c>
      <c r="P574" s="17" t="str">
        <f t="shared" si="86"/>
        <v>🔴</v>
      </c>
      <c r="Q574" s="60"/>
    </row>
    <row r="575" spans="1:17" ht="18" hidden="1" customHeight="1" x14ac:dyDescent="0.4">
      <c r="A575" s="7">
        <f t="shared" si="87"/>
        <v>574</v>
      </c>
      <c r="B575" s="13">
        <f t="shared" si="88"/>
        <v>574</v>
      </c>
      <c r="C575" s="30" t="s">
        <v>2162</v>
      </c>
      <c r="D575" s="30"/>
      <c r="E575" s="31" t="str">
        <f>IF(UPPER($J575)="NO","",$N575)</f>
        <v/>
      </c>
      <c r="F575" s="16" t="s">
        <v>2273</v>
      </c>
      <c r="G575" s="30" t="s">
        <v>128</v>
      </c>
      <c r="H575" s="30" t="s">
        <v>2271</v>
      </c>
      <c r="I575" s="30"/>
      <c r="J575" s="62" t="s">
        <v>71</v>
      </c>
      <c r="K575" s="30" t="s">
        <v>2274</v>
      </c>
      <c r="L575" s="16"/>
      <c r="M575" s="16"/>
      <c r="N575" s="17" t="s">
        <v>24</v>
      </c>
      <c r="O575" s="17" t="str">
        <f t="shared" si="89"/>
        <v>NO</v>
      </c>
      <c r="P575" s="17" t="str">
        <f t="shared" si="86"/>
        <v>🔴</v>
      </c>
      <c r="Q575" s="60" t="s">
        <v>1152</v>
      </c>
    </row>
    <row r="576" spans="1:17" ht="18" hidden="1" customHeight="1" x14ac:dyDescent="0.4">
      <c r="A576" s="10">
        <f t="shared" si="87"/>
        <v>575</v>
      </c>
      <c r="B576" s="13">
        <f t="shared" si="88"/>
        <v>575</v>
      </c>
      <c r="C576" s="16" t="s">
        <v>2162</v>
      </c>
      <c r="D576" s="16"/>
      <c r="E576" s="17" t="str">
        <f>IF(UPPER($J576)="NO","",$N576)</f>
        <v>VIP</v>
      </c>
      <c r="F576" s="16" t="s">
        <v>2275</v>
      </c>
      <c r="G576" s="16" t="s">
        <v>2276</v>
      </c>
      <c r="H576" s="16" t="s">
        <v>2277</v>
      </c>
      <c r="I576" s="16" t="s">
        <v>2278</v>
      </c>
      <c r="J576" s="62" t="s">
        <v>22</v>
      </c>
      <c r="K576" s="16" t="s">
        <v>2279</v>
      </c>
      <c r="L576" s="16"/>
      <c r="M576" s="16"/>
      <c r="N576" s="17" t="s">
        <v>24</v>
      </c>
      <c r="O576" s="17" t="str">
        <f t="shared" si="89"/>
        <v>SI</v>
      </c>
      <c r="P576" s="17" t="str">
        <f t="shared" si="86"/>
        <v>🟢</v>
      </c>
      <c r="Q576" s="60" t="s">
        <v>1152</v>
      </c>
    </row>
    <row r="577" spans="1:17" ht="18" hidden="1" customHeight="1" x14ac:dyDescent="0.4">
      <c r="A577" s="7">
        <f t="shared" si="87"/>
        <v>576</v>
      </c>
      <c r="B577" s="13">
        <f t="shared" si="88"/>
        <v>576</v>
      </c>
      <c r="C577" s="16" t="s">
        <v>2162</v>
      </c>
      <c r="D577" s="16"/>
      <c r="E577" s="17" t="s">
        <v>24</v>
      </c>
      <c r="F577" s="16" t="s">
        <v>2280</v>
      </c>
      <c r="G577" s="16" t="s">
        <v>724</v>
      </c>
      <c r="H577" s="16" t="s">
        <v>390</v>
      </c>
      <c r="I577" s="16" t="s">
        <v>2281</v>
      </c>
      <c r="J577" s="61" t="s">
        <v>22</v>
      </c>
      <c r="K577" s="16" t="s">
        <v>2282</v>
      </c>
      <c r="L577" s="16"/>
      <c r="M577" s="16"/>
      <c r="N577" s="17" t="s">
        <v>24</v>
      </c>
      <c r="O577" s="17" t="str">
        <f t="shared" si="89"/>
        <v>SI</v>
      </c>
      <c r="P577" s="17" t="str">
        <f t="shared" si="86"/>
        <v>🟢</v>
      </c>
      <c r="Q577" s="60" t="s">
        <v>1152</v>
      </c>
    </row>
    <row r="578" spans="1:17" ht="18" hidden="1" customHeight="1" x14ac:dyDescent="0.4">
      <c r="A578" s="10">
        <f t="shared" si="87"/>
        <v>577</v>
      </c>
      <c r="B578" s="13">
        <f t="shared" si="88"/>
        <v>577</v>
      </c>
      <c r="C578" s="30" t="s">
        <v>2162</v>
      </c>
      <c r="D578" s="30"/>
      <c r="E578" s="31" t="str">
        <f t="shared" ref="E578:E587" si="91">IF(UPPER($J578)="NO","",$N578)</f>
        <v/>
      </c>
      <c r="F578" s="16" t="s">
        <v>2283</v>
      </c>
      <c r="G578" s="16" t="s">
        <v>2284</v>
      </c>
      <c r="H578" s="16" t="s">
        <v>303</v>
      </c>
      <c r="I578" s="16" t="s">
        <v>2285</v>
      </c>
      <c r="J578" s="62" t="s">
        <v>71</v>
      </c>
      <c r="K578" s="30" t="s">
        <v>2286</v>
      </c>
      <c r="L578" s="16"/>
      <c r="M578" s="16"/>
      <c r="N578" s="17" t="s">
        <v>24</v>
      </c>
      <c r="O578" s="17" t="str">
        <f t="shared" si="89"/>
        <v>NO</v>
      </c>
      <c r="P578" s="17" t="str">
        <f t="shared" si="86"/>
        <v>🔴</v>
      </c>
      <c r="Q578" s="60" t="s">
        <v>1152</v>
      </c>
    </row>
    <row r="579" spans="1:17" ht="18" hidden="1" customHeight="1" x14ac:dyDescent="0.4">
      <c r="A579" s="7">
        <f t="shared" si="87"/>
        <v>578</v>
      </c>
      <c r="B579" s="13">
        <f t="shared" si="88"/>
        <v>578</v>
      </c>
      <c r="C579" s="30" t="s">
        <v>2162</v>
      </c>
      <c r="D579" s="30"/>
      <c r="E579" s="31" t="str">
        <f t="shared" si="91"/>
        <v/>
      </c>
      <c r="F579" s="16" t="s">
        <v>2287</v>
      </c>
      <c r="G579" s="30" t="s">
        <v>1879</v>
      </c>
      <c r="H579" s="30" t="s">
        <v>2288</v>
      </c>
      <c r="I579" s="30" t="s">
        <v>2289</v>
      </c>
      <c r="J579" s="62" t="s">
        <v>71</v>
      </c>
      <c r="K579" s="30" t="s">
        <v>2290</v>
      </c>
      <c r="L579" s="16"/>
      <c r="M579" s="16"/>
      <c r="N579" s="17" t="s">
        <v>24</v>
      </c>
      <c r="O579" s="17" t="str">
        <f t="shared" si="89"/>
        <v>NO</v>
      </c>
      <c r="P579" s="17" t="str">
        <f t="shared" si="86"/>
        <v>🔴</v>
      </c>
      <c r="Q579" s="60" t="s">
        <v>1152</v>
      </c>
    </row>
    <row r="580" spans="1:17" ht="18" hidden="1" customHeight="1" x14ac:dyDescent="0.4">
      <c r="A580" s="10">
        <f t="shared" si="87"/>
        <v>579</v>
      </c>
      <c r="B580" s="13">
        <f t="shared" si="88"/>
        <v>579</v>
      </c>
      <c r="C580" s="16" t="s">
        <v>2162</v>
      </c>
      <c r="D580" s="16"/>
      <c r="E580" s="17" t="str">
        <f t="shared" si="91"/>
        <v/>
      </c>
      <c r="F580" s="16" t="s">
        <v>2291</v>
      </c>
      <c r="G580" s="16" t="s">
        <v>2292</v>
      </c>
      <c r="H580" s="16" t="s">
        <v>2293</v>
      </c>
      <c r="I580" s="16"/>
      <c r="J580" s="62" t="s">
        <v>71</v>
      </c>
      <c r="K580" s="16" t="s">
        <v>2294</v>
      </c>
      <c r="L580" s="16"/>
      <c r="M580" s="16"/>
      <c r="N580" s="17" t="s">
        <v>24</v>
      </c>
      <c r="O580" s="17" t="str">
        <f t="shared" si="89"/>
        <v>NO</v>
      </c>
      <c r="P580" s="17" t="str">
        <f t="shared" si="86"/>
        <v>🔴</v>
      </c>
      <c r="Q580" s="60" t="s">
        <v>1152</v>
      </c>
    </row>
    <row r="581" spans="1:17" ht="18" hidden="1" customHeight="1" x14ac:dyDescent="0.4">
      <c r="A581" s="7">
        <f t="shared" si="87"/>
        <v>580</v>
      </c>
      <c r="B581" s="13">
        <f t="shared" si="88"/>
        <v>580</v>
      </c>
      <c r="C581" s="16" t="s">
        <v>2162</v>
      </c>
      <c r="D581" s="16"/>
      <c r="E581" s="17" t="str">
        <f t="shared" si="91"/>
        <v/>
      </c>
      <c r="F581" s="16" t="s">
        <v>2295</v>
      </c>
      <c r="G581" s="16" t="s">
        <v>2296</v>
      </c>
      <c r="H581" s="16" t="s">
        <v>2297</v>
      </c>
      <c r="I581" s="16"/>
      <c r="J581" s="62" t="s">
        <v>71</v>
      </c>
      <c r="K581" s="16" t="s">
        <v>2298</v>
      </c>
      <c r="L581" s="16"/>
      <c r="M581" s="16"/>
      <c r="N581" s="17" t="s">
        <v>24</v>
      </c>
      <c r="O581" s="17" t="str">
        <f t="shared" si="89"/>
        <v>NO</v>
      </c>
      <c r="P581" s="17" t="str">
        <f t="shared" ref="P581:P605" si="92">IF(UPPER($J581)="SI","🟢",IF(UPPER($J581)="NO","🔴","🟡"))</f>
        <v>🔴</v>
      </c>
      <c r="Q581" s="60" t="s">
        <v>1152</v>
      </c>
    </row>
    <row r="582" spans="1:17" ht="18" hidden="1" customHeight="1" x14ac:dyDescent="0.4">
      <c r="A582" s="10">
        <f t="shared" ref="A582:A613" si="93">IF(COUNTA(C582:K582)=0,"",ROW()-1)</f>
        <v>581</v>
      </c>
      <c r="B582" s="13">
        <f t="shared" ref="B582:B605" si="94">IF($F582&lt;&gt;"",$A582,"")</f>
        <v>581</v>
      </c>
      <c r="C582" s="30" t="s">
        <v>2162</v>
      </c>
      <c r="D582" s="30"/>
      <c r="E582" s="31" t="str">
        <f t="shared" si="91"/>
        <v/>
      </c>
      <c r="F582" s="16" t="s">
        <v>2299</v>
      </c>
      <c r="G582" s="30" t="s">
        <v>2300</v>
      </c>
      <c r="H582" s="30" t="s">
        <v>2301</v>
      </c>
      <c r="I582" s="30"/>
      <c r="J582" s="62" t="s">
        <v>71</v>
      </c>
      <c r="K582" s="30" t="s">
        <v>2302</v>
      </c>
      <c r="L582" s="16"/>
      <c r="M582" s="16"/>
      <c r="N582" s="17" t="s">
        <v>24</v>
      </c>
      <c r="O582" s="17" t="str">
        <f t="shared" ref="O582:O605" si="95">IF(AND(UPPER($N582)="VIP",UPPER($J582)&lt;&gt;"NO",$F582&lt;&gt;""),"SI","NO")</f>
        <v>NO</v>
      </c>
      <c r="P582" s="17" t="str">
        <f t="shared" si="92"/>
        <v>🔴</v>
      </c>
      <c r="Q582" s="60" t="s">
        <v>1152</v>
      </c>
    </row>
    <row r="583" spans="1:17" ht="18" hidden="1" customHeight="1" x14ac:dyDescent="0.4">
      <c r="A583" s="7">
        <f t="shared" si="93"/>
        <v>582</v>
      </c>
      <c r="B583" s="13">
        <f t="shared" si="94"/>
        <v>582</v>
      </c>
      <c r="C583" s="30" t="s">
        <v>2162</v>
      </c>
      <c r="D583" s="30"/>
      <c r="E583" s="31" t="str">
        <f t="shared" si="91"/>
        <v/>
      </c>
      <c r="F583" s="16" t="s">
        <v>2303</v>
      </c>
      <c r="G583" s="30" t="s">
        <v>2304</v>
      </c>
      <c r="H583" s="30" t="s">
        <v>1496</v>
      </c>
      <c r="I583" s="30"/>
      <c r="J583" s="62" t="s">
        <v>71</v>
      </c>
      <c r="K583" s="30" t="s">
        <v>2305</v>
      </c>
      <c r="L583" s="16"/>
      <c r="M583" s="16"/>
      <c r="N583" s="17" t="s">
        <v>24</v>
      </c>
      <c r="O583" s="17" t="str">
        <f t="shared" si="95"/>
        <v>NO</v>
      </c>
      <c r="P583" s="17" t="str">
        <f t="shared" si="92"/>
        <v>🔴</v>
      </c>
      <c r="Q583" s="60" t="s">
        <v>1152</v>
      </c>
    </row>
    <row r="584" spans="1:17" ht="18" hidden="1" customHeight="1" x14ac:dyDescent="0.4">
      <c r="A584" s="10">
        <f t="shared" si="93"/>
        <v>583</v>
      </c>
      <c r="B584" s="13">
        <f t="shared" si="94"/>
        <v>583</v>
      </c>
      <c r="C584" s="16" t="s">
        <v>2162</v>
      </c>
      <c r="D584" s="16"/>
      <c r="E584" s="17" t="str">
        <f t="shared" si="91"/>
        <v/>
      </c>
      <c r="F584" s="16" t="s">
        <v>2306</v>
      </c>
      <c r="G584" s="16" t="s">
        <v>2307</v>
      </c>
      <c r="H584" s="16" t="s">
        <v>2308</v>
      </c>
      <c r="I584" s="16"/>
      <c r="J584" s="62" t="s">
        <v>71</v>
      </c>
      <c r="K584" s="16" t="s">
        <v>2309</v>
      </c>
      <c r="L584" s="16"/>
      <c r="M584" s="16"/>
      <c r="N584" s="17" t="s">
        <v>24</v>
      </c>
      <c r="O584" s="17" t="str">
        <f t="shared" si="95"/>
        <v>NO</v>
      </c>
      <c r="P584" s="17" t="str">
        <f t="shared" si="92"/>
        <v>🔴</v>
      </c>
      <c r="Q584" s="60" t="s">
        <v>1152</v>
      </c>
    </row>
    <row r="585" spans="1:17" ht="18" hidden="1" customHeight="1" x14ac:dyDescent="0.4">
      <c r="A585" s="7">
        <f t="shared" si="93"/>
        <v>584</v>
      </c>
      <c r="B585" s="13">
        <f t="shared" si="94"/>
        <v>584</v>
      </c>
      <c r="C585" s="30" t="s">
        <v>2162</v>
      </c>
      <c r="D585" s="30"/>
      <c r="E585" s="31" t="str">
        <f t="shared" si="91"/>
        <v/>
      </c>
      <c r="F585" s="16" t="s">
        <v>2310</v>
      </c>
      <c r="G585" s="30" t="s">
        <v>1406</v>
      </c>
      <c r="H585" s="30" t="s">
        <v>2311</v>
      </c>
      <c r="I585" s="30" t="s">
        <v>2312</v>
      </c>
      <c r="J585" s="63" t="s">
        <v>71</v>
      </c>
      <c r="K585" s="30" t="s">
        <v>2313</v>
      </c>
      <c r="L585" s="16"/>
      <c r="M585" s="16"/>
      <c r="N585" s="17"/>
      <c r="O585" s="17" t="str">
        <f t="shared" si="95"/>
        <v>NO</v>
      </c>
      <c r="P585" s="17" t="str">
        <f t="shared" si="92"/>
        <v>🔴</v>
      </c>
      <c r="Q585" s="60"/>
    </row>
    <row r="586" spans="1:17" ht="18" hidden="1" customHeight="1" x14ac:dyDescent="0.4">
      <c r="A586" s="10">
        <f t="shared" si="93"/>
        <v>585</v>
      </c>
      <c r="B586" s="13">
        <f t="shared" si="94"/>
        <v>585</v>
      </c>
      <c r="C586" s="30" t="s">
        <v>2162</v>
      </c>
      <c r="D586" s="30"/>
      <c r="E586" s="31" t="str">
        <f t="shared" si="91"/>
        <v/>
      </c>
      <c r="F586" s="16" t="s">
        <v>2314</v>
      </c>
      <c r="G586" s="30" t="s">
        <v>2315</v>
      </c>
      <c r="H586" s="30" t="s">
        <v>2316</v>
      </c>
      <c r="I586" s="30"/>
      <c r="J586" s="62" t="s">
        <v>71</v>
      </c>
      <c r="K586" s="30" t="s">
        <v>2317</v>
      </c>
      <c r="L586" s="16"/>
      <c r="M586" s="16"/>
      <c r="N586" s="17" t="s">
        <v>24</v>
      </c>
      <c r="O586" s="17" t="str">
        <f t="shared" si="95"/>
        <v>NO</v>
      </c>
      <c r="P586" s="17" t="str">
        <f t="shared" si="92"/>
        <v>🔴</v>
      </c>
      <c r="Q586" s="60" t="s">
        <v>1152</v>
      </c>
    </row>
    <row r="587" spans="1:17" ht="18" hidden="1" customHeight="1" x14ac:dyDescent="0.4">
      <c r="A587" s="7">
        <f t="shared" si="93"/>
        <v>586</v>
      </c>
      <c r="B587" s="13">
        <f t="shared" si="94"/>
        <v>586</v>
      </c>
      <c r="C587" s="30" t="s">
        <v>2162</v>
      </c>
      <c r="D587" s="30" t="s">
        <v>751</v>
      </c>
      <c r="E587" s="31" t="str">
        <f t="shared" si="91"/>
        <v/>
      </c>
      <c r="F587" s="16" t="s">
        <v>2318</v>
      </c>
      <c r="G587" s="30" t="s">
        <v>2319</v>
      </c>
      <c r="H587" s="30" t="s">
        <v>2320</v>
      </c>
      <c r="I587" s="30" t="s">
        <v>2320</v>
      </c>
      <c r="J587" s="63" t="s">
        <v>71</v>
      </c>
      <c r="K587" s="30" t="s">
        <v>2321</v>
      </c>
      <c r="L587" s="16"/>
      <c r="M587" s="16"/>
      <c r="N587" s="17"/>
      <c r="O587" s="17" t="str">
        <f t="shared" si="95"/>
        <v>NO</v>
      </c>
      <c r="P587" s="17" t="str">
        <f t="shared" si="92"/>
        <v>🔴</v>
      </c>
      <c r="Q587" s="60"/>
    </row>
    <row r="588" spans="1:17" ht="18" customHeight="1" x14ac:dyDescent="0.4">
      <c r="A588" s="10">
        <f t="shared" si="93"/>
        <v>587</v>
      </c>
      <c r="B588" s="13">
        <f t="shared" si="94"/>
        <v>587</v>
      </c>
      <c r="C588" s="24" t="s">
        <v>1569</v>
      </c>
      <c r="D588" s="24" t="s">
        <v>817</v>
      </c>
      <c r="E588" s="17" t="s">
        <v>1257</v>
      </c>
      <c r="F588" s="16" t="s">
        <v>1625</v>
      </c>
      <c r="G588" s="24" t="s">
        <v>1626</v>
      </c>
      <c r="H588" s="24" t="s">
        <v>1627</v>
      </c>
      <c r="I588" s="24" t="s">
        <v>88</v>
      </c>
      <c r="J588" s="61" t="s">
        <v>22</v>
      </c>
      <c r="K588" s="24" t="s">
        <v>1628</v>
      </c>
      <c r="L588" s="16" t="s">
        <v>3320</v>
      </c>
      <c r="M588" s="16">
        <v>56</v>
      </c>
      <c r="N588" s="17" t="s">
        <v>1257</v>
      </c>
      <c r="O588" s="17" t="str">
        <f t="shared" si="95"/>
        <v>NO</v>
      </c>
      <c r="P588" s="17" t="str">
        <f t="shared" si="92"/>
        <v>🟢</v>
      </c>
      <c r="Q588" s="60"/>
    </row>
    <row r="589" spans="1:17" ht="18" hidden="1" customHeight="1" x14ac:dyDescent="0.4">
      <c r="A589" s="7">
        <f t="shared" si="93"/>
        <v>588</v>
      </c>
      <c r="B589" s="13">
        <f t="shared" si="94"/>
        <v>588</v>
      </c>
      <c r="C589" s="30" t="s">
        <v>2162</v>
      </c>
      <c r="D589" s="30"/>
      <c r="E589" s="31" t="str">
        <f>IF(UPPER($J589)="NO","",$N589)</f>
        <v/>
      </c>
      <c r="F589" s="16" t="s">
        <v>2325</v>
      </c>
      <c r="G589" s="30" t="s">
        <v>2326</v>
      </c>
      <c r="H589" s="30" t="s">
        <v>2327</v>
      </c>
      <c r="I589" s="30"/>
      <c r="J589" s="63" t="s">
        <v>71</v>
      </c>
      <c r="K589" s="30" t="s">
        <v>2328</v>
      </c>
      <c r="L589" s="16"/>
      <c r="M589" s="16"/>
      <c r="N589" s="17"/>
      <c r="O589" s="17" t="str">
        <f t="shared" si="95"/>
        <v>NO</v>
      </c>
      <c r="P589" s="17" t="str">
        <f t="shared" si="92"/>
        <v>🔴</v>
      </c>
      <c r="Q589" s="60"/>
    </row>
    <row r="590" spans="1:17" ht="18" hidden="1" customHeight="1" x14ac:dyDescent="0.4">
      <c r="A590" s="10">
        <f t="shared" si="93"/>
        <v>589</v>
      </c>
      <c r="B590" s="13">
        <f t="shared" si="94"/>
        <v>589</v>
      </c>
      <c r="C590" s="30" t="s">
        <v>2162</v>
      </c>
      <c r="D590" s="30"/>
      <c r="E590" s="31" t="str">
        <f>IF(UPPER($J590)="NO","",$N590)</f>
        <v/>
      </c>
      <c r="F590" s="16" t="s">
        <v>2329</v>
      </c>
      <c r="G590" s="30" t="s">
        <v>2330</v>
      </c>
      <c r="H590" s="30" t="s">
        <v>2331</v>
      </c>
      <c r="I590" s="30"/>
      <c r="J590" s="63" t="s">
        <v>71</v>
      </c>
      <c r="K590" s="30" t="s">
        <v>2332</v>
      </c>
      <c r="L590" s="16"/>
      <c r="M590" s="16"/>
      <c r="N590" s="17"/>
      <c r="O590" s="17" t="str">
        <f t="shared" si="95"/>
        <v>NO</v>
      </c>
      <c r="P590" s="17" t="str">
        <f t="shared" si="92"/>
        <v>🔴</v>
      </c>
      <c r="Q590" s="60"/>
    </row>
    <row r="591" spans="1:17" ht="18" customHeight="1" x14ac:dyDescent="0.4">
      <c r="A591" s="10">
        <f t="shared" si="93"/>
        <v>590</v>
      </c>
      <c r="B591" s="13">
        <f t="shared" si="94"/>
        <v>590</v>
      </c>
      <c r="C591" s="16" t="s">
        <v>1389</v>
      </c>
      <c r="D591" s="16" t="s">
        <v>1390</v>
      </c>
      <c r="E591" s="17" t="s">
        <v>1257</v>
      </c>
      <c r="F591" s="16" t="s">
        <v>1391</v>
      </c>
      <c r="G591" s="16" t="s">
        <v>873</v>
      </c>
      <c r="H591" s="16" t="s">
        <v>543</v>
      </c>
      <c r="I591" s="16" t="s">
        <v>3326</v>
      </c>
      <c r="J591" s="62" t="s">
        <v>22</v>
      </c>
      <c r="K591" s="16" t="s">
        <v>3325</v>
      </c>
      <c r="L591" s="16" t="s">
        <v>3320</v>
      </c>
      <c r="M591" s="16">
        <v>57</v>
      </c>
      <c r="N591" s="17" t="s">
        <v>659</v>
      </c>
      <c r="O591" s="17" t="str">
        <f t="shared" si="95"/>
        <v>NO</v>
      </c>
      <c r="P591" s="17" t="str">
        <f t="shared" si="92"/>
        <v>🟢</v>
      </c>
      <c r="Q591" s="60"/>
    </row>
    <row r="592" spans="1:17" ht="18" customHeight="1" x14ac:dyDescent="0.4">
      <c r="A592" s="10">
        <f t="shared" si="93"/>
        <v>591</v>
      </c>
      <c r="B592" s="13">
        <f t="shared" si="94"/>
        <v>591</v>
      </c>
      <c r="C592" s="28" t="s">
        <v>1770</v>
      </c>
      <c r="D592" s="28" t="s">
        <v>3377</v>
      </c>
      <c r="E592" s="17" t="s">
        <v>1257</v>
      </c>
      <c r="F592" s="16" t="s">
        <v>2014</v>
      </c>
      <c r="G592" s="28" t="s">
        <v>615</v>
      </c>
      <c r="H592" s="28" t="s">
        <v>2012</v>
      </c>
      <c r="I592" s="28" t="s">
        <v>2015</v>
      </c>
      <c r="J592" s="61" t="s">
        <v>22</v>
      </c>
      <c r="K592" s="28" t="s">
        <v>2013</v>
      </c>
      <c r="L592" s="16" t="s">
        <v>3318</v>
      </c>
      <c r="M592" s="16">
        <v>49</v>
      </c>
      <c r="N592" s="17" t="s">
        <v>24</v>
      </c>
      <c r="O592" s="17" t="str">
        <f t="shared" si="95"/>
        <v>SI</v>
      </c>
      <c r="P592" s="17" t="str">
        <f t="shared" si="92"/>
        <v>🟢</v>
      </c>
      <c r="Q592" s="60" t="s">
        <v>1152</v>
      </c>
    </row>
    <row r="593" spans="1:17" ht="18" hidden="1" customHeight="1" x14ac:dyDescent="0.4">
      <c r="A593" s="7">
        <f t="shared" si="93"/>
        <v>592</v>
      </c>
      <c r="B593" s="13">
        <f t="shared" si="94"/>
        <v>592</v>
      </c>
      <c r="C593" s="16" t="s">
        <v>2162</v>
      </c>
      <c r="D593" s="16"/>
      <c r="E593" s="17" t="str">
        <f>IF(UPPER($J593)="NO","",$N593)</f>
        <v/>
      </c>
      <c r="F593" s="16" t="s">
        <v>2340</v>
      </c>
      <c r="G593" s="16" t="s">
        <v>2341</v>
      </c>
      <c r="H593" s="16" t="s">
        <v>2342</v>
      </c>
      <c r="I593" s="16"/>
      <c r="J593" s="63" t="s">
        <v>71</v>
      </c>
      <c r="K593" s="16" t="s">
        <v>2343</v>
      </c>
      <c r="L593" s="16"/>
      <c r="M593" s="16"/>
      <c r="N593" s="17"/>
      <c r="O593" s="17" t="str">
        <f t="shared" si="95"/>
        <v>NO</v>
      </c>
      <c r="P593" s="17" t="str">
        <f t="shared" si="92"/>
        <v>🔴</v>
      </c>
      <c r="Q593" s="60"/>
    </row>
    <row r="594" spans="1:17" ht="18" hidden="1" customHeight="1" x14ac:dyDescent="0.4">
      <c r="A594" s="10">
        <f t="shared" si="93"/>
        <v>593</v>
      </c>
      <c r="B594" s="13">
        <f t="shared" si="94"/>
        <v>593</v>
      </c>
      <c r="C594" s="16" t="s">
        <v>2162</v>
      </c>
      <c r="D594" s="16"/>
      <c r="E594" s="17" t="str">
        <f>IF(UPPER($J594)="NO","",$N594)</f>
        <v/>
      </c>
      <c r="F594" s="16" t="s">
        <v>2344</v>
      </c>
      <c r="G594" s="16" t="s">
        <v>2345</v>
      </c>
      <c r="H594" s="16" t="s">
        <v>2346</v>
      </c>
      <c r="I594" s="16"/>
      <c r="J594" s="62" t="s">
        <v>71</v>
      </c>
      <c r="K594" s="16" t="s">
        <v>2347</v>
      </c>
      <c r="L594" s="16"/>
      <c r="M594" s="16"/>
      <c r="N594" s="17" t="s">
        <v>24</v>
      </c>
      <c r="O594" s="17" t="str">
        <f t="shared" si="95"/>
        <v>NO</v>
      </c>
      <c r="P594" s="17" t="str">
        <f t="shared" si="92"/>
        <v>🔴</v>
      </c>
      <c r="Q594" s="60" t="s">
        <v>1152</v>
      </c>
    </row>
    <row r="595" spans="1:17" ht="18" customHeight="1" x14ac:dyDescent="0.4">
      <c r="A595" s="10">
        <f t="shared" si="93"/>
        <v>594</v>
      </c>
      <c r="B595" s="13">
        <f t="shared" si="94"/>
        <v>594</v>
      </c>
      <c r="C595" s="11" t="s">
        <v>2569</v>
      </c>
      <c r="D595" s="11"/>
      <c r="E595" s="12" t="str">
        <f>IF(UPPER($J595)="NO","",$N595)</f>
        <v>LATERAL</v>
      </c>
      <c r="F595" s="16" t="s">
        <v>2617</v>
      </c>
      <c r="G595" s="11" t="s">
        <v>2618</v>
      </c>
      <c r="H595" s="11" t="s">
        <v>2619</v>
      </c>
      <c r="I595" s="11" t="s">
        <v>2620</v>
      </c>
      <c r="J595" s="62" t="s">
        <v>22</v>
      </c>
      <c r="K595" s="11" t="s">
        <v>2621</v>
      </c>
      <c r="L595" s="16" t="s">
        <v>3320</v>
      </c>
      <c r="M595" s="16">
        <v>58</v>
      </c>
      <c r="N595" s="17" t="s">
        <v>1257</v>
      </c>
      <c r="O595" s="17" t="str">
        <f t="shared" si="95"/>
        <v>NO</v>
      </c>
      <c r="P595" s="17" t="str">
        <f t="shared" si="92"/>
        <v>🟢</v>
      </c>
      <c r="Q595" s="60"/>
    </row>
    <row r="596" spans="1:17" ht="18" customHeight="1" x14ac:dyDescent="0.4">
      <c r="A596" s="7">
        <f t="shared" si="93"/>
        <v>595</v>
      </c>
      <c r="B596" s="13">
        <f t="shared" si="94"/>
        <v>595</v>
      </c>
      <c r="C596" s="28" t="s">
        <v>1770</v>
      </c>
      <c r="D596" s="28"/>
      <c r="E596" s="17" t="s">
        <v>1257</v>
      </c>
      <c r="F596" s="16" t="s">
        <v>1916</v>
      </c>
      <c r="G596" s="28" t="s">
        <v>615</v>
      </c>
      <c r="H596" s="28" t="s">
        <v>1917</v>
      </c>
      <c r="I596" s="28" t="s">
        <v>1918</v>
      </c>
      <c r="J596" s="61" t="s">
        <v>22</v>
      </c>
      <c r="K596" s="28" t="s">
        <v>1919</v>
      </c>
      <c r="L596" s="16" t="s">
        <v>3318</v>
      </c>
      <c r="M596" s="16">
        <v>50</v>
      </c>
      <c r="N596" s="17" t="s">
        <v>659</v>
      </c>
      <c r="O596" s="17" t="str">
        <f t="shared" si="95"/>
        <v>NO</v>
      </c>
      <c r="P596" s="17" t="str">
        <f t="shared" si="92"/>
        <v>🟢</v>
      </c>
      <c r="Q596" s="60"/>
    </row>
    <row r="597" spans="1:17" ht="18" customHeight="1" x14ac:dyDescent="0.4">
      <c r="A597" s="7">
        <f t="shared" si="93"/>
        <v>596</v>
      </c>
      <c r="B597" s="13">
        <f t="shared" si="94"/>
        <v>596</v>
      </c>
      <c r="C597" s="11" t="s">
        <v>2441</v>
      </c>
      <c r="D597" s="11" t="s">
        <v>1379</v>
      </c>
      <c r="E597" s="17" t="s">
        <v>1257</v>
      </c>
      <c r="F597" s="16" t="s">
        <v>2446</v>
      </c>
      <c r="G597" s="11" t="s">
        <v>68</v>
      </c>
      <c r="H597" s="11" t="s">
        <v>1917</v>
      </c>
      <c r="I597" s="11" t="s">
        <v>1918</v>
      </c>
      <c r="J597" s="61" t="s">
        <v>22</v>
      </c>
      <c r="K597" s="11" t="s">
        <v>2447</v>
      </c>
      <c r="L597" s="16" t="s">
        <v>3318</v>
      </c>
      <c r="M597" s="16">
        <v>51</v>
      </c>
      <c r="N597" s="17" t="s">
        <v>659</v>
      </c>
      <c r="O597" s="17" t="str">
        <f t="shared" si="95"/>
        <v>NO</v>
      </c>
      <c r="P597" s="17" t="str">
        <f t="shared" si="92"/>
        <v>🟢</v>
      </c>
      <c r="Q597" s="60"/>
    </row>
    <row r="598" spans="1:17" ht="18" hidden="1" customHeight="1" x14ac:dyDescent="0.4">
      <c r="A598" s="10">
        <f t="shared" si="93"/>
        <v>597</v>
      </c>
      <c r="B598" s="13">
        <f t="shared" si="94"/>
        <v>597</v>
      </c>
      <c r="C598" s="30" t="s">
        <v>2162</v>
      </c>
      <c r="D598" s="30"/>
      <c r="E598" s="31" t="str">
        <f>IF(UPPER($J598)="NO","",$N598)</f>
        <v>VIP</v>
      </c>
      <c r="F598" s="16" t="s">
        <v>2353</v>
      </c>
      <c r="G598" s="30" t="s">
        <v>2354</v>
      </c>
      <c r="H598" s="30" t="s">
        <v>796</v>
      </c>
      <c r="I598" s="30" t="s">
        <v>2355</v>
      </c>
      <c r="J598" s="61" t="s">
        <v>22</v>
      </c>
      <c r="K598" s="30" t="s">
        <v>2356</v>
      </c>
      <c r="L598" s="16"/>
      <c r="M598" s="16"/>
      <c r="N598" s="17" t="s">
        <v>24</v>
      </c>
      <c r="O598" s="17" t="str">
        <f t="shared" si="95"/>
        <v>SI</v>
      </c>
      <c r="P598" s="17" t="str">
        <f t="shared" si="92"/>
        <v>🟢</v>
      </c>
      <c r="Q598" s="60" t="s">
        <v>1152</v>
      </c>
    </row>
    <row r="599" spans="1:17" ht="18" hidden="1" customHeight="1" x14ac:dyDescent="0.4">
      <c r="A599" s="7">
        <f t="shared" si="93"/>
        <v>598</v>
      </c>
      <c r="B599" s="13">
        <f t="shared" si="94"/>
        <v>598</v>
      </c>
      <c r="C599" s="16" t="s">
        <v>2162</v>
      </c>
      <c r="D599" s="16"/>
      <c r="E599" s="17" t="str">
        <f>IF(UPPER($J599)="NO","",$N599)</f>
        <v>LATERAL</v>
      </c>
      <c r="F599" s="16" t="s">
        <v>2351</v>
      </c>
      <c r="G599" s="16" t="s">
        <v>68</v>
      </c>
      <c r="H599" s="16" t="s">
        <v>2234</v>
      </c>
      <c r="I599" s="16"/>
      <c r="J599" s="62" t="s">
        <v>57</v>
      </c>
      <c r="K599" s="16" t="s">
        <v>2352</v>
      </c>
      <c r="L599" s="16"/>
      <c r="M599" s="16"/>
      <c r="N599" s="17" t="s">
        <v>1257</v>
      </c>
      <c r="O599" s="17" t="str">
        <f t="shared" si="95"/>
        <v>NO</v>
      </c>
      <c r="P599" s="17" t="str">
        <f t="shared" si="92"/>
        <v>🟡</v>
      </c>
      <c r="Q599" s="60"/>
    </row>
    <row r="600" spans="1:17" ht="18" customHeight="1" x14ac:dyDescent="0.4">
      <c r="A600" s="10">
        <f t="shared" si="93"/>
        <v>599</v>
      </c>
      <c r="B600" s="13">
        <f t="shared" si="94"/>
        <v>599</v>
      </c>
      <c r="C600" s="16" t="s">
        <v>2162</v>
      </c>
      <c r="D600" s="16" t="s">
        <v>1379</v>
      </c>
      <c r="E600" s="17" t="s">
        <v>1257</v>
      </c>
      <c r="F600" s="16" t="s">
        <v>2407</v>
      </c>
      <c r="G600" s="16" t="s">
        <v>533</v>
      </c>
      <c r="H600" s="16" t="s">
        <v>2408</v>
      </c>
      <c r="I600" s="16" t="s">
        <v>2409</v>
      </c>
      <c r="J600" s="61" t="s">
        <v>22</v>
      </c>
      <c r="K600" s="16" t="s">
        <v>2410</v>
      </c>
      <c r="L600" s="16" t="s">
        <v>3318</v>
      </c>
      <c r="M600" s="16">
        <v>52</v>
      </c>
      <c r="N600" s="17" t="s">
        <v>659</v>
      </c>
      <c r="O600" s="17" t="str">
        <f t="shared" si="95"/>
        <v>NO</v>
      </c>
      <c r="P600" s="17" t="str">
        <f t="shared" si="92"/>
        <v>🟢</v>
      </c>
      <c r="Q600" s="60"/>
    </row>
    <row r="601" spans="1:17" ht="18" hidden="1" customHeight="1" x14ac:dyDescent="0.4">
      <c r="A601" s="7">
        <f t="shared" si="93"/>
        <v>600</v>
      </c>
      <c r="B601" s="13">
        <f t="shared" si="94"/>
        <v>600</v>
      </c>
      <c r="C601" s="16" t="s">
        <v>2162</v>
      </c>
      <c r="D601" s="16"/>
      <c r="E601" s="17" t="str">
        <f>IF(UPPER($J601)="NO","",$N601)</f>
        <v/>
      </c>
      <c r="F601" s="16" t="s">
        <v>2364</v>
      </c>
      <c r="G601" s="16" t="s">
        <v>537</v>
      </c>
      <c r="H601" s="16" t="s">
        <v>2365</v>
      </c>
      <c r="I601" s="16"/>
      <c r="J601" s="61" t="s">
        <v>71</v>
      </c>
      <c r="K601" s="16" t="s">
        <v>2366</v>
      </c>
      <c r="L601" s="16"/>
      <c r="M601" s="16"/>
      <c r="N601" s="17" t="s">
        <v>659</v>
      </c>
      <c r="O601" s="17" t="str">
        <f t="shared" si="95"/>
        <v>NO</v>
      </c>
      <c r="P601" s="17" t="str">
        <f t="shared" si="92"/>
        <v>🔴</v>
      </c>
      <c r="Q601" s="60"/>
    </row>
    <row r="602" spans="1:17" ht="18" customHeight="1" x14ac:dyDescent="0.4">
      <c r="A602" s="10">
        <f t="shared" si="93"/>
        <v>601</v>
      </c>
      <c r="B602" s="13">
        <f t="shared" si="94"/>
        <v>601</v>
      </c>
      <c r="C602" s="30" t="s">
        <v>2162</v>
      </c>
      <c r="D602" s="30"/>
      <c r="E602" s="17" t="s">
        <v>1257</v>
      </c>
      <c r="F602" s="16" t="s">
        <v>2413</v>
      </c>
      <c r="G602" s="30" t="s">
        <v>498</v>
      </c>
      <c r="H602" s="30" t="s">
        <v>1413</v>
      </c>
      <c r="I602" s="30"/>
      <c r="J602" s="61" t="s">
        <v>22</v>
      </c>
      <c r="K602" s="30" t="s">
        <v>2414</v>
      </c>
      <c r="L602" s="16" t="s">
        <v>3318</v>
      </c>
      <c r="M602" s="16">
        <v>53</v>
      </c>
      <c r="N602" s="17" t="s">
        <v>659</v>
      </c>
      <c r="O602" s="17" t="str">
        <f t="shared" si="95"/>
        <v>NO</v>
      </c>
      <c r="P602" s="17" t="str">
        <f t="shared" si="92"/>
        <v>🟢</v>
      </c>
      <c r="Q602" s="60"/>
    </row>
    <row r="603" spans="1:17" ht="18" hidden="1" customHeight="1" x14ac:dyDescent="0.4">
      <c r="A603" s="7">
        <f t="shared" si="93"/>
        <v>602</v>
      </c>
      <c r="B603" s="13">
        <f t="shared" si="94"/>
        <v>602</v>
      </c>
      <c r="C603" s="16" t="s">
        <v>2162</v>
      </c>
      <c r="D603" s="16"/>
      <c r="E603" s="17" t="str">
        <f>IF(UPPER($J603)="NO","",$N603)</f>
        <v/>
      </c>
      <c r="F603" s="16" t="s">
        <v>2370</v>
      </c>
      <c r="G603" s="16" t="s">
        <v>533</v>
      </c>
      <c r="H603" s="16" t="s">
        <v>1275</v>
      </c>
      <c r="I603" s="16" t="s">
        <v>2371</v>
      </c>
      <c r="J603" s="63" t="s">
        <v>71</v>
      </c>
      <c r="K603" s="16" t="s">
        <v>2372</v>
      </c>
      <c r="L603" s="16"/>
      <c r="M603" s="16"/>
      <c r="N603" s="17"/>
      <c r="O603" s="17" t="str">
        <f t="shared" si="95"/>
        <v>NO</v>
      </c>
      <c r="P603" s="17" t="str">
        <f t="shared" si="92"/>
        <v>🔴</v>
      </c>
      <c r="Q603" s="60"/>
    </row>
    <row r="604" spans="1:17" ht="18" customHeight="1" x14ac:dyDescent="0.4">
      <c r="A604" s="10">
        <f t="shared" si="93"/>
        <v>603</v>
      </c>
      <c r="B604" s="13">
        <f t="shared" si="94"/>
        <v>603</v>
      </c>
      <c r="C604" s="30" t="s">
        <v>2162</v>
      </c>
      <c r="D604" s="30"/>
      <c r="E604" s="17" t="s">
        <v>1257</v>
      </c>
      <c r="F604" s="16" t="s">
        <v>2348</v>
      </c>
      <c r="G604" s="30" t="s">
        <v>86</v>
      </c>
      <c r="H604" s="30" t="s">
        <v>2349</v>
      </c>
      <c r="I604" s="30"/>
      <c r="J604" s="61" t="s">
        <v>22</v>
      </c>
      <c r="K604" s="30" t="s">
        <v>2350</v>
      </c>
      <c r="L604" s="16" t="s">
        <v>3318</v>
      </c>
      <c r="M604" s="16">
        <v>54</v>
      </c>
      <c r="N604" s="17" t="s">
        <v>659</v>
      </c>
      <c r="O604" s="17" t="str">
        <f t="shared" si="95"/>
        <v>NO</v>
      </c>
      <c r="P604" s="17" t="str">
        <f t="shared" si="92"/>
        <v>🟢</v>
      </c>
      <c r="Q604" s="60"/>
    </row>
    <row r="605" spans="1:17" ht="18" hidden="1" customHeight="1" x14ac:dyDescent="0.4">
      <c r="A605" s="7">
        <f t="shared" si="93"/>
        <v>604</v>
      </c>
      <c r="B605" s="13">
        <f t="shared" si="94"/>
        <v>604</v>
      </c>
      <c r="C605" s="30" t="s">
        <v>2162</v>
      </c>
      <c r="D605" s="30"/>
      <c r="E605" s="31" t="str">
        <f>IF(UPPER($J605)="NO","",$N605)</f>
        <v>VIP</v>
      </c>
      <c r="F605" s="16" t="s">
        <v>2378</v>
      </c>
      <c r="G605" s="30" t="s">
        <v>537</v>
      </c>
      <c r="H605" s="30" t="s">
        <v>2379</v>
      </c>
      <c r="I605" s="30"/>
      <c r="J605" s="61" t="s">
        <v>22</v>
      </c>
      <c r="K605" s="30" t="s">
        <v>2380</v>
      </c>
      <c r="L605" s="16"/>
      <c r="M605" s="16"/>
      <c r="N605" s="17" t="s">
        <v>24</v>
      </c>
      <c r="O605" s="17" t="str">
        <f t="shared" si="95"/>
        <v>SI</v>
      </c>
      <c r="P605" s="17" t="str">
        <f t="shared" si="92"/>
        <v>🟢</v>
      </c>
      <c r="Q605" s="60" t="s">
        <v>1152</v>
      </c>
    </row>
    <row r="606" spans="1:17" ht="18" customHeight="1" x14ac:dyDescent="0.4">
      <c r="A606" s="7">
        <f t="shared" si="93"/>
        <v>605</v>
      </c>
      <c r="B606" s="13">
        <v>577</v>
      </c>
      <c r="C606" s="16" t="s">
        <v>2162</v>
      </c>
      <c r="D606" s="16"/>
      <c r="E606" s="17" t="s">
        <v>1257</v>
      </c>
      <c r="F606" s="16" t="s">
        <v>3307</v>
      </c>
      <c r="G606" s="16" t="s">
        <v>91</v>
      </c>
      <c r="H606" s="16" t="s">
        <v>129</v>
      </c>
      <c r="I606" s="16" t="s">
        <v>3306</v>
      </c>
      <c r="J606" s="62" t="s">
        <v>22</v>
      </c>
      <c r="K606" s="16" t="s">
        <v>3308</v>
      </c>
      <c r="L606" s="16" t="s">
        <v>3318</v>
      </c>
      <c r="M606" s="16">
        <v>55</v>
      </c>
      <c r="N606" s="17"/>
      <c r="O606" s="17"/>
      <c r="P606" s="17"/>
      <c r="Q606" s="60"/>
    </row>
    <row r="607" spans="1:17" ht="18" hidden="1" customHeight="1" x14ac:dyDescent="0.4">
      <c r="A607" s="7">
        <f t="shared" si="93"/>
        <v>606</v>
      </c>
      <c r="B607" s="13">
        <f t="shared" ref="B607:B627" si="96">IF($F607&lt;&gt;"",$A607,"")</f>
        <v>606</v>
      </c>
      <c r="C607" s="30" t="s">
        <v>2162</v>
      </c>
      <c r="D607" s="30" t="s">
        <v>751</v>
      </c>
      <c r="E607" s="31" t="str">
        <f t="shared" ref="E607:E613" si="97">IF(UPPER($J607)="NO","",$N607)</f>
        <v/>
      </c>
      <c r="F607" s="16" t="s">
        <v>2384</v>
      </c>
      <c r="G607" s="30" t="s">
        <v>2385</v>
      </c>
      <c r="H607" s="30" t="s">
        <v>2386</v>
      </c>
      <c r="I607" s="30"/>
      <c r="J607" s="62" t="s">
        <v>71</v>
      </c>
      <c r="K607" s="30" t="s">
        <v>2387</v>
      </c>
      <c r="L607" s="16"/>
      <c r="M607" s="16"/>
      <c r="N607" s="17" t="s">
        <v>24</v>
      </c>
      <c r="O607" s="17" t="str">
        <f t="shared" ref="O607:O627" si="98">IF(AND(UPPER($N607)="VIP",UPPER($J607)&lt;&gt;"NO",$F607&lt;&gt;""),"SI","NO")</f>
        <v>NO</v>
      </c>
      <c r="P607" s="17" t="str">
        <f t="shared" ref="P607:P670" si="99">IF(UPPER($J607)="SI","🟢",IF(UPPER($J607)="NO","🔴","🟡"))</f>
        <v>🔴</v>
      </c>
      <c r="Q607" s="60" t="s">
        <v>1152</v>
      </c>
    </row>
    <row r="608" spans="1:17" ht="18" hidden="1" customHeight="1" x14ac:dyDescent="0.4">
      <c r="A608" s="10">
        <f t="shared" si="93"/>
        <v>607</v>
      </c>
      <c r="B608" s="13">
        <f t="shared" si="96"/>
        <v>607</v>
      </c>
      <c r="C608" s="30" t="s">
        <v>2162</v>
      </c>
      <c r="D608" s="30" t="s">
        <v>2388</v>
      </c>
      <c r="E608" s="31" t="str">
        <f t="shared" si="97"/>
        <v>VIP</v>
      </c>
      <c r="F608" s="16" t="s">
        <v>2389</v>
      </c>
      <c r="G608" s="30" t="s">
        <v>488</v>
      </c>
      <c r="H608" s="30" t="s">
        <v>623</v>
      </c>
      <c r="I608" s="30" t="s">
        <v>2390</v>
      </c>
      <c r="J608" s="61" t="s">
        <v>22</v>
      </c>
      <c r="K608" s="30" t="s">
        <v>2391</v>
      </c>
      <c r="L608" s="16"/>
      <c r="M608" s="16"/>
      <c r="N608" s="17" t="s">
        <v>24</v>
      </c>
      <c r="O608" s="17" t="str">
        <f t="shared" si="98"/>
        <v>SI</v>
      </c>
      <c r="P608" s="17" t="str">
        <f t="shared" si="99"/>
        <v>🟢</v>
      </c>
      <c r="Q608" s="60" t="s">
        <v>1152</v>
      </c>
    </row>
    <row r="609" spans="1:86" ht="18" hidden="1" customHeight="1" x14ac:dyDescent="0.4">
      <c r="A609" s="7">
        <f t="shared" si="93"/>
        <v>608</v>
      </c>
      <c r="B609" s="13">
        <f t="shared" si="96"/>
        <v>608</v>
      </c>
      <c r="C609" s="30" t="s">
        <v>2162</v>
      </c>
      <c r="D609" s="30"/>
      <c r="E609" s="31" t="str">
        <f t="shared" si="97"/>
        <v/>
      </c>
      <c r="F609" s="16" t="s">
        <v>2392</v>
      </c>
      <c r="G609" s="30" t="s">
        <v>2393</v>
      </c>
      <c r="H609" s="30" t="s">
        <v>719</v>
      </c>
      <c r="I609" s="30"/>
      <c r="J609" s="62" t="s">
        <v>71</v>
      </c>
      <c r="K609" s="30" t="s">
        <v>2394</v>
      </c>
      <c r="L609" s="16"/>
      <c r="M609" s="16"/>
      <c r="N609" s="17" t="s">
        <v>24</v>
      </c>
      <c r="O609" s="17" t="str">
        <f t="shared" si="98"/>
        <v>NO</v>
      </c>
      <c r="P609" s="17" t="str">
        <f t="shared" si="99"/>
        <v>🔴</v>
      </c>
      <c r="Q609" s="60" t="s">
        <v>1152</v>
      </c>
    </row>
    <row r="610" spans="1:86" ht="18" hidden="1" customHeight="1" x14ac:dyDescent="0.4">
      <c r="A610" s="10">
        <f t="shared" si="93"/>
        <v>609</v>
      </c>
      <c r="B610" s="13">
        <f t="shared" si="96"/>
        <v>609</v>
      </c>
      <c r="C610" s="30" t="s">
        <v>2162</v>
      </c>
      <c r="D610" s="30" t="s">
        <v>95</v>
      </c>
      <c r="E610" s="31" t="str">
        <f t="shared" si="97"/>
        <v/>
      </c>
      <c r="F610" s="16" t="s">
        <v>2395</v>
      </c>
      <c r="G610" s="30" t="s">
        <v>86</v>
      </c>
      <c r="H610" s="30" t="s">
        <v>1646</v>
      </c>
      <c r="I610" s="30"/>
      <c r="J610" s="62" t="s">
        <v>71</v>
      </c>
      <c r="K610" s="30" t="s">
        <v>2396</v>
      </c>
      <c r="L610" s="16"/>
      <c r="M610" s="16"/>
      <c r="N610" s="17" t="s">
        <v>24</v>
      </c>
      <c r="O610" s="17" t="str">
        <f t="shared" si="98"/>
        <v>NO</v>
      </c>
      <c r="P610" s="17" t="str">
        <f t="shared" si="99"/>
        <v>🔴</v>
      </c>
      <c r="Q610" s="60" t="s">
        <v>1152</v>
      </c>
    </row>
    <row r="611" spans="1:86" ht="18" hidden="1" customHeight="1" x14ac:dyDescent="0.4">
      <c r="A611" s="7">
        <f t="shared" si="93"/>
        <v>610</v>
      </c>
      <c r="B611" s="13">
        <f t="shared" si="96"/>
        <v>610</v>
      </c>
      <c r="C611" s="30" t="s">
        <v>2162</v>
      </c>
      <c r="D611" s="30" t="s">
        <v>95</v>
      </c>
      <c r="E611" s="31" t="str">
        <f t="shared" si="97"/>
        <v>VIP</v>
      </c>
      <c r="F611" s="16" t="s">
        <v>2397</v>
      </c>
      <c r="G611" s="30" t="s">
        <v>91</v>
      </c>
      <c r="H611" s="30" t="s">
        <v>2398</v>
      </c>
      <c r="I611" s="30" t="s">
        <v>2399</v>
      </c>
      <c r="J611" s="61" t="s">
        <v>22</v>
      </c>
      <c r="K611" s="30" t="s">
        <v>2400</v>
      </c>
      <c r="L611" s="16"/>
      <c r="M611" s="16"/>
      <c r="N611" s="17" t="s">
        <v>24</v>
      </c>
      <c r="O611" s="17" t="str">
        <f t="shared" si="98"/>
        <v>SI</v>
      </c>
      <c r="P611" s="17" t="str">
        <f t="shared" si="99"/>
        <v>🟢</v>
      </c>
      <c r="Q611" s="60" t="s">
        <v>1152</v>
      </c>
    </row>
    <row r="612" spans="1:86" ht="18" hidden="1" customHeight="1" x14ac:dyDescent="0.4">
      <c r="A612" s="10">
        <f t="shared" si="93"/>
        <v>611</v>
      </c>
      <c r="B612" s="13">
        <f t="shared" si="96"/>
        <v>611</v>
      </c>
      <c r="C612" s="30" t="s">
        <v>2162</v>
      </c>
      <c r="D612" s="30"/>
      <c r="E612" s="31" t="str">
        <f t="shared" si="97"/>
        <v>VIP</v>
      </c>
      <c r="F612" s="16" t="s">
        <v>2401</v>
      </c>
      <c r="G612" s="30" t="s">
        <v>724</v>
      </c>
      <c r="H612" s="30" t="s">
        <v>2402</v>
      </c>
      <c r="I612" s="30" t="s">
        <v>461</v>
      </c>
      <c r="J612" s="61" t="s">
        <v>22</v>
      </c>
      <c r="K612" s="30" t="s">
        <v>2403</v>
      </c>
      <c r="L612" s="16"/>
      <c r="M612" s="16"/>
      <c r="N612" s="17" t="s">
        <v>24</v>
      </c>
      <c r="O612" s="17" t="str">
        <f t="shared" si="98"/>
        <v>SI</v>
      </c>
      <c r="P612" s="17" t="str">
        <f t="shared" si="99"/>
        <v>🟢</v>
      </c>
      <c r="Q612" s="60" t="s">
        <v>1152</v>
      </c>
    </row>
    <row r="613" spans="1:86" ht="18" hidden="1" customHeight="1" x14ac:dyDescent="0.4">
      <c r="A613" s="7">
        <f t="shared" si="93"/>
        <v>612</v>
      </c>
      <c r="B613" s="13">
        <f t="shared" si="96"/>
        <v>612</v>
      </c>
      <c r="C613" s="30" t="s">
        <v>2162</v>
      </c>
      <c r="D613" s="30" t="s">
        <v>751</v>
      </c>
      <c r="E613" s="31" t="str">
        <f t="shared" si="97"/>
        <v/>
      </c>
      <c r="F613" s="16" t="s">
        <v>2404</v>
      </c>
      <c r="G613" s="30" t="s">
        <v>554</v>
      </c>
      <c r="H613" s="30" t="s">
        <v>2405</v>
      </c>
      <c r="I613" s="30"/>
      <c r="J613" s="62" t="s">
        <v>71</v>
      </c>
      <c r="K613" s="30" t="s">
        <v>2406</v>
      </c>
      <c r="L613" s="16"/>
      <c r="M613" s="16"/>
      <c r="N613" s="17" t="s">
        <v>24</v>
      </c>
      <c r="O613" s="17" t="str">
        <f t="shared" si="98"/>
        <v>NO</v>
      </c>
      <c r="P613" s="17" t="str">
        <f t="shared" si="99"/>
        <v>🔴</v>
      </c>
      <c r="Q613" s="60" t="s">
        <v>1152</v>
      </c>
    </row>
    <row r="614" spans="1:86" ht="18" customHeight="1" x14ac:dyDescent="0.4">
      <c r="A614" s="7">
        <f t="shared" ref="A614:A627" si="100">IF(COUNTA(C614:K614)=0,"",ROW()-1)</f>
        <v>613</v>
      </c>
      <c r="B614" s="13" t="str">
        <f t="shared" si="96"/>
        <v/>
      </c>
      <c r="C614" s="16" t="s">
        <v>1319</v>
      </c>
      <c r="D614" s="16"/>
      <c r="E614" s="17" t="s">
        <v>1257</v>
      </c>
      <c r="F614" s="16"/>
      <c r="G614" s="16" t="s">
        <v>1330</v>
      </c>
      <c r="H614" s="16" t="s">
        <v>1331</v>
      </c>
      <c r="I614" s="16" t="s">
        <v>135</v>
      </c>
      <c r="J614" s="62" t="s">
        <v>22</v>
      </c>
      <c r="K614" s="16"/>
      <c r="L614" s="16" t="s">
        <v>3318</v>
      </c>
      <c r="M614" s="16">
        <v>56</v>
      </c>
      <c r="N614" s="17"/>
      <c r="O614" s="17" t="str">
        <f t="shared" si="98"/>
        <v>NO</v>
      </c>
      <c r="P614" s="17" t="str">
        <f t="shared" si="99"/>
        <v>🟢</v>
      </c>
      <c r="Q614" s="60"/>
    </row>
    <row r="615" spans="1:86" ht="18" hidden="1" customHeight="1" x14ac:dyDescent="0.4">
      <c r="A615" s="7">
        <f t="shared" si="100"/>
        <v>614</v>
      </c>
      <c r="B615" s="13">
        <f t="shared" si="96"/>
        <v>614</v>
      </c>
      <c r="C615" s="30" t="s">
        <v>2162</v>
      </c>
      <c r="D615" s="30"/>
      <c r="E615" s="17" t="str">
        <f>IF(UPPER($J615)="NO","",$N615)</f>
        <v>VIP</v>
      </c>
      <c r="F615" s="16" t="s">
        <v>2411</v>
      </c>
      <c r="G615" s="30" t="s">
        <v>724</v>
      </c>
      <c r="H615" s="30" t="s">
        <v>172</v>
      </c>
      <c r="I615" s="30" t="s">
        <v>3351</v>
      </c>
      <c r="J615" s="61" t="s">
        <v>22</v>
      </c>
      <c r="K615" s="30" t="s">
        <v>2412</v>
      </c>
      <c r="L615" s="16"/>
      <c r="M615" s="16"/>
      <c r="N615" s="17" t="s">
        <v>24</v>
      </c>
      <c r="O615" s="17" t="str">
        <f t="shared" si="98"/>
        <v>SI</v>
      </c>
      <c r="P615" s="17" t="str">
        <f t="shared" si="99"/>
        <v>🟢</v>
      </c>
      <c r="Q615" s="60" t="s">
        <v>1152</v>
      </c>
    </row>
    <row r="616" spans="1:86" ht="18" customHeight="1" x14ac:dyDescent="0.4">
      <c r="A616" s="7">
        <f t="shared" si="100"/>
        <v>615</v>
      </c>
      <c r="B616" s="13">
        <f t="shared" si="96"/>
        <v>615</v>
      </c>
      <c r="C616" s="28" t="s">
        <v>1770</v>
      </c>
      <c r="D616" s="28"/>
      <c r="E616" s="17" t="s">
        <v>1257</v>
      </c>
      <c r="F616" s="16" t="s">
        <v>2046</v>
      </c>
      <c r="G616" s="28" t="s">
        <v>1008</v>
      </c>
      <c r="H616" s="28" t="s">
        <v>2047</v>
      </c>
      <c r="I616" s="28" t="s">
        <v>2048</v>
      </c>
      <c r="J616" s="62" t="s">
        <v>22</v>
      </c>
      <c r="K616" s="28" t="s">
        <v>2013</v>
      </c>
      <c r="L616" s="16" t="s">
        <v>3318</v>
      </c>
      <c r="M616" s="16">
        <v>57</v>
      </c>
      <c r="N616" s="17" t="s">
        <v>1257</v>
      </c>
      <c r="O616" s="17" t="str">
        <f t="shared" si="98"/>
        <v>NO</v>
      </c>
      <c r="P616" s="17" t="str">
        <f t="shared" si="99"/>
        <v>🟢</v>
      </c>
      <c r="Q616" s="60"/>
    </row>
    <row r="617" spans="1:86" ht="18" hidden="1" customHeight="1" x14ac:dyDescent="0.4">
      <c r="A617" s="7">
        <f t="shared" si="100"/>
        <v>616</v>
      </c>
      <c r="B617" s="13">
        <f t="shared" si="96"/>
        <v>616</v>
      </c>
      <c r="C617" s="16" t="s">
        <v>2162</v>
      </c>
      <c r="D617" s="16"/>
      <c r="E617" s="17" t="str">
        <f>IF(UPPER($J617)="NO","",$N617)</f>
        <v/>
      </c>
      <c r="F617" s="16" t="s">
        <v>2415</v>
      </c>
      <c r="G617" s="16" t="s">
        <v>1075</v>
      </c>
      <c r="H617" s="16" t="s">
        <v>616</v>
      </c>
      <c r="I617" s="16" t="s">
        <v>2416</v>
      </c>
      <c r="J617" s="62" t="s">
        <v>71</v>
      </c>
      <c r="K617" s="16" t="s">
        <v>2417</v>
      </c>
      <c r="L617" s="16"/>
      <c r="M617" s="16"/>
      <c r="N617" s="17" t="s">
        <v>24</v>
      </c>
      <c r="O617" s="17" t="str">
        <f t="shared" si="98"/>
        <v>NO</v>
      </c>
      <c r="P617" s="17" t="str">
        <f t="shared" si="99"/>
        <v>🔴</v>
      </c>
      <c r="Q617" s="60" t="s">
        <v>1152</v>
      </c>
    </row>
    <row r="618" spans="1:86" ht="18" hidden="1" customHeight="1" x14ac:dyDescent="0.4">
      <c r="A618" s="10">
        <f t="shared" si="100"/>
        <v>617</v>
      </c>
      <c r="B618" s="13">
        <f t="shared" si="96"/>
        <v>617</v>
      </c>
      <c r="C618" s="30" t="s">
        <v>2162</v>
      </c>
      <c r="D618" s="30" t="s">
        <v>751</v>
      </c>
      <c r="E618" s="31" t="str">
        <f>IF(UPPER($J618)="NO","",$N618)</f>
        <v/>
      </c>
      <c r="F618" s="16" t="s">
        <v>2418</v>
      </c>
      <c r="G618" s="30" t="s">
        <v>473</v>
      </c>
      <c r="H618" s="30" t="s">
        <v>2419</v>
      </c>
      <c r="I618" s="30" t="s">
        <v>2420</v>
      </c>
      <c r="J618" s="63" t="s">
        <v>71</v>
      </c>
      <c r="K618" s="30" t="s">
        <v>2421</v>
      </c>
      <c r="L618" s="16"/>
      <c r="M618" s="16"/>
      <c r="N618" s="17"/>
      <c r="O618" s="17" t="str">
        <f t="shared" si="98"/>
        <v>NO</v>
      </c>
      <c r="P618" s="17" t="str">
        <f t="shared" si="99"/>
        <v>🔴</v>
      </c>
      <c r="Q618" s="60"/>
    </row>
    <row r="619" spans="1:86" ht="18" hidden="1" customHeight="1" x14ac:dyDescent="0.4">
      <c r="A619" s="7">
        <f t="shared" si="100"/>
        <v>618</v>
      </c>
      <c r="B619" s="13">
        <f t="shared" si="96"/>
        <v>618</v>
      </c>
      <c r="C619" s="16" t="s">
        <v>2162</v>
      </c>
      <c r="D619" s="16"/>
      <c r="E619" s="17" t="str">
        <f>IF(UPPER($J619)="NO","",$N619)</f>
        <v/>
      </c>
      <c r="F619" s="16" t="s">
        <v>2422</v>
      </c>
      <c r="G619" s="16" t="s">
        <v>2423</v>
      </c>
      <c r="H619" s="16" t="s">
        <v>2424</v>
      </c>
      <c r="I619" s="16"/>
      <c r="J619" s="62" t="s">
        <v>71</v>
      </c>
      <c r="K619" s="16" t="s">
        <v>2425</v>
      </c>
      <c r="L619" s="16"/>
      <c r="M619" s="16"/>
      <c r="N619" s="17" t="s">
        <v>1257</v>
      </c>
      <c r="O619" s="17" t="str">
        <f t="shared" si="98"/>
        <v>NO</v>
      </c>
      <c r="P619" s="17" t="str">
        <f t="shared" si="99"/>
        <v>🔴</v>
      </c>
      <c r="Q619" s="60"/>
    </row>
    <row r="620" spans="1:86" s="5" customFormat="1" ht="18" hidden="1" customHeight="1" x14ac:dyDescent="0.4">
      <c r="A620" s="10">
        <f t="shared" si="100"/>
        <v>619</v>
      </c>
      <c r="B620" s="13">
        <f t="shared" si="96"/>
        <v>619</v>
      </c>
      <c r="C620" s="16" t="s">
        <v>2162</v>
      </c>
      <c r="D620" s="16"/>
      <c r="E620" s="17" t="str">
        <f>IF(UPPER($J620)="NO","",$N620)</f>
        <v/>
      </c>
      <c r="F620" s="16" t="s">
        <v>2426</v>
      </c>
      <c r="G620" s="16" t="s">
        <v>941</v>
      </c>
      <c r="H620" s="16" t="s">
        <v>2427</v>
      </c>
      <c r="I620" s="16" t="s">
        <v>2428</v>
      </c>
      <c r="J620" s="62" t="s">
        <v>71</v>
      </c>
      <c r="K620" s="16" t="s">
        <v>2429</v>
      </c>
      <c r="L620" s="16"/>
      <c r="M620" s="16"/>
      <c r="N620" s="17" t="s">
        <v>24</v>
      </c>
      <c r="O620" s="17" t="str">
        <f t="shared" si="98"/>
        <v>NO</v>
      </c>
      <c r="P620" s="17" t="str">
        <f t="shared" si="99"/>
        <v>🔴</v>
      </c>
      <c r="Q620" s="60" t="s">
        <v>1152</v>
      </c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ht="18" customHeight="1" x14ac:dyDescent="0.4">
      <c r="A621" s="7">
        <f t="shared" si="100"/>
        <v>620</v>
      </c>
      <c r="B621" s="13">
        <f t="shared" si="96"/>
        <v>620</v>
      </c>
      <c r="C621" s="16" t="s">
        <v>2162</v>
      </c>
      <c r="D621" s="16"/>
      <c r="E621" s="17" t="s">
        <v>1257</v>
      </c>
      <c r="F621" s="16" t="s">
        <v>2168</v>
      </c>
      <c r="G621" s="16" t="s">
        <v>86</v>
      </c>
      <c r="H621" s="16" t="s">
        <v>1010</v>
      </c>
      <c r="I621" s="16"/>
      <c r="J621" s="61" t="s">
        <v>22</v>
      </c>
      <c r="K621" s="11" t="s">
        <v>2169</v>
      </c>
      <c r="L621" s="16" t="s">
        <v>3318</v>
      </c>
      <c r="M621" s="16">
        <v>58</v>
      </c>
      <c r="N621" s="17" t="s">
        <v>659</v>
      </c>
      <c r="O621" s="17" t="str">
        <f t="shared" si="98"/>
        <v>NO</v>
      </c>
      <c r="P621" s="17" t="str">
        <f t="shared" si="99"/>
        <v>🟢</v>
      </c>
      <c r="Q621" s="60"/>
    </row>
    <row r="622" spans="1:86" ht="18" customHeight="1" x14ac:dyDescent="0.4">
      <c r="A622" s="10">
        <f t="shared" si="100"/>
        <v>621</v>
      </c>
      <c r="B622" s="13">
        <f t="shared" si="96"/>
        <v>621</v>
      </c>
      <c r="C622" s="16" t="s">
        <v>2162</v>
      </c>
      <c r="D622" s="16"/>
      <c r="E622" s="17" t="s">
        <v>1257</v>
      </c>
      <c r="F622" s="16" t="s">
        <v>2170</v>
      </c>
      <c r="G622" s="16" t="s">
        <v>2171</v>
      </c>
      <c r="H622" s="16" t="s">
        <v>2172</v>
      </c>
      <c r="I622" s="16"/>
      <c r="J622" s="61" t="s">
        <v>22</v>
      </c>
      <c r="K622" s="11" t="s">
        <v>2173</v>
      </c>
      <c r="L622" s="16" t="s">
        <v>3318</v>
      </c>
      <c r="M622" s="16">
        <v>59</v>
      </c>
      <c r="N622" s="17" t="s">
        <v>659</v>
      </c>
      <c r="O622" s="17" t="str">
        <f t="shared" si="98"/>
        <v>NO</v>
      </c>
      <c r="P622" s="17" t="str">
        <f t="shared" si="99"/>
        <v>🟢</v>
      </c>
      <c r="Q622" s="60"/>
    </row>
    <row r="623" spans="1:86" ht="18" hidden="1" customHeight="1" x14ac:dyDescent="0.4">
      <c r="A623" s="7">
        <f t="shared" si="100"/>
        <v>622</v>
      </c>
      <c r="B623" s="13">
        <f t="shared" si="96"/>
        <v>622</v>
      </c>
      <c r="C623" s="32" t="s">
        <v>2430</v>
      </c>
      <c r="D623" s="32" t="s">
        <v>1397</v>
      </c>
      <c r="E623" s="33" t="str">
        <f>IF(UPPER($J623)="NO","",$N623)</f>
        <v>VIP</v>
      </c>
      <c r="F623" s="16" t="s">
        <v>2439</v>
      </c>
      <c r="G623" s="32" t="s">
        <v>640</v>
      </c>
      <c r="H623" s="32" t="s">
        <v>2204</v>
      </c>
      <c r="I623" s="32" t="s">
        <v>1666</v>
      </c>
      <c r="J623" s="61" t="s">
        <v>22</v>
      </c>
      <c r="K623" s="32" t="s">
        <v>2440</v>
      </c>
      <c r="L623" s="16"/>
      <c r="M623" s="16"/>
      <c r="N623" s="17" t="s">
        <v>24</v>
      </c>
      <c r="O623" s="17" t="str">
        <f t="shared" si="98"/>
        <v>SI</v>
      </c>
      <c r="P623" s="17" t="str">
        <f t="shared" si="99"/>
        <v>🟢</v>
      </c>
      <c r="Q623" s="60" t="s">
        <v>1152</v>
      </c>
    </row>
    <row r="624" spans="1:86" ht="18" customHeight="1" x14ac:dyDescent="0.4">
      <c r="A624" s="10">
        <f t="shared" si="100"/>
        <v>623</v>
      </c>
      <c r="B624" s="13">
        <f t="shared" si="96"/>
        <v>623</v>
      </c>
      <c r="C624" s="16" t="s">
        <v>1319</v>
      </c>
      <c r="D624" s="16"/>
      <c r="E624" s="17" t="s">
        <v>1257</v>
      </c>
      <c r="F624" s="16" t="s">
        <v>1325</v>
      </c>
      <c r="G624" s="16" t="s">
        <v>1326</v>
      </c>
      <c r="H624" s="16" t="s">
        <v>1327</v>
      </c>
      <c r="I624" s="16" t="s">
        <v>1328</v>
      </c>
      <c r="J624" s="62" t="s">
        <v>22</v>
      </c>
      <c r="K624" s="16" t="s">
        <v>1329</v>
      </c>
      <c r="L624" s="16" t="s">
        <v>3318</v>
      </c>
      <c r="M624" s="16">
        <v>60</v>
      </c>
      <c r="N624" s="17" t="s">
        <v>659</v>
      </c>
      <c r="O624" s="17" t="str">
        <f t="shared" si="98"/>
        <v>NO</v>
      </c>
      <c r="P624" s="17" t="str">
        <f t="shared" si="99"/>
        <v>🟢</v>
      </c>
      <c r="Q624" s="60"/>
    </row>
    <row r="625" spans="1:17" ht="18" customHeight="1" x14ac:dyDescent="0.4">
      <c r="A625" s="7">
        <f t="shared" si="100"/>
        <v>624</v>
      </c>
      <c r="B625" s="13">
        <f t="shared" si="96"/>
        <v>624</v>
      </c>
      <c r="C625" s="22" t="s">
        <v>1389</v>
      </c>
      <c r="D625" s="22" t="s">
        <v>1397</v>
      </c>
      <c r="E625" s="17" t="s">
        <v>1257</v>
      </c>
      <c r="F625" s="16" t="s">
        <v>1402</v>
      </c>
      <c r="G625" s="22" t="s">
        <v>998</v>
      </c>
      <c r="H625" s="22" t="s">
        <v>371</v>
      </c>
      <c r="I625" s="22" t="s">
        <v>1403</v>
      </c>
      <c r="J625" s="61" t="s">
        <v>22</v>
      </c>
      <c r="K625" s="22" t="s">
        <v>1404</v>
      </c>
      <c r="L625" s="16" t="s">
        <v>3318</v>
      </c>
      <c r="M625" s="16">
        <v>61</v>
      </c>
      <c r="N625" s="17" t="s">
        <v>659</v>
      </c>
      <c r="O625" s="17" t="str">
        <f t="shared" si="98"/>
        <v>NO</v>
      </c>
      <c r="P625" s="17" t="str">
        <f t="shared" si="99"/>
        <v>🟢</v>
      </c>
      <c r="Q625" s="60"/>
    </row>
    <row r="626" spans="1:17" ht="18" customHeight="1" x14ac:dyDescent="0.4">
      <c r="A626" s="10">
        <f t="shared" si="100"/>
        <v>625</v>
      </c>
      <c r="B626" s="13">
        <f t="shared" si="96"/>
        <v>625</v>
      </c>
      <c r="C626" s="16" t="s">
        <v>1319</v>
      </c>
      <c r="D626" s="16"/>
      <c r="E626" s="12" t="s">
        <v>1257</v>
      </c>
      <c r="F626" s="16" t="s">
        <v>1360</v>
      </c>
      <c r="G626" s="16" t="s">
        <v>1361</v>
      </c>
      <c r="H626" s="16" t="s">
        <v>719</v>
      </c>
      <c r="I626" s="16" t="s">
        <v>1186</v>
      </c>
      <c r="J626" s="62" t="s">
        <v>22</v>
      </c>
      <c r="K626" s="16" t="s">
        <v>1362</v>
      </c>
      <c r="L626" s="16" t="s">
        <v>3319</v>
      </c>
      <c r="M626" s="16">
        <v>61</v>
      </c>
      <c r="N626" s="17" t="s">
        <v>659</v>
      </c>
      <c r="O626" s="17" t="str">
        <f t="shared" si="98"/>
        <v>NO</v>
      </c>
      <c r="P626" s="17" t="str">
        <f t="shared" si="99"/>
        <v>🟢</v>
      </c>
      <c r="Q626" s="60"/>
    </row>
    <row r="627" spans="1:17" ht="18" hidden="1" customHeight="1" x14ac:dyDescent="0.4">
      <c r="A627" s="7">
        <f t="shared" si="100"/>
        <v>626</v>
      </c>
      <c r="B627" s="7">
        <f t="shared" si="96"/>
        <v>626</v>
      </c>
      <c r="C627" s="8" t="s">
        <v>16</v>
      </c>
      <c r="D627" s="8" t="s">
        <v>46</v>
      </c>
      <c r="E627" s="9"/>
      <c r="F627" s="8" t="s">
        <v>821</v>
      </c>
      <c r="G627" s="8" t="s">
        <v>822</v>
      </c>
      <c r="H627" s="8" t="s">
        <v>823</v>
      </c>
      <c r="I627" s="8" t="s">
        <v>824</v>
      </c>
      <c r="J627" s="62" t="s">
        <v>71</v>
      </c>
      <c r="K627" s="8" t="s">
        <v>825</v>
      </c>
      <c r="L627" s="8"/>
      <c r="M627" s="8"/>
      <c r="N627" s="9" t="s">
        <v>659</v>
      </c>
      <c r="O627" s="9" t="str">
        <f t="shared" si="98"/>
        <v>NO</v>
      </c>
      <c r="P627" s="9" t="str">
        <f t="shared" si="99"/>
        <v>🔴</v>
      </c>
      <c r="Q627" s="58"/>
    </row>
    <row r="628" spans="1:17" ht="18" customHeight="1" x14ac:dyDescent="0.4">
      <c r="A628" s="67"/>
      <c r="B628" s="68"/>
      <c r="C628" s="68"/>
      <c r="D628" s="16" t="s">
        <v>1397</v>
      </c>
      <c r="E628" s="17" t="s">
        <v>1257</v>
      </c>
      <c r="F628" s="68"/>
      <c r="G628" s="16" t="s">
        <v>615</v>
      </c>
      <c r="H628" s="28" t="s">
        <v>3379</v>
      </c>
      <c r="I628" s="28" t="s">
        <v>2437</v>
      </c>
      <c r="J628" s="61" t="s">
        <v>22</v>
      </c>
      <c r="K628" s="16" t="s">
        <v>3380</v>
      </c>
      <c r="L628" s="16" t="s">
        <v>3318</v>
      </c>
      <c r="M628" s="16">
        <v>62</v>
      </c>
      <c r="N628" s="71"/>
      <c r="O628" s="69"/>
      <c r="P628" s="17" t="str">
        <f t="shared" si="99"/>
        <v>🟢</v>
      </c>
      <c r="Q628" s="72"/>
    </row>
    <row r="629" spans="1:17" ht="18" customHeight="1" x14ac:dyDescent="0.4">
      <c r="A629" s="7">
        <f t="shared" ref="A629:A667" si="101">IF(COUNTA(C629:K629)=0,"",ROW()-1)</f>
        <v>628</v>
      </c>
      <c r="B629" s="13">
        <f t="shared" ref="B629:B667" si="102">IF($F629&lt;&gt;"",$A629,"")</f>
        <v>628</v>
      </c>
      <c r="C629" s="16" t="s">
        <v>1770</v>
      </c>
      <c r="D629" s="16"/>
      <c r="E629" s="17" t="s">
        <v>1257</v>
      </c>
      <c r="F629" s="16" t="s">
        <v>2051</v>
      </c>
      <c r="G629" s="16" t="s">
        <v>533</v>
      </c>
      <c r="H629" s="16" t="s">
        <v>3373</v>
      </c>
      <c r="I629" s="16" t="s">
        <v>2615</v>
      </c>
      <c r="J629" s="62" t="s">
        <v>22</v>
      </c>
      <c r="K629" s="16" t="s">
        <v>3372</v>
      </c>
      <c r="L629" s="16" t="s">
        <v>3318</v>
      </c>
      <c r="M629" s="16">
        <v>63</v>
      </c>
      <c r="N629" s="17" t="s">
        <v>24</v>
      </c>
      <c r="O629" s="17" t="str">
        <f t="shared" ref="O629:O667" si="103">IF(AND(UPPER($N629)="VIP",UPPER($J629)&lt;&gt;"NO",$F629&lt;&gt;""),"SI","NO")</f>
        <v>SI</v>
      </c>
      <c r="P629" s="17" t="str">
        <f t="shared" si="99"/>
        <v>🟢</v>
      </c>
      <c r="Q629" s="60" t="s">
        <v>1152</v>
      </c>
    </row>
    <row r="630" spans="1:17" ht="18" customHeight="1" x14ac:dyDescent="0.4">
      <c r="A630" s="7">
        <f t="shared" si="101"/>
        <v>629</v>
      </c>
      <c r="B630" s="13">
        <f t="shared" si="102"/>
        <v>629</v>
      </c>
      <c r="C630" s="32" t="s">
        <v>2569</v>
      </c>
      <c r="D630" s="32"/>
      <c r="E630" s="17" t="s">
        <v>1257</v>
      </c>
      <c r="F630" s="16" t="s">
        <v>2622</v>
      </c>
      <c r="G630" s="32" t="s">
        <v>753</v>
      </c>
      <c r="H630" s="32" t="s">
        <v>2623</v>
      </c>
      <c r="I630" s="32" t="s">
        <v>503</v>
      </c>
      <c r="J630" s="61" t="s">
        <v>22</v>
      </c>
      <c r="K630" s="32" t="s">
        <v>2624</v>
      </c>
      <c r="L630" s="16" t="s">
        <v>3320</v>
      </c>
      <c r="M630" s="16">
        <v>59</v>
      </c>
      <c r="N630" s="17" t="s">
        <v>1257</v>
      </c>
      <c r="O630" s="17" t="str">
        <f t="shared" si="103"/>
        <v>NO</v>
      </c>
      <c r="P630" s="17" t="str">
        <f t="shared" si="99"/>
        <v>🟢</v>
      </c>
      <c r="Q630" s="60"/>
    </row>
    <row r="631" spans="1:17" ht="18" customHeight="1" x14ac:dyDescent="0.4">
      <c r="A631" s="7">
        <f t="shared" si="101"/>
        <v>630</v>
      </c>
      <c r="B631" s="13">
        <f t="shared" si="102"/>
        <v>630</v>
      </c>
      <c r="C631" s="32" t="s">
        <v>2569</v>
      </c>
      <c r="D631" s="32" t="s">
        <v>1397</v>
      </c>
      <c r="E631" s="17" t="s">
        <v>1257</v>
      </c>
      <c r="F631" s="16" t="s">
        <v>2597</v>
      </c>
      <c r="G631" s="32" t="s">
        <v>528</v>
      </c>
      <c r="H631" s="32" t="s">
        <v>2598</v>
      </c>
      <c r="I631" s="32" t="s">
        <v>2599</v>
      </c>
      <c r="J631" s="61" t="s">
        <v>22</v>
      </c>
      <c r="K631" s="32" t="s">
        <v>2600</v>
      </c>
      <c r="L631" s="16" t="s">
        <v>3318</v>
      </c>
      <c r="M631" s="16">
        <v>64</v>
      </c>
      <c r="N631" s="17" t="s">
        <v>659</v>
      </c>
      <c r="O631" s="17" t="str">
        <f t="shared" si="103"/>
        <v>NO</v>
      </c>
      <c r="P631" s="17" t="str">
        <f t="shared" si="99"/>
        <v>🟢</v>
      </c>
      <c r="Q631" s="60"/>
    </row>
    <row r="632" spans="1:17" ht="18" hidden="1" customHeight="1" x14ac:dyDescent="0.4">
      <c r="A632" s="10">
        <f t="shared" si="101"/>
        <v>631</v>
      </c>
      <c r="B632" s="13">
        <f t="shared" si="102"/>
        <v>631</v>
      </c>
      <c r="C632" s="32" t="s">
        <v>2441</v>
      </c>
      <c r="D632" s="32" t="s">
        <v>645</v>
      </c>
      <c r="E632" s="33" t="s">
        <v>24</v>
      </c>
      <c r="F632" s="16" t="s">
        <v>2448</v>
      </c>
      <c r="G632" s="32" t="s">
        <v>724</v>
      </c>
      <c r="H632" s="32" t="s">
        <v>2449</v>
      </c>
      <c r="I632" s="32" t="s">
        <v>2450</v>
      </c>
      <c r="J632" s="61" t="s">
        <v>22</v>
      </c>
      <c r="K632" s="32" t="s">
        <v>2451</v>
      </c>
      <c r="L632" s="16"/>
      <c r="M632" s="16"/>
      <c r="N632" s="17" t="s">
        <v>659</v>
      </c>
      <c r="O632" s="17" t="str">
        <f t="shared" si="103"/>
        <v>NO</v>
      </c>
      <c r="P632" s="17" t="str">
        <f t="shared" si="99"/>
        <v>🟢</v>
      </c>
      <c r="Q632" s="60"/>
    </row>
    <row r="633" spans="1:17" ht="18" hidden="1" customHeight="1" x14ac:dyDescent="0.4">
      <c r="A633" s="7">
        <f t="shared" si="101"/>
        <v>632</v>
      </c>
      <c r="B633" s="13">
        <f t="shared" si="102"/>
        <v>632</v>
      </c>
      <c r="C633" s="11" t="s">
        <v>2441</v>
      </c>
      <c r="D633" s="11" t="s">
        <v>908</v>
      </c>
      <c r="E633" s="12" t="s">
        <v>24</v>
      </c>
      <c r="F633" s="16" t="s">
        <v>2452</v>
      </c>
      <c r="G633" s="11" t="s">
        <v>465</v>
      </c>
      <c r="H633" s="11" t="s">
        <v>2119</v>
      </c>
      <c r="I633" s="11" t="s">
        <v>1300</v>
      </c>
      <c r="J633" s="61" t="s">
        <v>22</v>
      </c>
      <c r="K633" s="11" t="s">
        <v>2453</v>
      </c>
      <c r="L633" s="16"/>
      <c r="M633" s="16"/>
      <c r="N633" s="17" t="s">
        <v>659</v>
      </c>
      <c r="O633" s="17" t="str">
        <f t="shared" si="103"/>
        <v>NO</v>
      </c>
      <c r="P633" s="17" t="str">
        <f t="shared" si="99"/>
        <v>🟢</v>
      </c>
      <c r="Q633" s="60"/>
    </row>
    <row r="634" spans="1:17" ht="18" hidden="1" customHeight="1" x14ac:dyDescent="0.4">
      <c r="A634" s="10">
        <f t="shared" si="101"/>
        <v>633</v>
      </c>
      <c r="B634" s="13">
        <f t="shared" si="102"/>
        <v>633</v>
      </c>
      <c r="C634" s="32" t="s">
        <v>2441</v>
      </c>
      <c r="D634" s="32" t="s">
        <v>908</v>
      </c>
      <c r="E634" s="33" t="s">
        <v>24</v>
      </c>
      <c r="F634" s="16" t="s">
        <v>2454</v>
      </c>
      <c r="G634" s="32" t="s">
        <v>2455</v>
      </c>
      <c r="H634" s="32" t="s">
        <v>42</v>
      </c>
      <c r="I634" s="32" t="s">
        <v>2456</v>
      </c>
      <c r="J634" s="61" t="s">
        <v>22</v>
      </c>
      <c r="K634" s="32" t="s">
        <v>2457</v>
      </c>
      <c r="L634" s="16"/>
      <c r="M634" s="16"/>
      <c r="N634" s="17" t="s">
        <v>659</v>
      </c>
      <c r="O634" s="17" t="str">
        <f t="shared" si="103"/>
        <v>NO</v>
      </c>
      <c r="P634" s="17" t="str">
        <f t="shared" si="99"/>
        <v>🟢</v>
      </c>
      <c r="Q634" s="60"/>
    </row>
    <row r="635" spans="1:17" ht="18" hidden="1" customHeight="1" x14ac:dyDescent="0.4">
      <c r="A635" s="7">
        <f t="shared" si="101"/>
        <v>634</v>
      </c>
      <c r="B635" s="13">
        <f t="shared" si="102"/>
        <v>634</v>
      </c>
      <c r="C635" s="16" t="s">
        <v>2441</v>
      </c>
      <c r="D635" s="11" t="s">
        <v>645</v>
      </c>
      <c r="E635" s="12" t="str">
        <f>IF(UPPER($J635)="NO","",$N635)</f>
        <v>VIP</v>
      </c>
      <c r="F635" s="16" t="s">
        <v>2476</v>
      </c>
      <c r="G635" s="11" t="s">
        <v>1465</v>
      </c>
      <c r="H635" s="11" t="s">
        <v>2477</v>
      </c>
      <c r="I635" s="11" t="s">
        <v>2478</v>
      </c>
      <c r="J635" s="61" t="s">
        <v>22</v>
      </c>
      <c r="K635" s="11" t="s">
        <v>2479</v>
      </c>
      <c r="L635" s="16"/>
      <c r="M635" s="16"/>
      <c r="N635" s="17" t="s">
        <v>24</v>
      </c>
      <c r="O635" s="17" t="str">
        <f t="shared" si="103"/>
        <v>SI</v>
      </c>
      <c r="P635" s="17" t="str">
        <f t="shared" si="99"/>
        <v>🟢</v>
      </c>
      <c r="Q635" s="60" t="s">
        <v>1152</v>
      </c>
    </row>
    <row r="636" spans="1:17" ht="18" customHeight="1" x14ac:dyDescent="0.4">
      <c r="A636" s="7">
        <f t="shared" si="101"/>
        <v>635</v>
      </c>
      <c r="B636" s="13">
        <f t="shared" si="102"/>
        <v>635</v>
      </c>
      <c r="C636" s="32" t="s">
        <v>2569</v>
      </c>
      <c r="D636" s="32"/>
      <c r="E636" s="33" t="str">
        <f>IF(UPPER($J636)="NO","",$N636)</f>
        <v>LATERAL</v>
      </c>
      <c r="F636" s="16" t="s">
        <v>2664</v>
      </c>
      <c r="G636" s="32" t="s">
        <v>2665</v>
      </c>
      <c r="H636" s="32" t="s">
        <v>2666</v>
      </c>
      <c r="I636" s="32" t="s">
        <v>585</v>
      </c>
      <c r="J636" s="61" t="s">
        <v>22</v>
      </c>
      <c r="K636" s="32" t="s">
        <v>2667</v>
      </c>
      <c r="L636" s="16" t="s">
        <v>3321</v>
      </c>
      <c r="M636" s="16">
        <v>21</v>
      </c>
      <c r="N636" s="17" t="s">
        <v>1257</v>
      </c>
      <c r="O636" s="17" t="str">
        <f t="shared" si="103"/>
        <v>NO</v>
      </c>
      <c r="P636" s="17" t="str">
        <f t="shared" si="99"/>
        <v>🟢</v>
      </c>
      <c r="Q636" s="60"/>
    </row>
    <row r="637" spans="1:17" ht="18" hidden="1" customHeight="1" x14ac:dyDescent="0.4">
      <c r="A637" s="7">
        <f t="shared" si="101"/>
        <v>636</v>
      </c>
      <c r="B637" s="13">
        <f t="shared" si="102"/>
        <v>636</v>
      </c>
      <c r="C637" s="11" t="s">
        <v>2441</v>
      </c>
      <c r="D637" s="16" t="s">
        <v>908</v>
      </c>
      <c r="E637" s="12" t="s">
        <v>24</v>
      </c>
      <c r="F637" s="16" t="s">
        <v>2458</v>
      </c>
      <c r="G637" s="16" t="s">
        <v>114</v>
      </c>
      <c r="H637" s="16" t="s">
        <v>1331</v>
      </c>
      <c r="I637" s="16" t="s">
        <v>503</v>
      </c>
      <c r="J637" s="61" t="s">
        <v>22</v>
      </c>
      <c r="K637" s="16" t="s">
        <v>107</v>
      </c>
      <c r="L637" s="16"/>
      <c r="M637" s="16"/>
      <c r="N637" s="17" t="s">
        <v>659</v>
      </c>
      <c r="O637" s="17" t="str">
        <f t="shared" si="103"/>
        <v>NO</v>
      </c>
      <c r="P637" s="17" t="str">
        <f t="shared" si="99"/>
        <v>🟢</v>
      </c>
      <c r="Q637" s="60"/>
    </row>
    <row r="638" spans="1:17" ht="18" customHeight="1" x14ac:dyDescent="0.4">
      <c r="A638" s="7">
        <f t="shared" si="101"/>
        <v>637</v>
      </c>
      <c r="B638" s="13">
        <f t="shared" si="102"/>
        <v>637</v>
      </c>
      <c r="C638" s="32" t="s">
        <v>2569</v>
      </c>
      <c r="D638" s="32"/>
      <c r="E638" s="17" t="s">
        <v>1257</v>
      </c>
      <c r="F638" s="16" t="s">
        <v>2612</v>
      </c>
      <c r="G638" s="32" t="s">
        <v>2613</v>
      </c>
      <c r="H638" s="32" t="s">
        <v>2614</v>
      </c>
      <c r="I638" s="32" t="s">
        <v>2615</v>
      </c>
      <c r="J638" s="61" t="s">
        <v>22</v>
      </c>
      <c r="K638" s="32" t="s">
        <v>2616</v>
      </c>
      <c r="L638" s="16" t="s">
        <v>3320</v>
      </c>
      <c r="M638" s="16">
        <v>60</v>
      </c>
      <c r="N638" s="17" t="s">
        <v>1257</v>
      </c>
      <c r="O638" s="17" t="str">
        <f t="shared" si="103"/>
        <v>NO</v>
      </c>
      <c r="P638" s="17" t="str">
        <f t="shared" si="99"/>
        <v>🟢</v>
      </c>
      <c r="Q638" s="60"/>
    </row>
    <row r="639" spans="1:17" ht="18" customHeight="1" x14ac:dyDescent="0.4">
      <c r="A639" s="10">
        <f t="shared" si="101"/>
        <v>638</v>
      </c>
      <c r="B639" s="13">
        <f t="shared" si="102"/>
        <v>638</v>
      </c>
      <c r="C639" s="11" t="s">
        <v>2569</v>
      </c>
      <c r="D639" s="11"/>
      <c r="E639" s="17" t="s">
        <v>1257</v>
      </c>
      <c r="F639" s="16" t="s">
        <v>2608</v>
      </c>
      <c r="G639" s="11" t="s">
        <v>2609</v>
      </c>
      <c r="H639" s="11" t="s">
        <v>2610</v>
      </c>
      <c r="I639" s="11" t="s">
        <v>503</v>
      </c>
      <c r="J639" s="61" t="s">
        <v>22</v>
      </c>
      <c r="K639" s="11" t="s">
        <v>2611</v>
      </c>
      <c r="L639" s="16" t="s">
        <v>3320</v>
      </c>
      <c r="M639" s="16">
        <v>61</v>
      </c>
      <c r="N639" s="17" t="s">
        <v>1257</v>
      </c>
      <c r="O639" s="17" t="str">
        <f t="shared" si="103"/>
        <v>NO</v>
      </c>
      <c r="P639" s="17" t="str">
        <f t="shared" si="99"/>
        <v>🟢</v>
      </c>
      <c r="Q639" s="60"/>
    </row>
    <row r="640" spans="1:17" ht="18" customHeight="1" x14ac:dyDescent="0.4">
      <c r="A640" s="7">
        <f t="shared" si="101"/>
        <v>639</v>
      </c>
      <c r="B640" s="13">
        <f t="shared" si="102"/>
        <v>639</v>
      </c>
      <c r="C640" s="32" t="s">
        <v>2569</v>
      </c>
      <c r="D640" s="32"/>
      <c r="E640" s="33" t="str">
        <f>IF(UPPER($J640)="NO","",$N640)</f>
        <v>LATERAL</v>
      </c>
      <c r="F640" s="16" t="s">
        <v>2590</v>
      </c>
      <c r="G640" s="32" t="s">
        <v>2591</v>
      </c>
      <c r="H640" s="32" t="s">
        <v>506</v>
      </c>
      <c r="I640" s="32" t="s">
        <v>2592</v>
      </c>
      <c r="J640" s="61" t="s">
        <v>22</v>
      </c>
      <c r="K640" s="32" t="s">
        <v>2593</v>
      </c>
      <c r="L640" s="16" t="s">
        <v>3320</v>
      </c>
      <c r="M640" s="16">
        <v>62</v>
      </c>
      <c r="N640" s="17" t="s">
        <v>1257</v>
      </c>
      <c r="O640" s="17" t="str">
        <f t="shared" si="103"/>
        <v>NO</v>
      </c>
      <c r="P640" s="17" t="str">
        <f t="shared" si="99"/>
        <v>🟢</v>
      </c>
      <c r="Q640" s="60"/>
    </row>
    <row r="641" spans="1:86" ht="18" customHeight="1" x14ac:dyDescent="0.4">
      <c r="A641" s="10">
        <f t="shared" si="101"/>
        <v>640</v>
      </c>
      <c r="B641" s="13">
        <f t="shared" si="102"/>
        <v>640</v>
      </c>
      <c r="C641" s="11" t="s">
        <v>2569</v>
      </c>
      <c r="D641" s="11" t="s">
        <v>817</v>
      </c>
      <c r="E641" s="12" t="str">
        <f>IF(UPPER($J641)="NO","",$N641)</f>
        <v>LATERAL</v>
      </c>
      <c r="F641" s="16" t="s">
        <v>2594</v>
      </c>
      <c r="G641" s="11" t="s">
        <v>1607</v>
      </c>
      <c r="H641" s="11" t="s">
        <v>2595</v>
      </c>
      <c r="I641" s="11" t="s">
        <v>667</v>
      </c>
      <c r="J641" s="61" t="s">
        <v>22</v>
      </c>
      <c r="K641" s="11" t="s">
        <v>2596</v>
      </c>
      <c r="L641" s="16" t="s">
        <v>3320</v>
      </c>
      <c r="M641" s="16">
        <v>63</v>
      </c>
      <c r="N641" s="17" t="s">
        <v>1257</v>
      </c>
      <c r="O641" s="17" t="str">
        <f t="shared" si="103"/>
        <v>NO</v>
      </c>
      <c r="P641" s="17" t="str">
        <f t="shared" si="99"/>
        <v>🟢</v>
      </c>
      <c r="Q641" s="60"/>
    </row>
    <row r="642" spans="1:86" ht="18" customHeight="1" x14ac:dyDescent="0.4">
      <c r="A642" s="7">
        <f t="shared" si="101"/>
        <v>641</v>
      </c>
      <c r="B642" s="13">
        <f t="shared" si="102"/>
        <v>641</v>
      </c>
      <c r="C642" s="32" t="s">
        <v>2569</v>
      </c>
      <c r="D642" s="32"/>
      <c r="E642" s="33" t="str">
        <f>IF(UPPER($J642)="NO","",$N642)</f>
        <v>LATERAL</v>
      </c>
      <c r="F642" s="16" t="s">
        <v>2671</v>
      </c>
      <c r="G642" s="32" t="s">
        <v>2672</v>
      </c>
      <c r="H642" s="32" t="s">
        <v>1170</v>
      </c>
      <c r="I642" s="32" t="s">
        <v>135</v>
      </c>
      <c r="J642" s="61" t="s">
        <v>22</v>
      </c>
      <c r="K642" s="32" t="s">
        <v>2673</v>
      </c>
      <c r="L642" s="16" t="s">
        <v>3321</v>
      </c>
      <c r="M642" s="16">
        <v>22</v>
      </c>
      <c r="N642" s="17" t="s">
        <v>1257</v>
      </c>
      <c r="O642" s="17" t="str">
        <f t="shared" si="103"/>
        <v>NO</v>
      </c>
      <c r="P642" s="17" t="str">
        <f t="shared" si="99"/>
        <v>🟢</v>
      </c>
      <c r="Q642" s="60"/>
    </row>
    <row r="643" spans="1:86" ht="18" customHeight="1" x14ac:dyDescent="0.4">
      <c r="A643" s="10">
        <f t="shared" si="101"/>
        <v>642</v>
      </c>
      <c r="B643" s="13">
        <f t="shared" si="102"/>
        <v>642</v>
      </c>
      <c r="C643" s="11" t="s">
        <v>2569</v>
      </c>
      <c r="D643" s="11"/>
      <c r="E643" s="12" t="str">
        <f>IF(UPPER($J643)="NO","",$N643)</f>
        <v>LATERAL</v>
      </c>
      <c r="F643" s="16" t="s">
        <v>2674</v>
      </c>
      <c r="G643" s="11" t="s">
        <v>68</v>
      </c>
      <c r="H643" s="11" t="s">
        <v>2675</v>
      </c>
      <c r="I643" s="11" t="s">
        <v>2676</v>
      </c>
      <c r="J643" s="61" t="s">
        <v>22</v>
      </c>
      <c r="K643" s="11" t="s">
        <v>2677</v>
      </c>
      <c r="L643" s="16" t="s">
        <v>3321</v>
      </c>
      <c r="M643" s="16">
        <v>23</v>
      </c>
      <c r="N643" s="17" t="s">
        <v>1257</v>
      </c>
      <c r="O643" s="17" t="str">
        <f t="shared" si="103"/>
        <v>NO</v>
      </c>
      <c r="P643" s="17" t="str">
        <f t="shared" si="99"/>
        <v>🟢</v>
      </c>
      <c r="Q643" s="60"/>
    </row>
    <row r="644" spans="1:86" ht="18" customHeight="1" x14ac:dyDescent="0.4">
      <c r="A644" s="7">
        <f t="shared" si="101"/>
        <v>643</v>
      </c>
      <c r="B644" s="13">
        <f t="shared" si="102"/>
        <v>643</v>
      </c>
      <c r="C644" s="32" t="s">
        <v>2569</v>
      </c>
      <c r="D644" s="32"/>
      <c r="E644" s="33" t="str">
        <f>IF(UPPER($J644)="NO","",$N644)</f>
        <v>LATERAL</v>
      </c>
      <c r="F644" s="16" t="s">
        <v>2678</v>
      </c>
      <c r="G644" s="32" t="s">
        <v>2679</v>
      </c>
      <c r="H644" s="32" t="s">
        <v>410</v>
      </c>
      <c r="I644" s="32" t="s">
        <v>2680</v>
      </c>
      <c r="J644" s="61" t="s">
        <v>22</v>
      </c>
      <c r="K644" s="32" t="s">
        <v>2566</v>
      </c>
      <c r="L644" s="16" t="s">
        <v>3321</v>
      </c>
      <c r="M644" s="16">
        <v>24</v>
      </c>
      <c r="N644" s="17" t="s">
        <v>1257</v>
      </c>
      <c r="O644" s="17" t="str">
        <f t="shared" si="103"/>
        <v>NO</v>
      </c>
      <c r="P644" s="17" t="str">
        <f t="shared" si="99"/>
        <v>🟢</v>
      </c>
      <c r="Q644" s="60"/>
    </row>
    <row r="645" spans="1:86" ht="18" customHeight="1" x14ac:dyDescent="0.4">
      <c r="A645" s="10">
        <f t="shared" si="101"/>
        <v>644</v>
      </c>
      <c r="B645" s="10">
        <f t="shared" si="102"/>
        <v>644</v>
      </c>
      <c r="C645" s="11" t="s">
        <v>16</v>
      </c>
      <c r="D645" s="11" t="s">
        <v>3317</v>
      </c>
      <c r="E645" s="12" t="s">
        <v>1257</v>
      </c>
      <c r="F645" s="11" t="s">
        <v>818</v>
      </c>
      <c r="G645" s="11" t="s">
        <v>120</v>
      </c>
      <c r="H645" s="11" t="s">
        <v>524</v>
      </c>
      <c r="I645" s="11" t="s">
        <v>819</v>
      </c>
      <c r="J645" s="63" t="s">
        <v>22</v>
      </c>
      <c r="K645" s="11" t="s">
        <v>820</v>
      </c>
      <c r="L645" s="11" t="s">
        <v>3324</v>
      </c>
      <c r="M645" s="11">
        <v>24</v>
      </c>
      <c r="N645" s="12" t="s">
        <v>659</v>
      </c>
      <c r="O645" s="12" t="str">
        <f t="shared" si="103"/>
        <v>NO</v>
      </c>
      <c r="P645" s="12" t="str">
        <f t="shared" si="99"/>
        <v>🟢</v>
      </c>
      <c r="Q645" s="59"/>
    </row>
    <row r="646" spans="1:86" ht="18" customHeight="1" x14ac:dyDescent="0.4">
      <c r="A646" s="10">
        <f t="shared" si="101"/>
        <v>645</v>
      </c>
      <c r="B646" s="13">
        <f t="shared" si="102"/>
        <v>645</v>
      </c>
      <c r="C646" s="11" t="s">
        <v>2569</v>
      </c>
      <c r="D646" s="11"/>
      <c r="E646" s="12" t="str">
        <f>IF(UPPER($J646)="NO","",$N646)</f>
        <v>LATERAL</v>
      </c>
      <c r="F646" s="16" t="s">
        <v>2681</v>
      </c>
      <c r="G646" s="11" t="s">
        <v>873</v>
      </c>
      <c r="H646" s="11" t="s">
        <v>2682</v>
      </c>
      <c r="I646" s="11" t="s">
        <v>2139</v>
      </c>
      <c r="J646" s="61" t="s">
        <v>22</v>
      </c>
      <c r="K646" s="11" t="s">
        <v>2683</v>
      </c>
      <c r="L646" s="16" t="s">
        <v>3321</v>
      </c>
      <c r="M646" s="16">
        <v>25</v>
      </c>
      <c r="N646" s="17" t="s">
        <v>1257</v>
      </c>
      <c r="O646" s="17" t="str">
        <f t="shared" si="103"/>
        <v>NO</v>
      </c>
      <c r="P646" s="17" t="str">
        <f t="shared" si="99"/>
        <v>🟢</v>
      </c>
      <c r="Q646" s="60"/>
    </row>
    <row r="647" spans="1:86" ht="18" customHeight="1" x14ac:dyDescent="0.4">
      <c r="A647" s="7">
        <f t="shared" si="101"/>
        <v>646</v>
      </c>
      <c r="B647" s="13">
        <f t="shared" si="102"/>
        <v>646</v>
      </c>
      <c r="C647" s="32" t="s">
        <v>2569</v>
      </c>
      <c r="D647" s="32"/>
      <c r="E647" s="33" t="str">
        <f>IF(UPPER($J647)="NO","",$N647)</f>
        <v>LATERAL</v>
      </c>
      <c r="F647" s="16" t="s">
        <v>2684</v>
      </c>
      <c r="G647" s="32" t="s">
        <v>443</v>
      </c>
      <c r="H647" s="32" t="s">
        <v>2497</v>
      </c>
      <c r="I647" s="32" t="s">
        <v>2685</v>
      </c>
      <c r="J647" s="61" t="s">
        <v>22</v>
      </c>
      <c r="K647" s="32" t="s">
        <v>2686</v>
      </c>
      <c r="L647" s="16" t="s">
        <v>3321</v>
      </c>
      <c r="M647" s="16">
        <v>26</v>
      </c>
      <c r="N647" s="17" t="s">
        <v>1257</v>
      </c>
      <c r="O647" s="17" t="str">
        <f t="shared" si="103"/>
        <v>NO</v>
      </c>
      <c r="P647" s="17" t="str">
        <f t="shared" si="99"/>
        <v>🟢</v>
      </c>
      <c r="Q647" s="60"/>
    </row>
    <row r="648" spans="1:86" s="5" customFormat="1" ht="18" customHeight="1" x14ac:dyDescent="0.4">
      <c r="A648" s="7">
        <f t="shared" si="101"/>
        <v>647</v>
      </c>
      <c r="B648" s="13">
        <f t="shared" si="102"/>
        <v>647</v>
      </c>
      <c r="C648" s="11" t="s">
        <v>2801</v>
      </c>
      <c r="D648" s="11"/>
      <c r="E648" s="12" t="str">
        <f>IF(UPPER($J648)="NO","",$N648)</f>
        <v>LATERAL</v>
      </c>
      <c r="F648" s="16" t="s">
        <v>2820</v>
      </c>
      <c r="G648" s="11" t="s">
        <v>1029</v>
      </c>
      <c r="H648" s="11" t="s">
        <v>111</v>
      </c>
      <c r="I648" s="11" t="s">
        <v>312</v>
      </c>
      <c r="J648" s="61" t="s">
        <v>22</v>
      </c>
      <c r="K648" s="11" t="s">
        <v>2821</v>
      </c>
      <c r="L648" s="16" t="s">
        <v>3324</v>
      </c>
      <c r="M648" s="16">
        <v>25</v>
      </c>
      <c r="N648" s="17" t="s">
        <v>1257</v>
      </c>
      <c r="O648" s="17" t="str">
        <f t="shared" si="103"/>
        <v>NO</v>
      </c>
      <c r="P648" s="17" t="str">
        <f t="shared" si="99"/>
        <v>🟢</v>
      </c>
      <c r="Q648" s="60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ht="18" customHeight="1" x14ac:dyDescent="0.4">
      <c r="A649" s="10">
        <f t="shared" si="101"/>
        <v>648</v>
      </c>
      <c r="B649" s="13">
        <f t="shared" si="102"/>
        <v>648</v>
      </c>
      <c r="C649" s="32" t="s">
        <v>2569</v>
      </c>
      <c r="D649" s="32"/>
      <c r="E649" s="33" t="str">
        <f>IF(UPPER($J649)="NO","",$N649)</f>
        <v>LATERAL</v>
      </c>
      <c r="F649" s="16" t="s">
        <v>2779</v>
      </c>
      <c r="G649" s="32" t="s">
        <v>2780</v>
      </c>
      <c r="H649" s="32" t="s">
        <v>313</v>
      </c>
      <c r="I649" s="32" t="s">
        <v>2781</v>
      </c>
      <c r="J649" s="61" t="s">
        <v>22</v>
      </c>
      <c r="K649" s="32" t="s">
        <v>2782</v>
      </c>
      <c r="L649" s="16" t="s">
        <v>3324</v>
      </c>
      <c r="M649" s="16">
        <v>26</v>
      </c>
      <c r="N649" s="17" t="s">
        <v>1257</v>
      </c>
      <c r="O649" s="17" t="str">
        <f t="shared" si="103"/>
        <v>NO</v>
      </c>
      <c r="P649" s="17" t="str">
        <f t="shared" si="99"/>
        <v>🟢</v>
      </c>
      <c r="Q649" s="60"/>
    </row>
    <row r="650" spans="1:86" ht="18" hidden="1" customHeight="1" x14ac:dyDescent="0.4">
      <c r="A650" s="10">
        <f t="shared" si="101"/>
        <v>649</v>
      </c>
      <c r="B650" s="13">
        <f t="shared" si="102"/>
        <v>649</v>
      </c>
      <c r="C650" s="32" t="s">
        <v>2441</v>
      </c>
      <c r="D650" s="32" t="s">
        <v>908</v>
      </c>
      <c r="E650" s="33" t="s">
        <v>24</v>
      </c>
      <c r="F650" s="16" t="s">
        <v>2459</v>
      </c>
      <c r="G650" s="32" t="s">
        <v>498</v>
      </c>
      <c r="H650" s="32" t="s">
        <v>2460</v>
      </c>
      <c r="I650" s="32" t="s">
        <v>2461</v>
      </c>
      <c r="J650" s="61" t="s">
        <v>22</v>
      </c>
      <c r="K650" s="32" t="s">
        <v>2462</v>
      </c>
      <c r="L650" s="16"/>
      <c r="M650" s="16"/>
      <c r="N650" s="17" t="s">
        <v>659</v>
      </c>
      <c r="O650" s="17" t="str">
        <f t="shared" si="103"/>
        <v>NO</v>
      </c>
      <c r="P650" s="17" t="str">
        <f t="shared" si="99"/>
        <v>🟢</v>
      </c>
      <c r="Q650" s="60"/>
    </row>
    <row r="651" spans="1:86" ht="18" customHeight="1" x14ac:dyDescent="0.4">
      <c r="A651" s="7">
        <f t="shared" si="101"/>
        <v>650</v>
      </c>
      <c r="B651" s="13">
        <f t="shared" si="102"/>
        <v>650</v>
      </c>
      <c r="C651" s="32" t="s">
        <v>2569</v>
      </c>
      <c r="D651" s="32"/>
      <c r="E651" s="33" t="str">
        <f t="shared" ref="E651:E662" si="104">IF(UPPER($J651)="NO","",$N651)</f>
        <v>LATERAL</v>
      </c>
      <c r="F651" s="16" t="s">
        <v>2689</v>
      </c>
      <c r="G651" s="32" t="s">
        <v>2690</v>
      </c>
      <c r="H651" s="32" t="s">
        <v>2691</v>
      </c>
      <c r="I651" s="32" t="s">
        <v>2204</v>
      </c>
      <c r="J651" s="61" t="s">
        <v>22</v>
      </c>
      <c r="K651" s="32" t="s">
        <v>2692</v>
      </c>
      <c r="L651" s="16" t="s">
        <v>3321</v>
      </c>
      <c r="M651" s="16">
        <v>27</v>
      </c>
      <c r="N651" s="17" t="s">
        <v>1257</v>
      </c>
      <c r="O651" s="17" t="str">
        <f t="shared" si="103"/>
        <v>NO</v>
      </c>
      <c r="P651" s="17" t="str">
        <f t="shared" si="99"/>
        <v>🟢</v>
      </c>
      <c r="Q651" s="60"/>
    </row>
    <row r="652" spans="1:86" ht="18" customHeight="1" x14ac:dyDescent="0.4">
      <c r="A652" s="10">
        <f t="shared" si="101"/>
        <v>651</v>
      </c>
      <c r="B652" s="13">
        <f t="shared" si="102"/>
        <v>651</v>
      </c>
      <c r="C652" s="11" t="s">
        <v>2569</v>
      </c>
      <c r="D652" s="11"/>
      <c r="E652" s="12" t="str">
        <f t="shared" si="104"/>
        <v>LATERAL</v>
      </c>
      <c r="F652" s="16" t="s">
        <v>2716</v>
      </c>
      <c r="G652" s="11" t="s">
        <v>2717</v>
      </c>
      <c r="H652" s="11" t="s">
        <v>2718</v>
      </c>
      <c r="I652" s="11"/>
      <c r="J652" s="61" t="s">
        <v>22</v>
      </c>
      <c r="K652" s="11" t="s">
        <v>2719</v>
      </c>
      <c r="L652" s="16" t="s">
        <v>3321</v>
      </c>
      <c r="M652" s="16">
        <v>28</v>
      </c>
      <c r="N652" s="17" t="s">
        <v>1257</v>
      </c>
      <c r="O652" s="17" t="str">
        <f t="shared" si="103"/>
        <v>NO</v>
      </c>
      <c r="P652" s="17" t="str">
        <f t="shared" si="99"/>
        <v>🟢</v>
      </c>
      <c r="Q652" s="60"/>
    </row>
    <row r="653" spans="1:86" ht="18" customHeight="1" x14ac:dyDescent="0.4">
      <c r="A653" s="7">
        <f t="shared" si="101"/>
        <v>652</v>
      </c>
      <c r="B653" s="13">
        <f t="shared" si="102"/>
        <v>652</v>
      </c>
      <c r="C653" s="11" t="s">
        <v>2569</v>
      </c>
      <c r="D653" s="11"/>
      <c r="E653" s="12" t="str">
        <f t="shared" si="104"/>
        <v>LATERAL</v>
      </c>
      <c r="F653" s="16" t="s">
        <v>2753</v>
      </c>
      <c r="G653" s="11" t="s">
        <v>317</v>
      </c>
      <c r="H653" s="11" t="s">
        <v>2754</v>
      </c>
      <c r="I653" s="11" t="s">
        <v>2755</v>
      </c>
      <c r="J653" s="61" t="s">
        <v>22</v>
      </c>
      <c r="K653" s="11" t="s">
        <v>2756</v>
      </c>
      <c r="L653" s="16" t="s">
        <v>3324</v>
      </c>
      <c r="M653" s="16">
        <v>27</v>
      </c>
      <c r="N653" s="17" t="s">
        <v>1257</v>
      </c>
      <c r="O653" s="17" t="str">
        <f t="shared" si="103"/>
        <v>NO</v>
      </c>
      <c r="P653" s="17" t="str">
        <f t="shared" si="99"/>
        <v>🟢</v>
      </c>
      <c r="Q653" s="60"/>
    </row>
    <row r="654" spans="1:86" ht="18" customHeight="1" x14ac:dyDescent="0.4">
      <c r="A654" s="10">
        <f t="shared" si="101"/>
        <v>653</v>
      </c>
      <c r="B654" s="13">
        <f t="shared" si="102"/>
        <v>653</v>
      </c>
      <c r="C654" s="11" t="s">
        <v>2569</v>
      </c>
      <c r="D654" s="11"/>
      <c r="E654" s="12" t="str">
        <f t="shared" si="104"/>
        <v>LATERAL</v>
      </c>
      <c r="F654" s="16" t="s">
        <v>2739</v>
      </c>
      <c r="G654" s="11" t="s">
        <v>2740</v>
      </c>
      <c r="H654" s="11" t="s">
        <v>705</v>
      </c>
      <c r="I654" s="11" t="s">
        <v>529</v>
      </c>
      <c r="J654" s="61" t="s">
        <v>22</v>
      </c>
      <c r="K654" s="11" t="s">
        <v>2741</v>
      </c>
      <c r="L654" s="16" t="s">
        <v>3324</v>
      </c>
      <c r="M654" s="16">
        <v>28</v>
      </c>
      <c r="N654" s="17" t="s">
        <v>1257</v>
      </c>
      <c r="O654" s="17" t="str">
        <f t="shared" si="103"/>
        <v>NO</v>
      </c>
      <c r="P654" s="17" t="str">
        <f t="shared" si="99"/>
        <v>🟢</v>
      </c>
      <c r="Q654" s="60"/>
    </row>
    <row r="655" spans="1:86" ht="18" customHeight="1" x14ac:dyDescent="0.4">
      <c r="A655" s="7">
        <f t="shared" si="101"/>
        <v>654</v>
      </c>
      <c r="B655" s="13">
        <f t="shared" si="102"/>
        <v>654</v>
      </c>
      <c r="C655" s="32" t="s">
        <v>2569</v>
      </c>
      <c r="D655" s="32"/>
      <c r="E655" s="33" t="str">
        <f t="shared" si="104"/>
        <v>LATERAL</v>
      </c>
      <c r="F655" s="16" t="s">
        <v>2720</v>
      </c>
      <c r="G655" s="32" t="s">
        <v>2721</v>
      </c>
      <c r="H655" s="32" t="s">
        <v>2498</v>
      </c>
      <c r="I655" s="32" t="s">
        <v>1050</v>
      </c>
      <c r="J655" s="61" t="s">
        <v>22</v>
      </c>
      <c r="K655" s="32" t="s">
        <v>2722</v>
      </c>
      <c r="L655" s="16" t="s">
        <v>3321</v>
      </c>
      <c r="M655" s="16">
        <v>29</v>
      </c>
      <c r="N655" s="17" t="s">
        <v>1257</v>
      </c>
      <c r="O655" s="17" t="str">
        <f t="shared" si="103"/>
        <v>NO</v>
      </c>
      <c r="P655" s="17" t="str">
        <f t="shared" si="99"/>
        <v>🟢</v>
      </c>
      <c r="Q655" s="60"/>
    </row>
    <row r="656" spans="1:86" ht="18" customHeight="1" x14ac:dyDescent="0.4">
      <c r="A656" s="7">
        <f t="shared" si="101"/>
        <v>655</v>
      </c>
      <c r="B656" s="13">
        <f t="shared" si="102"/>
        <v>655</v>
      </c>
      <c r="C656" s="32" t="s">
        <v>2569</v>
      </c>
      <c r="D656" s="32"/>
      <c r="E656" s="33" t="str">
        <f t="shared" si="104"/>
        <v>LATERAL</v>
      </c>
      <c r="F656" s="16" t="s">
        <v>2736</v>
      </c>
      <c r="G656" s="32" t="s">
        <v>2737</v>
      </c>
      <c r="H656" s="32" t="s">
        <v>529</v>
      </c>
      <c r="I656" s="32"/>
      <c r="J656" s="61" t="s">
        <v>22</v>
      </c>
      <c r="K656" s="32" t="s">
        <v>2738</v>
      </c>
      <c r="L656" s="16" t="s">
        <v>3324</v>
      </c>
      <c r="M656" s="16">
        <v>29</v>
      </c>
      <c r="N656" s="17" t="s">
        <v>1257</v>
      </c>
      <c r="O656" s="17" t="str">
        <f t="shared" si="103"/>
        <v>NO</v>
      </c>
      <c r="P656" s="17" t="str">
        <f t="shared" si="99"/>
        <v>🟢</v>
      </c>
      <c r="Q656" s="60"/>
    </row>
    <row r="657" spans="1:17" ht="18" customHeight="1" x14ac:dyDescent="0.4">
      <c r="A657" s="10">
        <f t="shared" si="101"/>
        <v>656</v>
      </c>
      <c r="B657" s="13">
        <f t="shared" si="102"/>
        <v>656</v>
      </c>
      <c r="C657" s="11" t="s">
        <v>2569</v>
      </c>
      <c r="D657" s="11"/>
      <c r="E657" s="12" t="str">
        <f t="shared" si="104"/>
        <v>LATERAL</v>
      </c>
      <c r="F657" s="16" t="s">
        <v>2693</v>
      </c>
      <c r="G657" s="11" t="s">
        <v>2694</v>
      </c>
      <c r="H657" s="11" t="s">
        <v>490</v>
      </c>
      <c r="I657" s="11" t="s">
        <v>503</v>
      </c>
      <c r="J657" s="61" t="s">
        <v>22</v>
      </c>
      <c r="K657" s="11" t="s">
        <v>2695</v>
      </c>
      <c r="L657" s="16" t="s">
        <v>3324</v>
      </c>
      <c r="M657" s="16">
        <v>30</v>
      </c>
      <c r="N657" s="17" t="s">
        <v>1257</v>
      </c>
      <c r="O657" s="17" t="str">
        <f t="shared" si="103"/>
        <v>NO</v>
      </c>
      <c r="P657" s="17" t="str">
        <f t="shared" si="99"/>
        <v>🟢</v>
      </c>
      <c r="Q657" s="60"/>
    </row>
    <row r="658" spans="1:17" ht="18" customHeight="1" x14ac:dyDescent="0.4">
      <c r="A658" s="10">
        <f t="shared" si="101"/>
        <v>657</v>
      </c>
      <c r="B658" s="13">
        <f t="shared" si="102"/>
        <v>657</v>
      </c>
      <c r="C658" s="11" t="s">
        <v>2569</v>
      </c>
      <c r="D658" s="11"/>
      <c r="E658" s="12" t="str">
        <f t="shared" si="104"/>
        <v>LATERAL</v>
      </c>
      <c r="F658" s="16" t="s">
        <v>2631</v>
      </c>
      <c r="G658" s="11" t="s">
        <v>2632</v>
      </c>
      <c r="H658" s="11" t="s">
        <v>2633</v>
      </c>
      <c r="I658" s="11" t="s">
        <v>1913</v>
      </c>
      <c r="J658" s="61" t="s">
        <v>22</v>
      </c>
      <c r="K658" s="11" t="s">
        <v>2634</v>
      </c>
      <c r="L658" s="16" t="s">
        <v>3324</v>
      </c>
      <c r="M658" s="16">
        <v>31</v>
      </c>
      <c r="N658" s="17" t="s">
        <v>1257</v>
      </c>
      <c r="O658" s="17" t="str">
        <f t="shared" si="103"/>
        <v>NO</v>
      </c>
      <c r="P658" s="17" t="str">
        <f t="shared" si="99"/>
        <v>🟢</v>
      </c>
      <c r="Q658" s="60"/>
    </row>
    <row r="659" spans="1:17" ht="18" customHeight="1" x14ac:dyDescent="0.4">
      <c r="A659" s="10">
        <f t="shared" si="101"/>
        <v>658</v>
      </c>
      <c r="B659" s="13">
        <f t="shared" si="102"/>
        <v>658</v>
      </c>
      <c r="C659" s="11" t="s">
        <v>2569</v>
      </c>
      <c r="D659" s="11"/>
      <c r="E659" s="12" t="str">
        <f t="shared" si="104"/>
        <v>LATERAL</v>
      </c>
      <c r="F659" s="16" t="s">
        <v>2723</v>
      </c>
      <c r="G659" s="11" t="s">
        <v>2724</v>
      </c>
      <c r="H659" s="11" t="s">
        <v>1443</v>
      </c>
      <c r="I659" s="11" t="s">
        <v>2725</v>
      </c>
      <c r="J659" s="61" t="s">
        <v>22</v>
      </c>
      <c r="K659" s="11" t="s">
        <v>2726</v>
      </c>
      <c r="L659" s="16" t="s">
        <v>3321</v>
      </c>
      <c r="M659" s="16">
        <v>30</v>
      </c>
      <c r="N659" s="17" t="s">
        <v>1257</v>
      </c>
      <c r="O659" s="17" t="str">
        <f t="shared" si="103"/>
        <v>NO</v>
      </c>
      <c r="P659" s="17" t="str">
        <f t="shared" si="99"/>
        <v>🟢</v>
      </c>
      <c r="Q659" s="60"/>
    </row>
    <row r="660" spans="1:17" ht="18" customHeight="1" x14ac:dyDescent="0.4">
      <c r="A660" s="7">
        <f t="shared" si="101"/>
        <v>659</v>
      </c>
      <c r="B660" s="13">
        <f t="shared" si="102"/>
        <v>659</v>
      </c>
      <c r="C660" s="32" t="s">
        <v>2569</v>
      </c>
      <c r="D660" s="32"/>
      <c r="E660" s="33" t="str">
        <f t="shared" si="104"/>
        <v>LATERAL</v>
      </c>
      <c r="F660" s="16" t="s">
        <v>2727</v>
      </c>
      <c r="G660" s="32" t="s">
        <v>757</v>
      </c>
      <c r="H660" s="32" t="s">
        <v>2710</v>
      </c>
      <c r="I660" s="32" t="s">
        <v>2598</v>
      </c>
      <c r="J660" s="61" t="s">
        <v>22</v>
      </c>
      <c r="K660" s="32" t="s">
        <v>2728</v>
      </c>
      <c r="L660" s="16" t="s">
        <v>3321</v>
      </c>
      <c r="M660" s="16">
        <v>31</v>
      </c>
      <c r="N660" s="17" t="s">
        <v>1257</v>
      </c>
      <c r="O660" s="17" t="str">
        <f t="shared" si="103"/>
        <v>NO</v>
      </c>
      <c r="P660" s="17" t="str">
        <f t="shared" si="99"/>
        <v>🟢</v>
      </c>
      <c r="Q660" s="60"/>
    </row>
    <row r="661" spans="1:17" ht="18" customHeight="1" x14ac:dyDescent="0.4">
      <c r="A661" s="10">
        <f t="shared" si="101"/>
        <v>660</v>
      </c>
      <c r="B661" s="13">
        <f t="shared" si="102"/>
        <v>660</v>
      </c>
      <c r="C661" s="11" t="s">
        <v>2569</v>
      </c>
      <c r="D661" s="11"/>
      <c r="E661" s="12" t="str">
        <f t="shared" si="104"/>
        <v>LATERAL</v>
      </c>
      <c r="F661" s="16" t="s">
        <v>2729</v>
      </c>
      <c r="G661" s="11" t="s">
        <v>2142</v>
      </c>
      <c r="H661" s="11" t="s">
        <v>349</v>
      </c>
      <c r="I661" s="11"/>
      <c r="J661" s="61" t="s">
        <v>22</v>
      </c>
      <c r="K661" s="11" t="s">
        <v>2730</v>
      </c>
      <c r="L661" s="16" t="s">
        <v>3321</v>
      </c>
      <c r="M661" s="16">
        <v>32</v>
      </c>
      <c r="N661" s="17" t="s">
        <v>1257</v>
      </c>
      <c r="O661" s="17" t="str">
        <f t="shared" si="103"/>
        <v>NO</v>
      </c>
      <c r="P661" s="17" t="str">
        <f t="shared" si="99"/>
        <v>🟢</v>
      </c>
      <c r="Q661" s="60"/>
    </row>
    <row r="662" spans="1:17" ht="18" customHeight="1" x14ac:dyDescent="0.4">
      <c r="A662" s="7">
        <f t="shared" si="101"/>
        <v>661</v>
      </c>
      <c r="B662" s="13">
        <f t="shared" si="102"/>
        <v>661</v>
      </c>
      <c r="C662" s="32" t="s">
        <v>2569</v>
      </c>
      <c r="D662" s="32"/>
      <c r="E662" s="33" t="str">
        <f t="shared" si="104"/>
        <v>LATERAL</v>
      </c>
      <c r="F662" s="16" t="s">
        <v>2604</v>
      </c>
      <c r="G662" s="32" t="s">
        <v>2605</v>
      </c>
      <c r="H662" s="32" t="s">
        <v>974</v>
      </c>
      <c r="I662" s="32" t="s">
        <v>2606</v>
      </c>
      <c r="J662" s="61" t="s">
        <v>22</v>
      </c>
      <c r="K662" s="32" t="s">
        <v>2607</v>
      </c>
      <c r="L662" s="16" t="s">
        <v>3320</v>
      </c>
      <c r="M662" s="16">
        <v>64</v>
      </c>
      <c r="N662" s="17" t="s">
        <v>1257</v>
      </c>
      <c r="O662" s="17" t="str">
        <f t="shared" si="103"/>
        <v>NO</v>
      </c>
      <c r="P662" s="17" t="str">
        <f t="shared" si="99"/>
        <v>🟢</v>
      </c>
      <c r="Q662" s="60"/>
    </row>
    <row r="663" spans="1:17" ht="18" hidden="1" customHeight="1" x14ac:dyDescent="0.4">
      <c r="A663" s="7">
        <f t="shared" si="101"/>
        <v>662</v>
      </c>
      <c r="B663" s="13">
        <f t="shared" si="102"/>
        <v>662</v>
      </c>
      <c r="C663" s="32" t="s">
        <v>2569</v>
      </c>
      <c r="D663" s="32" t="s">
        <v>817</v>
      </c>
      <c r="E663" s="17" t="s">
        <v>24</v>
      </c>
      <c r="F663" s="16" t="s">
        <v>2581</v>
      </c>
      <c r="G663" s="32" t="s">
        <v>2582</v>
      </c>
      <c r="H663" s="32" t="s">
        <v>2583</v>
      </c>
      <c r="I663" s="32" t="s">
        <v>2584</v>
      </c>
      <c r="J663" s="61" t="s">
        <v>22</v>
      </c>
      <c r="K663" s="32" t="s">
        <v>2585</v>
      </c>
      <c r="L663" s="16"/>
      <c r="M663" s="16"/>
      <c r="N663" s="17" t="s">
        <v>1257</v>
      </c>
      <c r="O663" s="17" t="str">
        <f t="shared" si="103"/>
        <v>NO</v>
      </c>
      <c r="P663" s="17" t="str">
        <f t="shared" si="99"/>
        <v>🟢</v>
      </c>
      <c r="Q663" s="60"/>
    </row>
    <row r="664" spans="1:17" ht="18" hidden="1" customHeight="1" x14ac:dyDescent="0.4">
      <c r="A664" s="10">
        <f t="shared" si="101"/>
        <v>663</v>
      </c>
      <c r="B664" s="13">
        <f t="shared" si="102"/>
        <v>663</v>
      </c>
      <c r="C664" s="11" t="s">
        <v>2569</v>
      </c>
      <c r="D664" s="11"/>
      <c r="E664" s="12" t="str">
        <f>IF(UPPER($J664)="NO","",$N664)</f>
        <v/>
      </c>
      <c r="F664" s="16" t="s">
        <v>2586</v>
      </c>
      <c r="G664" s="11" t="s">
        <v>1607</v>
      </c>
      <c r="H664" s="11" t="s">
        <v>2587</v>
      </c>
      <c r="I664" s="11" t="s">
        <v>2588</v>
      </c>
      <c r="J664" s="63" t="s">
        <v>71</v>
      </c>
      <c r="K664" s="11" t="s">
        <v>2589</v>
      </c>
      <c r="L664" s="16"/>
      <c r="M664" s="16"/>
      <c r="N664" s="17" t="s">
        <v>1257</v>
      </c>
      <c r="O664" s="17" t="str">
        <f t="shared" si="103"/>
        <v>NO</v>
      </c>
      <c r="P664" s="17" t="str">
        <f t="shared" si="99"/>
        <v>🔴</v>
      </c>
      <c r="Q664" s="60"/>
    </row>
    <row r="665" spans="1:17" ht="18" customHeight="1" x14ac:dyDescent="0.4">
      <c r="A665" s="81">
        <f t="shared" si="101"/>
        <v>664</v>
      </c>
      <c r="B665" s="81" t="str">
        <f t="shared" si="102"/>
        <v/>
      </c>
      <c r="C665" s="81"/>
      <c r="D665" s="81"/>
      <c r="E665" s="81" t="s">
        <v>1257</v>
      </c>
      <c r="F665" s="81"/>
      <c r="G665" s="37" t="s">
        <v>473</v>
      </c>
      <c r="H665" s="37" t="s">
        <v>3381</v>
      </c>
      <c r="I665" s="37" t="s">
        <v>499</v>
      </c>
      <c r="J665" s="82" t="s">
        <v>22</v>
      </c>
      <c r="K665" s="11" t="s">
        <v>3382</v>
      </c>
      <c r="L665" s="37" t="s">
        <v>3319</v>
      </c>
      <c r="M665" s="37">
        <v>62</v>
      </c>
      <c r="N665" s="81"/>
      <c r="O665" s="81" t="str">
        <f t="shared" si="103"/>
        <v>NO</v>
      </c>
      <c r="P665" s="81" t="str">
        <f t="shared" si="99"/>
        <v>🟢</v>
      </c>
      <c r="Q665" s="83"/>
    </row>
    <row r="666" spans="1:17" ht="18" customHeight="1" x14ac:dyDescent="0.4">
      <c r="A666" s="7">
        <f t="shared" si="101"/>
        <v>665</v>
      </c>
      <c r="B666" s="13">
        <f t="shared" si="102"/>
        <v>665</v>
      </c>
      <c r="C666" s="28" t="s">
        <v>1770</v>
      </c>
      <c r="D666" s="28"/>
      <c r="E666" s="17" t="s">
        <v>1257</v>
      </c>
      <c r="F666" s="16" t="s">
        <v>2063</v>
      </c>
      <c r="G666" s="28" t="s">
        <v>2064</v>
      </c>
      <c r="H666" s="28" t="s">
        <v>2065</v>
      </c>
      <c r="I666" s="28"/>
      <c r="J666" s="61" t="s">
        <v>22</v>
      </c>
      <c r="K666" s="28" t="s">
        <v>2066</v>
      </c>
      <c r="L666" s="16" t="s">
        <v>3319</v>
      </c>
      <c r="M666" s="16">
        <v>63</v>
      </c>
      <c r="N666" s="17" t="s">
        <v>659</v>
      </c>
      <c r="O666" s="17" t="str">
        <f t="shared" si="103"/>
        <v>NO</v>
      </c>
      <c r="P666" s="17" t="str">
        <f t="shared" si="99"/>
        <v>🟢</v>
      </c>
      <c r="Q666" s="60"/>
    </row>
    <row r="667" spans="1:17" ht="18" hidden="1" customHeight="1" x14ac:dyDescent="0.4">
      <c r="A667" s="7">
        <f t="shared" si="101"/>
        <v>666</v>
      </c>
      <c r="B667" s="13">
        <f t="shared" si="102"/>
        <v>666</v>
      </c>
      <c r="C667" s="16" t="s">
        <v>2441</v>
      </c>
      <c r="D667" s="16" t="s">
        <v>645</v>
      </c>
      <c r="E667" s="12" t="s">
        <v>24</v>
      </c>
      <c r="F667" s="16" t="s">
        <v>2463</v>
      </c>
      <c r="G667" s="16" t="s">
        <v>533</v>
      </c>
      <c r="H667" s="16" t="s">
        <v>984</v>
      </c>
      <c r="I667" s="16" t="s">
        <v>2464</v>
      </c>
      <c r="J667" s="61" t="s">
        <v>22</v>
      </c>
      <c r="K667" s="16" t="s">
        <v>2465</v>
      </c>
      <c r="L667" s="16"/>
      <c r="M667" s="16"/>
      <c r="N667" s="17" t="s">
        <v>659</v>
      </c>
      <c r="O667" s="17" t="str">
        <f t="shared" si="103"/>
        <v>NO</v>
      </c>
      <c r="P667" s="17" t="str">
        <f t="shared" si="99"/>
        <v>🟢</v>
      </c>
      <c r="Q667" s="60"/>
    </row>
    <row r="668" spans="1:17" ht="18" customHeight="1" x14ac:dyDescent="0.4">
      <c r="A668" s="10"/>
      <c r="B668" s="13"/>
      <c r="C668" s="28"/>
      <c r="D668" s="28"/>
      <c r="E668" s="17" t="s">
        <v>1257</v>
      </c>
      <c r="F668" s="16"/>
      <c r="G668" s="28" t="s">
        <v>757</v>
      </c>
      <c r="H668" s="28" t="s">
        <v>1081</v>
      </c>
      <c r="I668" s="28" t="s">
        <v>360</v>
      </c>
      <c r="J668" s="61" t="s">
        <v>22</v>
      </c>
      <c r="K668" s="28" t="s">
        <v>3327</v>
      </c>
      <c r="L668" s="16" t="s">
        <v>3319</v>
      </c>
      <c r="M668" s="16">
        <v>64</v>
      </c>
      <c r="N668" s="17"/>
      <c r="O668" s="17"/>
      <c r="P668" s="17" t="str">
        <f t="shared" si="99"/>
        <v>🟢</v>
      </c>
      <c r="Q668" s="60"/>
    </row>
    <row r="669" spans="1:17" ht="18" customHeight="1" x14ac:dyDescent="0.4">
      <c r="A669" s="7">
        <f t="shared" ref="A669:A732" si="105">IF(COUNTA(C669:K669)=0,"",ROW()-1)</f>
        <v>668</v>
      </c>
      <c r="B669" s="13">
        <f t="shared" ref="B669:B732" si="106">IF($F669&lt;&gt;"",$A669,"")</f>
        <v>668</v>
      </c>
      <c r="C669" s="32" t="s">
        <v>2569</v>
      </c>
      <c r="D669" s="32"/>
      <c r="E669" s="33" t="str">
        <f t="shared" ref="E669:E674" si="107">IF(UPPER($J669)="NO","",$N669)</f>
        <v>LATERAL</v>
      </c>
      <c r="F669" s="16" t="s">
        <v>2731</v>
      </c>
      <c r="G669" s="32" t="s">
        <v>2556</v>
      </c>
      <c r="H669" s="32" t="s">
        <v>947</v>
      </c>
      <c r="I669" s="32" t="s">
        <v>2115</v>
      </c>
      <c r="J669" s="61" t="s">
        <v>22</v>
      </c>
      <c r="K669" s="32" t="s">
        <v>2732</v>
      </c>
      <c r="L669" s="16" t="s">
        <v>3321</v>
      </c>
      <c r="M669" s="16">
        <v>33</v>
      </c>
      <c r="N669" s="17" t="s">
        <v>1257</v>
      </c>
      <c r="O669" s="17" t="str">
        <f t="shared" ref="O669:O732" si="108">IF(AND(UPPER($N669)="VIP",UPPER($J669)&lt;&gt;"NO",$F669&lt;&gt;""),"SI","NO")</f>
        <v>NO</v>
      </c>
      <c r="P669" s="17" t="str">
        <f t="shared" si="99"/>
        <v>🟢</v>
      </c>
      <c r="Q669" s="60"/>
    </row>
    <row r="670" spans="1:17" ht="18" customHeight="1" x14ac:dyDescent="0.4">
      <c r="A670" s="7">
        <f t="shared" si="105"/>
        <v>669</v>
      </c>
      <c r="B670" s="13">
        <f t="shared" si="106"/>
        <v>669</v>
      </c>
      <c r="C670" s="11" t="s">
        <v>2532</v>
      </c>
      <c r="D670" s="11"/>
      <c r="E670" s="12" t="str">
        <f t="shared" si="107"/>
        <v>LATERAL</v>
      </c>
      <c r="F670" s="16" t="s">
        <v>2559</v>
      </c>
      <c r="G670" s="11" t="s">
        <v>2560</v>
      </c>
      <c r="H670" s="11" t="s">
        <v>2561</v>
      </c>
      <c r="I670" s="11" t="s">
        <v>2562</v>
      </c>
      <c r="J670" s="61" t="s">
        <v>22</v>
      </c>
      <c r="K670" s="11"/>
      <c r="L670" s="16" t="s">
        <v>3324</v>
      </c>
      <c r="M670" s="16">
        <v>32</v>
      </c>
      <c r="N670" s="17" t="s">
        <v>1257</v>
      </c>
      <c r="O670" s="17" t="str">
        <f t="shared" si="108"/>
        <v>NO</v>
      </c>
      <c r="P670" s="17" t="str">
        <f t="shared" si="99"/>
        <v>🟢</v>
      </c>
      <c r="Q670" s="60"/>
    </row>
    <row r="671" spans="1:17" ht="18" customHeight="1" x14ac:dyDescent="0.4">
      <c r="A671" s="10">
        <f t="shared" si="105"/>
        <v>670</v>
      </c>
      <c r="B671" s="13">
        <f t="shared" si="106"/>
        <v>670</v>
      </c>
      <c r="C671" s="32" t="s">
        <v>2532</v>
      </c>
      <c r="D671" s="32"/>
      <c r="E671" s="33" t="str">
        <f t="shared" si="107"/>
        <v>LATERAL</v>
      </c>
      <c r="F671" s="16" t="s">
        <v>2555</v>
      </c>
      <c r="G671" s="32" t="s">
        <v>2556</v>
      </c>
      <c r="H671" s="32" t="s">
        <v>2557</v>
      </c>
      <c r="I671" s="32" t="s">
        <v>1358</v>
      </c>
      <c r="J671" s="61" t="s">
        <v>22</v>
      </c>
      <c r="K671" s="32" t="s">
        <v>2558</v>
      </c>
      <c r="L671" s="16" t="s">
        <v>3324</v>
      </c>
      <c r="M671" s="16">
        <v>33</v>
      </c>
      <c r="N671" s="17" t="s">
        <v>1257</v>
      </c>
      <c r="O671" s="17" t="str">
        <f t="shared" si="108"/>
        <v>NO</v>
      </c>
      <c r="P671" s="17" t="str">
        <f t="shared" ref="P671:P734" si="109">IF(UPPER($J671)="SI","🟢",IF(UPPER($J671)="NO","🔴","🟡"))</f>
        <v>🟢</v>
      </c>
      <c r="Q671" s="60"/>
    </row>
    <row r="672" spans="1:17" ht="18" customHeight="1" x14ac:dyDescent="0.4">
      <c r="A672" s="7">
        <f t="shared" si="105"/>
        <v>671</v>
      </c>
      <c r="B672" s="13">
        <f t="shared" si="106"/>
        <v>671</v>
      </c>
      <c r="C672" s="11" t="s">
        <v>2532</v>
      </c>
      <c r="D672" s="11"/>
      <c r="E672" s="12" t="str">
        <f t="shared" si="107"/>
        <v>LATERAL</v>
      </c>
      <c r="F672" s="16" t="s">
        <v>2550</v>
      </c>
      <c r="G672" s="11" t="s">
        <v>2551</v>
      </c>
      <c r="H672" s="11" t="s">
        <v>2552</v>
      </c>
      <c r="I672" s="11" t="s">
        <v>2553</v>
      </c>
      <c r="J672" s="61" t="s">
        <v>22</v>
      </c>
      <c r="K672" s="11" t="s">
        <v>2554</v>
      </c>
      <c r="L672" s="16" t="s">
        <v>3324</v>
      </c>
      <c r="M672" s="16">
        <v>34</v>
      </c>
      <c r="N672" s="17" t="s">
        <v>1257</v>
      </c>
      <c r="O672" s="17" t="str">
        <f t="shared" si="108"/>
        <v>NO</v>
      </c>
      <c r="P672" s="17" t="str">
        <f t="shared" si="109"/>
        <v>🟢</v>
      </c>
      <c r="Q672" s="60"/>
    </row>
    <row r="673" spans="1:17" ht="18" customHeight="1" x14ac:dyDescent="0.4">
      <c r="A673" s="7">
        <f t="shared" si="105"/>
        <v>672</v>
      </c>
      <c r="B673" s="13">
        <f t="shared" si="106"/>
        <v>672</v>
      </c>
      <c r="C673" s="11" t="s">
        <v>2532</v>
      </c>
      <c r="D673" s="11"/>
      <c r="E673" s="12" t="str">
        <f t="shared" si="107"/>
        <v>LATERAL</v>
      </c>
      <c r="F673" s="16" t="s">
        <v>2546</v>
      </c>
      <c r="G673" s="11" t="s">
        <v>528</v>
      </c>
      <c r="H673" s="11" t="s">
        <v>824</v>
      </c>
      <c r="I673" s="11" t="s">
        <v>623</v>
      </c>
      <c r="J673" s="61" t="s">
        <v>22</v>
      </c>
      <c r="K673" s="11" t="s">
        <v>2547</v>
      </c>
      <c r="L673" s="16" t="s">
        <v>3324</v>
      </c>
      <c r="M673" s="16">
        <v>35</v>
      </c>
      <c r="N673" s="17" t="s">
        <v>1257</v>
      </c>
      <c r="O673" s="17" t="str">
        <f t="shared" si="108"/>
        <v>NO</v>
      </c>
      <c r="P673" s="17" t="str">
        <f t="shared" si="109"/>
        <v>🟢</v>
      </c>
      <c r="Q673" s="60"/>
    </row>
    <row r="674" spans="1:17" ht="18" customHeight="1" x14ac:dyDescent="0.4">
      <c r="A674" s="10">
        <f t="shared" si="105"/>
        <v>673</v>
      </c>
      <c r="B674" s="13">
        <f t="shared" si="106"/>
        <v>673</v>
      </c>
      <c r="C674" s="11" t="s">
        <v>2569</v>
      </c>
      <c r="D674" s="11"/>
      <c r="E674" s="12" t="str">
        <f t="shared" si="107"/>
        <v>LATERAL</v>
      </c>
      <c r="F674" s="16" t="s">
        <v>2733</v>
      </c>
      <c r="G674" s="11" t="s">
        <v>753</v>
      </c>
      <c r="H674" s="11" t="s">
        <v>42</v>
      </c>
      <c r="I674" s="11" t="s">
        <v>2734</v>
      </c>
      <c r="J674" s="61" t="s">
        <v>22</v>
      </c>
      <c r="K674" s="11" t="s">
        <v>2735</v>
      </c>
      <c r="L674" s="16" t="s">
        <v>3321</v>
      </c>
      <c r="M674" s="16">
        <v>34</v>
      </c>
      <c r="N674" s="17" t="s">
        <v>1257</v>
      </c>
      <c r="O674" s="17" t="str">
        <f t="shared" si="108"/>
        <v>NO</v>
      </c>
      <c r="P674" s="17" t="str">
        <f t="shared" si="109"/>
        <v>🟢</v>
      </c>
      <c r="Q674" s="60"/>
    </row>
    <row r="675" spans="1:17" ht="18" hidden="1" customHeight="1" x14ac:dyDescent="0.4">
      <c r="A675" s="7">
        <f t="shared" si="105"/>
        <v>674</v>
      </c>
      <c r="B675" s="13">
        <f t="shared" si="106"/>
        <v>674</v>
      </c>
      <c r="C675" s="16" t="s">
        <v>2441</v>
      </c>
      <c r="D675" s="16" t="s">
        <v>645</v>
      </c>
      <c r="E675" s="12" t="s">
        <v>24</v>
      </c>
      <c r="F675" s="16" t="s">
        <v>2468</v>
      </c>
      <c r="G675" s="16" t="s">
        <v>2469</v>
      </c>
      <c r="H675" s="16" t="s">
        <v>2470</v>
      </c>
      <c r="I675" s="16" t="s">
        <v>2471</v>
      </c>
      <c r="J675" s="61" t="s">
        <v>22</v>
      </c>
      <c r="K675" s="16" t="s">
        <v>2472</v>
      </c>
      <c r="L675" s="16"/>
      <c r="M675" s="16"/>
      <c r="N675" s="17" t="s">
        <v>659</v>
      </c>
      <c r="O675" s="17" t="str">
        <f t="shared" si="108"/>
        <v>NO</v>
      </c>
      <c r="P675" s="17" t="str">
        <f t="shared" si="109"/>
        <v>🟢</v>
      </c>
      <c r="Q675" s="60"/>
    </row>
    <row r="676" spans="1:17" ht="18" customHeight="1" x14ac:dyDescent="0.4">
      <c r="A676" s="10">
        <f t="shared" si="105"/>
        <v>675</v>
      </c>
      <c r="B676" s="13">
        <f t="shared" si="106"/>
        <v>675</v>
      </c>
      <c r="C676" s="32" t="s">
        <v>2532</v>
      </c>
      <c r="D676" s="32"/>
      <c r="E676" s="33" t="str">
        <f t="shared" ref="E676:E682" si="110">IF(UPPER($J676)="NO","",$N676)</f>
        <v>LATERAL</v>
      </c>
      <c r="F676" s="16" t="s">
        <v>2543</v>
      </c>
      <c r="G676" s="32" t="s">
        <v>2114</v>
      </c>
      <c r="H676" s="32" t="s">
        <v>2544</v>
      </c>
      <c r="I676" s="32" t="s">
        <v>503</v>
      </c>
      <c r="J676" s="61" t="s">
        <v>22</v>
      </c>
      <c r="K676" s="32" t="s">
        <v>2545</v>
      </c>
      <c r="L676" s="16" t="s">
        <v>3324</v>
      </c>
      <c r="M676" s="16">
        <v>36</v>
      </c>
      <c r="N676" s="17" t="s">
        <v>1257</v>
      </c>
      <c r="O676" s="17" t="str">
        <f t="shared" si="108"/>
        <v>NO</v>
      </c>
      <c r="P676" s="17" t="str">
        <f t="shared" si="109"/>
        <v>🟢</v>
      </c>
      <c r="Q676" s="60"/>
    </row>
    <row r="677" spans="1:17" ht="18" customHeight="1" x14ac:dyDescent="0.4">
      <c r="A677" s="7">
        <f t="shared" si="105"/>
        <v>676</v>
      </c>
      <c r="B677" s="13">
        <f t="shared" si="106"/>
        <v>676</v>
      </c>
      <c r="C677" s="32" t="s">
        <v>2569</v>
      </c>
      <c r="D677" s="32"/>
      <c r="E677" s="33" t="str">
        <f t="shared" si="110"/>
        <v>LATERAL</v>
      </c>
      <c r="F677" s="16" t="s">
        <v>2742</v>
      </c>
      <c r="G677" s="32" t="s">
        <v>328</v>
      </c>
      <c r="H677" s="32" t="s">
        <v>395</v>
      </c>
      <c r="I677" s="32" t="s">
        <v>1004</v>
      </c>
      <c r="J677" s="61" t="s">
        <v>22</v>
      </c>
      <c r="K677" s="32" t="s">
        <v>2743</v>
      </c>
      <c r="L677" s="16" t="s">
        <v>3321</v>
      </c>
      <c r="M677" s="16">
        <v>35</v>
      </c>
      <c r="N677" s="17" t="s">
        <v>1257</v>
      </c>
      <c r="O677" s="17" t="str">
        <f t="shared" si="108"/>
        <v>NO</v>
      </c>
      <c r="P677" s="17" t="str">
        <f t="shared" si="109"/>
        <v>🟢</v>
      </c>
      <c r="Q677" s="60"/>
    </row>
    <row r="678" spans="1:17" ht="18" customHeight="1" x14ac:dyDescent="0.4">
      <c r="A678" s="10">
        <f t="shared" si="105"/>
        <v>677</v>
      </c>
      <c r="B678" s="13">
        <f t="shared" si="106"/>
        <v>677</v>
      </c>
      <c r="C678" s="11" t="s">
        <v>2569</v>
      </c>
      <c r="D678" s="11"/>
      <c r="E678" s="12" t="str">
        <f t="shared" si="110"/>
        <v>LATERAL</v>
      </c>
      <c r="F678" s="16" t="s">
        <v>2744</v>
      </c>
      <c r="G678" s="11" t="s">
        <v>363</v>
      </c>
      <c r="H678" s="11" t="s">
        <v>99</v>
      </c>
      <c r="I678" s="11" t="s">
        <v>683</v>
      </c>
      <c r="J678" s="61" t="s">
        <v>22</v>
      </c>
      <c r="K678" s="11" t="s">
        <v>2745</v>
      </c>
      <c r="L678" s="16" t="s">
        <v>3321</v>
      </c>
      <c r="M678" s="16">
        <v>36</v>
      </c>
      <c r="N678" s="17" t="s">
        <v>1257</v>
      </c>
      <c r="O678" s="17" t="str">
        <f t="shared" si="108"/>
        <v>NO</v>
      </c>
      <c r="P678" s="17" t="str">
        <f t="shared" si="109"/>
        <v>🟢</v>
      </c>
      <c r="Q678" s="60"/>
    </row>
    <row r="679" spans="1:17" ht="18" customHeight="1" x14ac:dyDescent="0.4">
      <c r="A679" s="7">
        <f t="shared" si="105"/>
        <v>678</v>
      </c>
      <c r="B679" s="13">
        <f t="shared" si="106"/>
        <v>678</v>
      </c>
      <c r="C679" s="32" t="s">
        <v>2569</v>
      </c>
      <c r="D679" s="32"/>
      <c r="E679" s="33" t="str">
        <f t="shared" si="110"/>
        <v>LATERAL</v>
      </c>
      <c r="F679" s="16" t="s">
        <v>2746</v>
      </c>
      <c r="G679" s="32" t="s">
        <v>2747</v>
      </c>
      <c r="H679" s="32" t="s">
        <v>2001</v>
      </c>
      <c r="I679" s="32" t="s">
        <v>390</v>
      </c>
      <c r="J679" s="61" t="s">
        <v>22</v>
      </c>
      <c r="K679" s="32" t="s">
        <v>2748</v>
      </c>
      <c r="L679" s="16" t="s">
        <v>3321</v>
      </c>
      <c r="M679" s="16">
        <v>37</v>
      </c>
      <c r="N679" s="17" t="s">
        <v>1257</v>
      </c>
      <c r="O679" s="17" t="str">
        <f t="shared" si="108"/>
        <v>NO</v>
      </c>
      <c r="P679" s="17" t="str">
        <f t="shared" si="109"/>
        <v>🟢</v>
      </c>
      <c r="Q679" s="60"/>
    </row>
    <row r="680" spans="1:17" ht="18" customHeight="1" x14ac:dyDescent="0.4">
      <c r="A680" s="10">
        <f t="shared" si="105"/>
        <v>679</v>
      </c>
      <c r="B680" s="13">
        <f t="shared" si="106"/>
        <v>679</v>
      </c>
      <c r="C680" s="11" t="s">
        <v>2569</v>
      </c>
      <c r="D680" s="11"/>
      <c r="E680" s="12" t="str">
        <f t="shared" si="110"/>
        <v>LATERAL</v>
      </c>
      <c r="F680" s="16" t="s">
        <v>2749</v>
      </c>
      <c r="G680" s="11" t="s">
        <v>757</v>
      </c>
      <c r="H680" s="11" t="s">
        <v>2750</v>
      </c>
      <c r="I680" s="11" t="s">
        <v>2751</v>
      </c>
      <c r="J680" s="61" t="s">
        <v>22</v>
      </c>
      <c r="K680" s="11" t="s">
        <v>2752</v>
      </c>
      <c r="L680" s="16" t="s">
        <v>3321</v>
      </c>
      <c r="M680" s="16">
        <v>38</v>
      </c>
      <c r="N680" s="17" t="s">
        <v>1257</v>
      </c>
      <c r="O680" s="17" t="str">
        <f t="shared" si="108"/>
        <v>NO</v>
      </c>
      <c r="P680" s="17" t="str">
        <f t="shared" si="109"/>
        <v>🟢</v>
      </c>
      <c r="Q680" s="60"/>
    </row>
    <row r="681" spans="1:17" ht="18" customHeight="1" x14ac:dyDescent="0.4">
      <c r="A681" s="7">
        <f t="shared" si="105"/>
        <v>680</v>
      </c>
      <c r="B681" s="13">
        <f t="shared" si="106"/>
        <v>680</v>
      </c>
      <c r="C681" s="11" t="s">
        <v>2569</v>
      </c>
      <c r="D681" s="11"/>
      <c r="E681" s="12" t="str">
        <f t="shared" si="110"/>
        <v>LATERAL</v>
      </c>
      <c r="F681" s="16" t="s">
        <v>2783</v>
      </c>
      <c r="G681" s="11" t="s">
        <v>2784</v>
      </c>
      <c r="H681" s="11" t="s">
        <v>2785</v>
      </c>
      <c r="I681" s="11" t="s">
        <v>974</v>
      </c>
      <c r="J681" s="61" t="s">
        <v>22</v>
      </c>
      <c r="K681" s="11" t="s">
        <v>2786</v>
      </c>
      <c r="L681" s="16" t="s">
        <v>3321</v>
      </c>
      <c r="M681" s="16">
        <v>39</v>
      </c>
      <c r="N681" s="17" t="s">
        <v>1257</v>
      </c>
      <c r="O681" s="17" t="str">
        <f t="shared" si="108"/>
        <v>NO</v>
      </c>
      <c r="P681" s="17" t="str">
        <f t="shared" si="109"/>
        <v>🟢</v>
      </c>
      <c r="Q681" s="60"/>
    </row>
    <row r="682" spans="1:17" ht="18" customHeight="1" x14ac:dyDescent="0.4">
      <c r="A682" s="10">
        <f t="shared" si="105"/>
        <v>681</v>
      </c>
      <c r="B682" s="13">
        <f t="shared" si="106"/>
        <v>681</v>
      </c>
      <c r="C682" s="11" t="s">
        <v>2569</v>
      </c>
      <c r="D682" s="11" t="s">
        <v>1449</v>
      </c>
      <c r="E682" s="12" t="str">
        <f t="shared" si="110"/>
        <v>LATERAL</v>
      </c>
      <c r="F682" s="16" t="s">
        <v>2652</v>
      </c>
      <c r="G682" s="11" t="s">
        <v>704</v>
      </c>
      <c r="H682" s="11" t="s">
        <v>2653</v>
      </c>
      <c r="I682" s="11" t="s">
        <v>1223</v>
      </c>
      <c r="J682" s="61" t="s">
        <v>22</v>
      </c>
      <c r="K682" s="11" t="s">
        <v>2654</v>
      </c>
      <c r="L682" s="16"/>
      <c r="M682" s="16"/>
      <c r="N682" s="17" t="s">
        <v>1257</v>
      </c>
      <c r="O682" s="17" t="str">
        <f t="shared" si="108"/>
        <v>NO</v>
      </c>
      <c r="P682" s="17" t="str">
        <f t="shared" si="109"/>
        <v>🟢</v>
      </c>
      <c r="Q682" s="60"/>
    </row>
    <row r="683" spans="1:17" ht="18" customHeight="1" x14ac:dyDescent="0.4">
      <c r="A683" s="7">
        <f t="shared" si="105"/>
        <v>682</v>
      </c>
      <c r="B683" s="13">
        <f t="shared" si="106"/>
        <v>682</v>
      </c>
      <c r="C683" s="16" t="s">
        <v>2441</v>
      </c>
      <c r="D683" s="11"/>
      <c r="E683" s="17" t="s">
        <v>1257</v>
      </c>
      <c r="F683" s="16" t="s">
        <v>2525</v>
      </c>
      <c r="G683" s="11" t="s">
        <v>1889</v>
      </c>
      <c r="H683" s="11" t="s">
        <v>2526</v>
      </c>
      <c r="I683" s="11" t="s">
        <v>2527</v>
      </c>
      <c r="J683" s="61" t="s">
        <v>22</v>
      </c>
      <c r="K683" s="11" t="s">
        <v>2528</v>
      </c>
      <c r="L683" s="16" t="s">
        <v>3321</v>
      </c>
      <c r="M683" s="16">
        <v>40</v>
      </c>
      <c r="N683" s="17" t="s">
        <v>1257</v>
      </c>
      <c r="O683" s="17" t="str">
        <f t="shared" si="108"/>
        <v>NO</v>
      </c>
      <c r="P683" s="17" t="str">
        <f t="shared" si="109"/>
        <v>🟢</v>
      </c>
      <c r="Q683" s="60"/>
    </row>
    <row r="684" spans="1:17" ht="18" customHeight="1" x14ac:dyDescent="0.4">
      <c r="A684" s="10">
        <f t="shared" si="105"/>
        <v>683</v>
      </c>
      <c r="B684" s="13">
        <f t="shared" si="106"/>
        <v>683</v>
      </c>
      <c r="C684" s="32" t="s">
        <v>2441</v>
      </c>
      <c r="D684" s="32"/>
      <c r="E684" s="17" t="s">
        <v>1257</v>
      </c>
      <c r="F684" s="16" t="s">
        <v>2529</v>
      </c>
      <c r="G684" s="32" t="s">
        <v>1747</v>
      </c>
      <c r="H684" s="32" t="s">
        <v>395</v>
      </c>
      <c r="I684" s="32" t="s">
        <v>2530</v>
      </c>
      <c r="J684" s="61" t="s">
        <v>22</v>
      </c>
      <c r="K684" s="32" t="s">
        <v>2531</v>
      </c>
      <c r="L684" s="16" t="s">
        <v>3321</v>
      </c>
      <c r="M684" s="16">
        <v>41</v>
      </c>
      <c r="N684" s="17" t="s">
        <v>1257</v>
      </c>
      <c r="O684" s="17" t="str">
        <f t="shared" si="108"/>
        <v>NO</v>
      </c>
      <c r="P684" s="17" t="str">
        <f t="shared" si="109"/>
        <v>🟢</v>
      </c>
      <c r="Q684" s="60"/>
    </row>
    <row r="685" spans="1:17" ht="18" customHeight="1" x14ac:dyDescent="0.4">
      <c r="A685" s="7">
        <f t="shared" si="105"/>
        <v>684</v>
      </c>
      <c r="B685" s="13">
        <f t="shared" si="106"/>
        <v>684</v>
      </c>
      <c r="C685" s="11" t="s">
        <v>2801</v>
      </c>
      <c r="D685" s="11"/>
      <c r="E685" s="12" t="str">
        <f>IF(UPPER($J685)="NO","",$N685)</f>
        <v>LATERAL</v>
      </c>
      <c r="F685" s="16" t="s">
        <v>2808</v>
      </c>
      <c r="G685" s="11" t="s">
        <v>1254</v>
      </c>
      <c r="H685" s="11" t="s">
        <v>2809</v>
      </c>
      <c r="I685" s="11"/>
      <c r="J685" s="61" t="s">
        <v>22</v>
      </c>
      <c r="K685" s="11" t="s">
        <v>2810</v>
      </c>
      <c r="L685" s="16" t="s">
        <v>3321</v>
      </c>
      <c r="M685" s="16">
        <v>42</v>
      </c>
      <c r="N685" s="17" t="s">
        <v>1257</v>
      </c>
      <c r="O685" s="17" t="str">
        <f t="shared" si="108"/>
        <v>NO</v>
      </c>
      <c r="P685" s="17" t="str">
        <f t="shared" si="109"/>
        <v>🟢</v>
      </c>
      <c r="Q685" s="60"/>
    </row>
    <row r="686" spans="1:17" ht="18" hidden="1" customHeight="1" x14ac:dyDescent="0.4">
      <c r="A686" s="10">
        <f t="shared" si="105"/>
        <v>685</v>
      </c>
      <c r="B686" s="13">
        <f t="shared" si="106"/>
        <v>685</v>
      </c>
      <c r="C686" s="11" t="s">
        <v>2569</v>
      </c>
      <c r="D686" s="11"/>
      <c r="E686" s="12" t="str">
        <f>IF(UPPER($J686)="NO","",$N686)</f>
        <v/>
      </c>
      <c r="F686" s="16" t="s">
        <v>2668</v>
      </c>
      <c r="G686" s="11" t="s">
        <v>1545</v>
      </c>
      <c r="H686" s="11" t="s">
        <v>687</v>
      </c>
      <c r="I686" s="11" t="s">
        <v>2669</v>
      </c>
      <c r="J686" s="63" t="s">
        <v>71</v>
      </c>
      <c r="K686" s="11" t="s">
        <v>2670</v>
      </c>
      <c r="L686" s="16"/>
      <c r="M686" s="16"/>
      <c r="N686" s="17" t="s">
        <v>1257</v>
      </c>
      <c r="O686" s="17" t="str">
        <f t="shared" si="108"/>
        <v>NO</v>
      </c>
      <c r="P686" s="17" t="str">
        <f t="shared" si="109"/>
        <v>🔴</v>
      </c>
      <c r="Q686" s="60"/>
    </row>
    <row r="687" spans="1:17" ht="18" customHeight="1" x14ac:dyDescent="0.4">
      <c r="A687" s="10">
        <f t="shared" si="105"/>
        <v>686</v>
      </c>
      <c r="B687" s="13">
        <f t="shared" si="106"/>
        <v>686</v>
      </c>
      <c r="C687" s="32" t="s">
        <v>2801</v>
      </c>
      <c r="D687" s="32"/>
      <c r="E687" s="33" t="str">
        <f>IF(UPPER($J687)="NO","",$N687)</f>
        <v>LATERAL</v>
      </c>
      <c r="F687" s="16" t="s">
        <v>2811</v>
      </c>
      <c r="G687" s="32" t="s">
        <v>554</v>
      </c>
      <c r="H687" s="32" t="s">
        <v>2599</v>
      </c>
      <c r="I687" s="32"/>
      <c r="J687" s="61" t="s">
        <v>22</v>
      </c>
      <c r="K687" s="32" t="s">
        <v>2812</v>
      </c>
      <c r="L687" s="16" t="s">
        <v>3321</v>
      </c>
      <c r="M687" s="16">
        <v>43</v>
      </c>
      <c r="N687" s="17" t="s">
        <v>1257</v>
      </c>
      <c r="O687" s="17" t="str">
        <f t="shared" si="108"/>
        <v>NO</v>
      </c>
      <c r="P687" s="17" t="str">
        <f t="shared" si="109"/>
        <v>🟢</v>
      </c>
      <c r="Q687" s="60"/>
    </row>
    <row r="688" spans="1:17" ht="18" customHeight="1" x14ac:dyDescent="0.4">
      <c r="A688" s="7">
        <f t="shared" si="105"/>
        <v>687</v>
      </c>
      <c r="B688" s="13">
        <f t="shared" si="106"/>
        <v>687</v>
      </c>
      <c r="C688" s="11" t="s">
        <v>2801</v>
      </c>
      <c r="D688" s="11"/>
      <c r="E688" s="12" t="str">
        <f>IF(UPPER($J688)="NO","",$N688)</f>
        <v>LATERAL</v>
      </c>
      <c r="F688" s="16" t="s">
        <v>2813</v>
      </c>
      <c r="G688" s="11" t="s">
        <v>2814</v>
      </c>
      <c r="H688" s="11" t="s">
        <v>2815</v>
      </c>
      <c r="I688" s="11" t="s">
        <v>2816</v>
      </c>
      <c r="J688" s="61" t="s">
        <v>22</v>
      </c>
      <c r="K688" s="11" t="s">
        <v>2677</v>
      </c>
      <c r="L688" s="16" t="s">
        <v>3321</v>
      </c>
      <c r="M688" s="16">
        <v>44</v>
      </c>
      <c r="N688" s="17" t="s">
        <v>1257</v>
      </c>
      <c r="O688" s="17" t="str">
        <f t="shared" si="108"/>
        <v>NO</v>
      </c>
      <c r="P688" s="17" t="str">
        <f t="shared" si="109"/>
        <v>🟢</v>
      </c>
      <c r="Q688" s="60"/>
    </row>
    <row r="689" spans="1:17" ht="18" customHeight="1" x14ac:dyDescent="0.4">
      <c r="A689" s="10">
        <f t="shared" si="105"/>
        <v>688</v>
      </c>
      <c r="B689" s="13">
        <f t="shared" si="106"/>
        <v>688</v>
      </c>
      <c r="C689" s="32" t="s">
        <v>2801</v>
      </c>
      <c r="D689" s="32"/>
      <c r="E689" s="33" t="str">
        <f>IF(UPPER($J689)="NO","",$N689)</f>
        <v>LATERAL</v>
      </c>
      <c r="F689" s="16" t="s">
        <v>2817</v>
      </c>
      <c r="G689" s="32" t="s">
        <v>498</v>
      </c>
      <c r="H689" s="32" t="s">
        <v>2818</v>
      </c>
      <c r="I689" s="32" t="s">
        <v>652</v>
      </c>
      <c r="J689" s="61" t="s">
        <v>22</v>
      </c>
      <c r="K689" s="32" t="s">
        <v>2819</v>
      </c>
      <c r="L689" s="16" t="s">
        <v>3321</v>
      </c>
      <c r="M689" s="16">
        <v>45</v>
      </c>
      <c r="N689" s="17" t="s">
        <v>1257</v>
      </c>
      <c r="O689" s="17" t="str">
        <f t="shared" si="108"/>
        <v>NO</v>
      </c>
      <c r="P689" s="17" t="str">
        <f t="shared" si="109"/>
        <v>🟢</v>
      </c>
      <c r="Q689" s="60"/>
    </row>
    <row r="690" spans="1:17" ht="18" customHeight="1" x14ac:dyDescent="0.4">
      <c r="A690" s="10">
        <f t="shared" si="105"/>
        <v>689</v>
      </c>
      <c r="B690" s="13">
        <f t="shared" si="106"/>
        <v>689</v>
      </c>
      <c r="C690" s="24" t="s">
        <v>1569</v>
      </c>
      <c r="D690" s="24" t="s">
        <v>1652</v>
      </c>
      <c r="E690" s="17" t="s">
        <v>1257</v>
      </c>
      <c r="F690" s="16" t="s">
        <v>1702</v>
      </c>
      <c r="G690" s="24" t="s">
        <v>1029</v>
      </c>
      <c r="H690" s="24" t="s">
        <v>1703</v>
      </c>
      <c r="I690" s="24" t="s">
        <v>1704</v>
      </c>
      <c r="J690" s="61" t="s">
        <v>22</v>
      </c>
      <c r="K690" s="24" t="s">
        <v>1705</v>
      </c>
      <c r="L690" s="16" t="s">
        <v>3321</v>
      </c>
      <c r="M690" s="16">
        <v>46</v>
      </c>
      <c r="N690" s="17" t="s">
        <v>1257</v>
      </c>
      <c r="O690" s="17" t="str">
        <f t="shared" si="108"/>
        <v>NO</v>
      </c>
      <c r="P690" s="17" t="str">
        <f t="shared" si="109"/>
        <v>🟢</v>
      </c>
      <c r="Q690" s="60"/>
    </row>
    <row r="691" spans="1:17" ht="18" customHeight="1" x14ac:dyDescent="0.4">
      <c r="A691" s="7">
        <f t="shared" si="105"/>
        <v>690</v>
      </c>
      <c r="B691" s="13">
        <f t="shared" si="106"/>
        <v>690</v>
      </c>
      <c r="C691" s="16" t="s">
        <v>1569</v>
      </c>
      <c r="D691" s="16" t="s">
        <v>1690</v>
      </c>
      <c r="E691" s="17" t="s">
        <v>1257</v>
      </c>
      <c r="F691" s="16" t="s">
        <v>1698</v>
      </c>
      <c r="G691" s="16" t="s">
        <v>1699</v>
      </c>
      <c r="H691" s="16" t="s">
        <v>1700</v>
      </c>
      <c r="I691" s="16" t="s">
        <v>1344</v>
      </c>
      <c r="J691" s="61" t="s">
        <v>22</v>
      </c>
      <c r="K691" s="16" t="s">
        <v>1701</v>
      </c>
      <c r="L691" s="16" t="s">
        <v>3321</v>
      </c>
      <c r="M691" s="16">
        <v>47</v>
      </c>
      <c r="N691" s="17" t="s">
        <v>1257</v>
      </c>
      <c r="O691" s="17" t="str">
        <f t="shared" si="108"/>
        <v>NO</v>
      </c>
      <c r="P691" s="17" t="str">
        <f t="shared" si="109"/>
        <v>🟢</v>
      </c>
      <c r="Q691" s="60"/>
    </row>
    <row r="692" spans="1:17" ht="18" customHeight="1" x14ac:dyDescent="0.4">
      <c r="A692" s="10">
        <f t="shared" si="105"/>
        <v>691</v>
      </c>
      <c r="B692" s="13">
        <f t="shared" si="106"/>
        <v>691</v>
      </c>
      <c r="C692" s="11" t="s">
        <v>2569</v>
      </c>
      <c r="D692" s="11"/>
      <c r="E692" s="12" t="str">
        <f>IF(UPPER($J692)="NO","",$N692)</f>
        <v>LATERAL</v>
      </c>
      <c r="F692" s="16" t="s">
        <v>2687</v>
      </c>
      <c r="G692" s="11" t="s">
        <v>74</v>
      </c>
      <c r="H692" s="11" t="s">
        <v>244</v>
      </c>
      <c r="I692" s="11" t="s">
        <v>578</v>
      </c>
      <c r="J692" s="61" t="s">
        <v>22</v>
      </c>
      <c r="K692" s="11" t="s">
        <v>2688</v>
      </c>
      <c r="L692" s="16"/>
      <c r="M692" s="16"/>
      <c r="N692" s="17" t="s">
        <v>1257</v>
      </c>
      <c r="O692" s="17" t="str">
        <f t="shared" si="108"/>
        <v>NO</v>
      </c>
      <c r="P692" s="17" t="str">
        <f t="shared" si="109"/>
        <v>🟢</v>
      </c>
      <c r="Q692" s="60"/>
    </row>
    <row r="693" spans="1:17" ht="18" customHeight="1" x14ac:dyDescent="0.4">
      <c r="A693" s="10">
        <f t="shared" si="105"/>
        <v>692</v>
      </c>
      <c r="B693" s="13">
        <f t="shared" si="106"/>
        <v>692</v>
      </c>
      <c r="C693" s="24" t="s">
        <v>1569</v>
      </c>
      <c r="D693" s="24" t="s">
        <v>817</v>
      </c>
      <c r="E693" s="17" t="s">
        <v>1257</v>
      </c>
      <c r="F693" s="16" t="s">
        <v>1687</v>
      </c>
      <c r="G693" s="24" t="s">
        <v>3301</v>
      </c>
      <c r="H693" s="24" t="s">
        <v>1688</v>
      </c>
      <c r="I693" s="24" t="s">
        <v>844</v>
      </c>
      <c r="J693" s="62" t="s">
        <v>22</v>
      </c>
      <c r="K693" s="24" t="s">
        <v>1689</v>
      </c>
      <c r="L693" s="16" t="s">
        <v>3321</v>
      </c>
      <c r="M693" s="16">
        <v>48</v>
      </c>
      <c r="N693" s="17" t="s">
        <v>1257</v>
      </c>
      <c r="O693" s="17" t="str">
        <f t="shared" si="108"/>
        <v>NO</v>
      </c>
      <c r="P693" s="17" t="str">
        <f t="shared" si="109"/>
        <v>🟢</v>
      </c>
      <c r="Q693" s="60"/>
    </row>
    <row r="694" spans="1:17" ht="18" customHeight="1" x14ac:dyDescent="0.4">
      <c r="A694" s="7">
        <f t="shared" si="105"/>
        <v>693</v>
      </c>
      <c r="B694" s="13">
        <f t="shared" si="106"/>
        <v>693</v>
      </c>
      <c r="C694" s="16" t="s">
        <v>2441</v>
      </c>
      <c r="D694" s="11"/>
      <c r="E694" s="17" t="s">
        <v>1257</v>
      </c>
      <c r="F694" s="16" t="s">
        <v>2500</v>
      </c>
      <c r="G694" s="11" t="s">
        <v>2501</v>
      </c>
      <c r="H694" s="11" t="s">
        <v>2502</v>
      </c>
      <c r="I694" s="11" t="s">
        <v>2503</v>
      </c>
      <c r="J694" s="61" t="s">
        <v>22</v>
      </c>
      <c r="K694" s="11" t="s">
        <v>2504</v>
      </c>
      <c r="L694" s="16" t="s">
        <v>3324</v>
      </c>
      <c r="M694" s="16">
        <v>37</v>
      </c>
      <c r="N694" s="17" t="s">
        <v>1257</v>
      </c>
      <c r="O694" s="17" t="str">
        <f t="shared" si="108"/>
        <v>NO</v>
      </c>
      <c r="P694" s="17" t="str">
        <f t="shared" si="109"/>
        <v>🟢</v>
      </c>
      <c r="Q694" s="60"/>
    </row>
    <row r="695" spans="1:17" ht="18" customHeight="1" x14ac:dyDescent="0.4">
      <c r="A695" s="7">
        <f t="shared" si="105"/>
        <v>694</v>
      </c>
      <c r="B695" s="13">
        <f t="shared" si="106"/>
        <v>694</v>
      </c>
      <c r="C695" s="32" t="s">
        <v>2569</v>
      </c>
      <c r="D695" s="32" t="s">
        <v>1415</v>
      </c>
      <c r="E695" s="17" t="s">
        <v>3336</v>
      </c>
      <c r="F695" s="16" t="s">
        <v>2696</v>
      </c>
      <c r="G695" s="32" t="s">
        <v>242</v>
      </c>
      <c r="H695" s="32" t="s">
        <v>719</v>
      </c>
      <c r="I695" s="32" t="s">
        <v>506</v>
      </c>
      <c r="J695" s="61" t="s">
        <v>22</v>
      </c>
      <c r="K695" s="32" t="s">
        <v>2697</v>
      </c>
      <c r="L695" s="16"/>
      <c r="M695" s="16"/>
      <c r="N695" s="17" t="s">
        <v>1257</v>
      </c>
      <c r="O695" s="17" t="str">
        <f t="shared" si="108"/>
        <v>NO</v>
      </c>
      <c r="P695" s="17" t="str">
        <f t="shared" si="109"/>
        <v>🟢</v>
      </c>
      <c r="Q695" s="60"/>
    </row>
    <row r="696" spans="1:17" ht="18" customHeight="1" x14ac:dyDescent="0.4">
      <c r="A696" s="10">
        <f t="shared" si="105"/>
        <v>695</v>
      </c>
      <c r="B696" s="13">
        <f t="shared" si="106"/>
        <v>695</v>
      </c>
      <c r="C696" s="32" t="s">
        <v>2441</v>
      </c>
      <c r="D696" s="32"/>
      <c r="E696" s="17" t="s">
        <v>1257</v>
      </c>
      <c r="F696" s="16" t="s">
        <v>2495</v>
      </c>
      <c r="G696" s="32" t="s">
        <v>2496</v>
      </c>
      <c r="H696" s="32" t="s">
        <v>2497</v>
      </c>
      <c r="I696" s="32" t="s">
        <v>2498</v>
      </c>
      <c r="J696" s="61" t="s">
        <v>22</v>
      </c>
      <c r="K696" s="32" t="s">
        <v>2499</v>
      </c>
      <c r="L696" s="16" t="s">
        <v>3324</v>
      </c>
      <c r="M696" s="16">
        <v>38</v>
      </c>
      <c r="N696" s="17" t="s">
        <v>1257</v>
      </c>
      <c r="O696" s="17" t="str">
        <f t="shared" si="108"/>
        <v>NO</v>
      </c>
      <c r="P696" s="17" t="str">
        <f t="shared" si="109"/>
        <v>🟢</v>
      </c>
      <c r="Q696" s="60"/>
    </row>
    <row r="697" spans="1:17" ht="18" customHeight="1" x14ac:dyDescent="0.4">
      <c r="A697" s="7">
        <f t="shared" si="105"/>
        <v>696</v>
      </c>
      <c r="B697" s="13">
        <f t="shared" si="106"/>
        <v>696</v>
      </c>
      <c r="C697" s="16" t="s">
        <v>2441</v>
      </c>
      <c r="D697" s="11"/>
      <c r="E697" s="17" t="s">
        <v>1257</v>
      </c>
      <c r="F697" s="16" t="s">
        <v>2483</v>
      </c>
      <c r="G697" s="11" t="s">
        <v>2484</v>
      </c>
      <c r="H697" s="11" t="s">
        <v>2485</v>
      </c>
      <c r="I697" s="11" t="s">
        <v>2486</v>
      </c>
      <c r="J697" s="61" t="s">
        <v>22</v>
      </c>
      <c r="K697" s="11" t="s">
        <v>2487</v>
      </c>
      <c r="L697" s="16" t="s">
        <v>3324</v>
      </c>
      <c r="M697" s="16">
        <v>39</v>
      </c>
      <c r="N697" s="17" t="s">
        <v>1257</v>
      </c>
      <c r="O697" s="17" t="str">
        <f t="shared" si="108"/>
        <v>NO</v>
      </c>
      <c r="P697" s="17" t="str">
        <f t="shared" si="109"/>
        <v>🟢</v>
      </c>
      <c r="Q697" s="60"/>
    </row>
    <row r="698" spans="1:17" ht="18" customHeight="1" x14ac:dyDescent="0.4">
      <c r="A698" s="10">
        <f t="shared" si="105"/>
        <v>697</v>
      </c>
      <c r="B698" s="13">
        <f t="shared" si="106"/>
        <v>697</v>
      </c>
      <c r="C698" s="32" t="s">
        <v>2441</v>
      </c>
      <c r="D698" s="32"/>
      <c r="E698" s="17" t="s">
        <v>1257</v>
      </c>
      <c r="F698" s="16" t="s">
        <v>2505</v>
      </c>
      <c r="G698" s="32" t="s">
        <v>2506</v>
      </c>
      <c r="H698" s="32" t="s">
        <v>2507</v>
      </c>
      <c r="I698" s="32" t="s">
        <v>2508</v>
      </c>
      <c r="J698" s="61" t="s">
        <v>22</v>
      </c>
      <c r="K698" s="32" t="s">
        <v>2509</v>
      </c>
      <c r="L698" s="16" t="s">
        <v>3324</v>
      </c>
      <c r="M698" s="16">
        <v>40</v>
      </c>
      <c r="N698" s="17" t="s">
        <v>1257</v>
      </c>
      <c r="O698" s="17" t="str">
        <f t="shared" si="108"/>
        <v>NO</v>
      </c>
      <c r="P698" s="17" t="str">
        <f t="shared" si="109"/>
        <v>🟢</v>
      </c>
      <c r="Q698" s="60"/>
    </row>
    <row r="699" spans="1:17" ht="18" customHeight="1" x14ac:dyDescent="0.4">
      <c r="A699" s="7">
        <f t="shared" si="105"/>
        <v>698</v>
      </c>
      <c r="B699" s="13">
        <f t="shared" si="106"/>
        <v>698</v>
      </c>
      <c r="C699" s="16" t="s">
        <v>2441</v>
      </c>
      <c r="D699" s="11"/>
      <c r="E699" s="17" t="s">
        <v>1257</v>
      </c>
      <c r="F699" s="16" t="s">
        <v>2510</v>
      </c>
      <c r="G699" s="11" t="s">
        <v>2511</v>
      </c>
      <c r="H699" s="11" t="s">
        <v>2512</v>
      </c>
      <c r="I699" s="11" t="s">
        <v>2513</v>
      </c>
      <c r="J699" s="61" t="s">
        <v>22</v>
      </c>
      <c r="K699" s="11" t="s">
        <v>2514</v>
      </c>
      <c r="L699" s="16" t="s">
        <v>3324</v>
      </c>
      <c r="M699" s="16">
        <v>41</v>
      </c>
      <c r="N699" s="17" t="s">
        <v>1257</v>
      </c>
      <c r="O699" s="17" t="str">
        <f t="shared" si="108"/>
        <v>NO</v>
      </c>
      <c r="P699" s="17" t="str">
        <f t="shared" si="109"/>
        <v>🟢</v>
      </c>
      <c r="Q699" s="60"/>
    </row>
    <row r="700" spans="1:17" ht="18" customHeight="1" x14ac:dyDescent="0.4">
      <c r="A700" s="10">
        <f t="shared" si="105"/>
        <v>699</v>
      </c>
      <c r="B700" s="13">
        <f t="shared" si="106"/>
        <v>699</v>
      </c>
      <c r="C700" s="32" t="s">
        <v>2441</v>
      </c>
      <c r="D700" s="32" t="s">
        <v>3343</v>
      </c>
      <c r="E700" s="17" t="s">
        <v>1257</v>
      </c>
      <c r="F700" s="16" t="s">
        <v>2515</v>
      </c>
      <c r="G700" s="32" t="s">
        <v>91</v>
      </c>
      <c r="H700" s="32" t="s">
        <v>506</v>
      </c>
      <c r="I700" s="32"/>
      <c r="J700" s="61" t="s">
        <v>22</v>
      </c>
      <c r="K700" s="32" t="s">
        <v>2516</v>
      </c>
      <c r="L700" s="16" t="s">
        <v>3324</v>
      </c>
      <c r="M700" s="16">
        <v>42</v>
      </c>
      <c r="N700" s="17" t="s">
        <v>1257</v>
      </c>
      <c r="O700" s="17" t="str">
        <f t="shared" si="108"/>
        <v>NO</v>
      </c>
      <c r="P700" s="17" t="str">
        <f t="shared" si="109"/>
        <v>🟢</v>
      </c>
      <c r="Q700" s="60"/>
    </row>
    <row r="701" spans="1:17" ht="18" customHeight="1" x14ac:dyDescent="0.4">
      <c r="A701" s="7">
        <f t="shared" si="105"/>
        <v>700</v>
      </c>
      <c r="B701" s="13">
        <f t="shared" si="106"/>
        <v>700</v>
      </c>
      <c r="C701" s="16" t="s">
        <v>2441</v>
      </c>
      <c r="D701" s="11" t="s">
        <v>3342</v>
      </c>
      <c r="E701" s="17" t="s">
        <v>1257</v>
      </c>
      <c r="F701" s="16" t="s">
        <v>2517</v>
      </c>
      <c r="G701" s="11" t="s">
        <v>2518</v>
      </c>
      <c r="H701" s="11" t="s">
        <v>2519</v>
      </c>
      <c r="I701" s="11" t="s">
        <v>135</v>
      </c>
      <c r="J701" s="61" t="s">
        <v>22</v>
      </c>
      <c r="K701" s="11" t="s">
        <v>2520</v>
      </c>
      <c r="L701" s="16" t="s">
        <v>3324</v>
      </c>
      <c r="M701" s="16">
        <v>43</v>
      </c>
      <c r="N701" s="17" t="s">
        <v>1257</v>
      </c>
      <c r="O701" s="17" t="str">
        <f t="shared" si="108"/>
        <v>NO</v>
      </c>
      <c r="P701" s="17" t="str">
        <f t="shared" si="109"/>
        <v>🟢</v>
      </c>
      <c r="Q701" s="60"/>
    </row>
    <row r="702" spans="1:17" ht="18" customHeight="1" x14ac:dyDescent="0.4">
      <c r="A702" s="7">
        <f t="shared" si="105"/>
        <v>701</v>
      </c>
      <c r="B702" s="13">
        <f t="shared" si="106"/>
        <v>701</v>
      </c>
      <c r="C702" s="32" t="s">
        <v>2569</v>
      </c>
      <c r="D702" s="32"/>
      <c r="E702" s="33" t="str">
        <f>IF(UPPER($J702)="NO","",$N702)</f>
        <v>LATERAL</v>
      </c>
      <c r="F702" s="16" t="s">
        <v>2701</v>
      </c>
      <c r="G702" s="32" t="s">
        <v>873</v>
      </c>
      <c r="H702" s="32" t="s">
        <v>2702</v>
      </c>
      <c r="I702" s="32" t="s">
        <v>1046</v>
      </c>
      <c r="J702" s="61" t="s">
        <v>22</v>
      </c>
      <c r="K702" s="32" t="s">
        <v>2703</v>
      </c>
      <c r="L702" s="16" t="s">
        <v>3324</v>
      </c>
      <c r="M702" s="16">
        <v>44</v>
      </c>
      <c r="N702" s="17" t="s">
        <v>1257</v>
      </c>
      <c r="O702" s="17" t="str">
        <f t="shared" si="108"/>
        <v>NO</v>
      </c>
      <c r="P702" s="17" t="str">
        <f t="shared" si="109"/>
        <v>🟢</v>
      </c>
      <c r="Q702" s="60"/>
    </row>
    <row r="703" spans="1:17" ht="18" customHeight="1" x14ac:dyDescent="0.4">
      <c r="A703" s="7">
        <f t="shared" si="105"/>
        <v>702</v>
      </c>
      <c r="B703" s="13">
        <f t="shared" si="106"/>
        <v>702</v>
      </c>
      <c r="C703" s="16" t="s">
        <v>1569</v>
      </c>
      <c r="D703" s="16" t="s">
        <v>1662</v>
      </c>
      <c r="E703" s="17" t="s">
        <v>1257</v>
      </c>
      <c r="F703" s="16" t="s">
        <v>1663</v>
      </c>
      <c r="G703" s="16" t="s">
        <v>1664</v>
      </c>
      <c r="H703" s="16" t="s">
        <v>1665</v>
      </c>
      <c r="I703" s="16" t="s">
        <v>1666</v>
      </c>
      <c r="J703" s="62" t="s">
        <v>22</v>
      </c>
      <c r="K703" s="16" t="s">
        <v>1667</v>
      </c>
      <c r="L703" s="16" t="s">
        <v>3321</v>
      </c>
      <c r="M703" s="16">
        <v>49</v>
      </c>
      <c r="N703" s="17" t="s">
        <v>1257</v>
      </c>
      <c r="O703" s="17" t="str">
        <f t="shared" si="108"/>
        <v>NO</v>
      </c>
      <c r="P703" s="17" t="str">
        <f t="shared" si="109"/>
        <v>🟢</v>
      </c>
      <c r="Q703" s="60"/>
    </row>
    <row r="704" spans="1:17" ht="18" customHeight="1" x14ac:dyDescent="0.4">
      <c r="A704" s="7">
        <f t="shared" si="105"/>
        <v>703</v>
      </c>
      <c r="B704" s="13">
        <f t="shared" si="106"/>
        <v>703</v>
      </c>
      <c r="C704" s="16" t="s">
        <v>1569</v>
      </c>
      <c r="D704" s="16" t="s">
        <v>1652</v>
      </c>
      <c r="E704" s="17" t="s">
        <v>1257</v>
      </c>
      <c r="F704" s="16" t="s">
        <v>1653</v>
      </c>
      <c r="G704" s="16" t="s">
        <v>1581</v>
      </c>
      <c r="H704" s="16" t="s">
        <v>1654</v>
      </c>
      <c r="I704" s="16" t="s">
        <v>1655</v>
      </c>
      <c r="J704" s="61" t="s">
        <v>22</v>
      </c>
      <c r="K704" s="16" t="s">
        <v>1656</v>
      </c>
      <c r="L704" s="16" t="s">
        <v>3321</v>
      </c>
      <c r="M704" s="16">
        <v>50</v>
      </c>
      <c r="N704" s="17" t="s">
        <v>1257</v>
      </c>
      <c r="O704" s="17" t="str">
        <f t="shared" si="108"/>
        <v>NO</v>
      </c>
      <c r="P704" s="17" t="str">
        <f t="shared" si="109"/>
        <v>🟢</v>
      </c>
      <c r="Q704" s="60"/>
    </row>
    <row r="705" spans="1:17" ht="18" customHeight="1" x14ac:dyDescent="0.4">
      <c r="A705" s="7">
        <f t="shared" si="105"/>
        <v>704</v>
      </c>
      <c r="B705" s="13">
        <f t="shared" si="106"/>
        <v>704</v>
      </c>
      <c r="C705" s="16" t="s">
        <v>1569</v>
      </c>
      <c r="D705" s="16" t="s">
        <v>1690</v>
      </c>
      <c r="E705" s="12" t="s">
        <v>1257</v>
      </c>
      <c r="F705" s="16" t="s">
        <v>1691</v>
      </c>
      <c r="G705" s="16" t="s">
        <v>1692</v>
      </c>
      <c r="H705" s="16" t="s">
        <v>1693</v>
      </c>
      <c r="I705" s="16" t="s">
        <v>947</v>
      </c>
      <c r="J705" s="62" t="s">
        <v>22</v>
      </c>
      <c r="K705" s="16" t="s">
        <v>1694</v>
      </c>
      <c r="L705" s="16" t="s">
        <v>3321</v>
      </c>
      <c r="M705" s="16">
        <v>51</v>
      </c>
      <c r="N705" s="17" t="s">
        <v>1257</v>
      </c>
      <c r="O705" s="17" t="str">
        <f t="shared" si="108"/>
        <v>NO</v>
      </c>
      <c r="P705" s="17" t="str">
        <f t="shared" si="109"/>
        <v>🟢</v>
      </c>
      <c r="Q705" s="60"/>
    </row>
    <row r="706" spans="1:17" ht="18" customHeight="1" x14ac:dyDescent="0.4">
      <c r="A706" s="7">
        <f t="shared" si="105"/>
        <v>705</v>
      </c>
      <c r="B706" s="13">
        <f t="shared" si="106"/>
        <v>705</v>
      </c>
      <c r="C706" s="16" t="s">
        <v>1569</v>
      </c>
      <c r="D706" s="16" t="s">
        <v>817</v>
      </c>
      <c r="E706" s="17" t="s">
        <v>1257</v>
      </c>
      <c r="F706" s="16" t="s">
        <v>1706</v>
      </c>
      <c r="G706" s="16" t="s">
        <v>1707</v>
      </c>
      <c r="H706" s="16" t="s">
        <v>1708</v>
      </c>
      <c r="I706" s="16" t="s">
        <v>1709</v>
      </c>
      <c r="J706" s="61" t="s">
        <v>22</v>
      </c>
      <c r="K706" s="16" t="s">
        <v>1710</v>
      </c>
      <c r="L706" s="16" t="s">
        <v>3321</v>
      </c>
      <c r="M706" s="16">
        <v>52</v>
      </c>
      <c r="N706" s="17" t="s">
        <v>1257</v>
      </c>
      <c r="O706" s="17" t="str">
        <f t="shared" si="108"/>
        <v>NO</v>
      </c>
      <c r="P706" s="17" t="str">
        <f t="shared" si="109"/>
        <v>🟢</v>
      </c>
      <c r="Q706" s="60"/>
    </row>
    <row r="707" spans="1:17" ht="18" customHeight="1" x14ac:dyDescent="0.4">
      <c r="A707" s="10">
        <f t="shared" si="105"/>
        <v>706</v>
      </c>
      <c r="B707" s="13">
        <f t="shared" si="106"/>
        <v>706</v>
      </c>
      <c r="C707" s="24" t="s">
        <v>1569</v>
      </c>
      <c r="D707" s="24" t="s">
        <v>817</v>
      </c>
      <c r="E707" s="17" t="s">
        <v>1257</v>
      </c>
      <c r="F707" s="16" t="s">
        <v>1711</v>
      </c>
      <c r="G707" s="24" t="s">
        <v>1712</v>
      </c>
      <c r="H707" s="24" t="s">
        <v>1713</v>
      </c>
      <c r="I707" s="24" t="s">
        <v>1714</v>
      </c>
      <c r="J707" s="61" t="s">
        <v>22</v>
      </c>
      <c r="K707" s="24" t="s">
        <v>1715</v>
      </c>
      <c r="L707" s="16" t="s">
        <v>3321</v>
      </c>
      <c r="M707" s="16">
        <v>53</v>
      </c>
      <c r="N707" s="17" t="s">
        <v>1257</v>
      </c>
      <c r="O707" s="17" t="str">
        <f t="shared" si="108"/>
        <v>NO</v>
      </c>
      <c r="P707" s="17" t="str">
        <f t="shared" si="109"/>
        <v>🟢</v>
      </c>
      <c r="Q707" s="60"/>
    </row>
    <row r="708" spans="1:17" ht="18" customHeight="1" x14ac:dyDescent="0.4">
      <c r="A708" s="7">
        <f t="shared" si="105"/>
        <v>707</v>
      </c>
      <c r="B708" s="13">
        <f t="shared" si="106"/>
        <v>707</v>
      </c>
      <c r="C708" s="16" t="s">
        <v>1569</v>
      </c>
      <c r="D708" s="16" t="s">
        <v>817</v>
      </c>
      <c r="E708" s="17" t="s">
        <v>1257</v>
      </c>
      <c r="F708" s="16" t="s">
        <v>1716</v>
      </c>
      <c r="G708" s="16" t="s">
        <v>1717</v>
      </c>
      <c r="H708" s="16" t="s">
        <v>1718</v>
      </c>
      <c r="I708" s="16" t="s">
        <v>1719</v>
      </c>
      <c r="J708" s="61" t="s">
        <v>22</v>
      </c>
      <c r="K708" s="16" t="s">
        <v>1720</v>
      </c>
      <c r="L708" s="16" t="s">
        <v>3321</v>
      </c>
      <c r="M708" s="16">
        <v>54</v>
      </c>
      <c r="N708" s="17" t="s">
        <v>1257</v>
      </c>
      <c r="O708" s="17" t="str">
        <f t="shared" si="108"/>
        <v>NO</v>
      </c>
      <c r="P708" s="17" t="str">
        <f t="shared" si="109"/>
        <v>🟢</v>
      </c>
      <c r="Q708" s="60"/>
    </row>
    <row r="709" spans="1:17" ht="18" customHeight="1" x14ac:dyDescent="0.4">
      <c r="A709" s="7">
        <f t="shared" si="105"/>
        <v>708</v>
      </c>
      <c r="B709" s="13">
        <f t="shared" si="106"/>
        <v>708</v>
      </c>
      <c r="C709" s="32" t="s">
        <v>2569</v>
      </c>
      <c r="D709" s="32"/>
      <c r="E709" s="33" t="str">
        <f>IF(UPPER($J709)="NO","",$N709)</f>
        <v>LATERAL</v>
      </c>
      <c r="F709" s="16" t="s">
        <v>2714</v>
      </c>
      <c r="G709" s="32" t="s">
        <v>128</v>
      </c>
      <c r="H709" s="32" t="s">
        <v>104</v>
      </c>
      <c r="I709" s="32" t="s">
        <v>88</v>
      </c>
      <c r="J709" s="61" t="s">
        <v>22</v>
      </c>
      <c r="K709" s="32" t="s">
        <v>2715</v>
      </c>
      <c r="L709" s="16" t="s">
        <v>3324</v>
      </c>
      <c r="M709" s="16">
        <v>45</v>
      </c>
      <c r="N709" s="17" t="s">
        <v>1257</v>
      </c>
      <c r="O709" s="17" t="str">
        <f t="shared" si="108"/>
        <v>NO</v>
      </c>
      <c r="P709" s="17" t="str">
        <f t="shared" si="109"/>
        <v>🟢</v>
      </c>
      <c r="Q709" s="60"/>
    </row>
    <row r="710" spans="1:17" ht="18" customHeight="1" x14ac:dyDescent="0.4">
      <c r="A710" s="10">
        <f t="shared" si="105"/>
        <v>709</v>
      </c>
      <c r="B710" s="13">
        <f t="shared" si="106"/>
        <v>709</v>
      </c>
      <c r="C710" s="11" t="s">
        <v>2569</v>
      </c>
      <c r="D710" s="11"/>
      <c r="E710" s="12" t="str">
        <f>IF(UPPER($J710)="NO","",$N710)</f>
        <v>LATERAL</v>
      </c>
      <c r="F710" s="16" t="s">
        <v>2712</v>
      </c>
      <c r="G710" s="11" t="s">
        <v>1545</v>
      </c>
      <c r="H710" s="11" t="s">
        <v>1082</v>
      </c>
      <c r="I710" s="11" t="s">
        <v>2682</v>
      </c>
      <c r="J710" s="61" t="s">
        <v>22</v>
      </c>
      <c r="K710" s="11" t="s">
        <v>2713</v>
      </c>
      <c r="L710" s="16" t="s">
        <v>3324</v>
      </c>
      <c r="M710" s="16">
        <v>46</v>
      </c>
      <c r="N710" s="17" t="s">
        <v>1257</v>
      </c>
      <c r="O710" s="17" t="str">
        <f t="shared" si="108"/>
        <v>NO</v>
      </c>
      <c r="P710" s="17" t="str">
        <f t="shared" si="109"/>
        <v>🟢</v>
      </c>
      <c r="Q710" s="60"/>
    </row>
    <row r="711" spans="1:17" ht="18" customHeight="1" x14ac:dyDescent="0.4">
      <c r="A711" s="10">
        <f t="shared" si="105"/>
        <v>710</v>
      </c>
      <c r="B711" s="13">
        <f t="shared" si="106"/>
        <v>710</v>
      </c>
      <c r="C711" s="24" t="s">
        <v>1569</v>
      </c>
      <c r="D711" s="24" t="s">
        <v>1415</v>
      </c>
      <c r="E711" s="17" t="s">
        <v>1257</v>
      </c>
      <c r="F711" s="16" t="s">
        <v>1729</v>
      </c>
      <c r="G711" s="24" t="s">
        <v>1730</v>
      </c>
      <c r="H711" s="24" t="s">
        <v>1731</v>
      </c>
      <c r="I711" s="24" t="s">
        <v>503</v>
      </c>
      <c r="J711" s="64" t="s">
        <v>22</v>
      </c>
      <c r="K711" s="24" t="s">
        <v>1732</v>
      </c>
      <c r="L711" s="16" t="s">
        <v>3321</v>
      </c>
      <c r="M711" s="16">
        <v>55</v>
      </c>
      <c r="N711" s="17" t="s">
        <v>1257</v>
      </c>
      <c r="O711" s="17" t="str">
        <f t="shared" si="108"/>
        <v>NO</v>
      </c>
      <c r="P711" s="17" t="str">
        <f t="shared" si="109"/>
        <v>🟢</v>
      </c>
      <c r="Q711" s="60"/>
    </row>
    <row r="712" spans="1:17" ht="18" customHeight="1" x14ac:dyDescent="0.4">
      <c r="A712" s="7">
        <f t="shared" si="105"/>
        <v>711</v>
      </c>
      <c r="B712" s="13">
        <f t="shared" si="106"/>
        <v>711</v>
      </c>
      <c r="C712" s="24" t="s">
        <v>1569</v>
      </c>
      <c r="D712" s="24" t="s">
        <v>1733</v>
      </c>
      <c r="E712" s="17" t="s">
        <v>1257</v>
      </c>
      <c r="F712" s="16" t="s">
        <v>1734</v>
      </c>
      <c r="G712" s="24" t="s">
        <v>394</v>
      </c>
      <c r="H712" s="24" t="s">
        <v>1735</v>
      </c>
      <c r="I712" s="24" t="s">
        <v>87</v>
      </c>
      <c r="J712" s="61" t="s">
        <v>22</v>
      </c>
      <c r="K712" s="24" t="s">
        <v>1736</v>
      </c>
      <c r="L712" s="16" t="s">
        <v>3321</v>
      </c>
      <c r="M712" s="16">
        <v>56</v>
      </c>
      <c r="N712" s="17" t="s">
        <v>1257</v>
      </c>
      <c r="O712" s="17" t="str">
        <f t="shared" si="108"/>
        <v>NO</v>
      </c>
      <c r="P712" s="17" t="str">
        <f t="shared" si="109"/>
        <v>🟢</v>
      </c>
      <c r="Q712" s="60"/>
    </row>
    <row r="713" spans="1:17" ht="18" customHeight="1" x14ac:dyDescent="0.4">
      <c r="A713" s="7">
        <f t="shared" si="105"/>
        <v>712</v>
      </c>
      <c r="B713" s="13">
        <f t="shared" si="106"/>
        <v>712</v>
      </c>
      <c r="C713" s="32" t="s">
        <v>2569</v>
      </c>
      <c r="D713" s="32"/>
      <c r="E713" s="33" t="str">
        <f>IF(UPPER($J713)="NO","",$N713)</f>
        <v>LATERAL</v>
      </c>
      <c r="F713" s="16" t="s">
        <v>2709</v>
      </c>
      <c r="G713" s="32" t="s">
        <v>1337</v>
      </c>
      <c r="H713" s="32" t="s">
        <v>2710</v>
      </c>
      <c r="I713" s="32" t="s">
        <v>686</v>
      </c>
      <c r="J713" s="61" t="s">
        <v>22</v>
      </c>
      <c r="K713" s="32" t="s">
        <v>2711</v>
      </c>
      <c r="L713" s="16" t="s">
        <v>3324</v>
      </c>
      <c r="M713" s="16">
        <v>47</v>
      </c>
      <c r="N713" s="17" t="s">
        <v>1257</v>
      </c>
      <c r="O713" s="17" t="str">
        <f t="shared" si="108"/>
        <v>NO</v>
      </c>
      <c r="P713" s="17" t="str">
        <f t="shared" si="109"/>
        <v>🟢</v>
      </c>
      <c r="Q713" s="60"/>
    </row>
    <row r="714" spans="1:17" ht="18" customHeight="1" x14ac:dyDescent="0.4">
      <c r="A714" s="7">
        <f t="shared" si="105"/>
        <v>713</v>
      </c>
      <c r="B714" s="13">
        <f t="shared" si="106"/>
        <v>713</v>
      </c>
      <c r="C714" s="16" t="s">
        <v>1770</v>
      </c>
      <c r="D714" s="16" t="s">
        <v>882</v>
      </c>
      <c r="E714" s="17" t="s">
        <v>1257</v>
      </c>
      <c r="F714" s="16" t="s">
        <v>1849</v>
      </c>
      <c r="G714" s="16" t="s">
        <v>1361</v>
      </c>
      <c r="H714" s="16" t="s">
        <v>1850</v>
      </c>
      <c r="I714" s="16" t="s">
        <v>1850</v>
      </c>
      <c r="J714" s="61" t="s">
        <v>22</v>
      </c>
      <c r="K714" s="16" t="s">
        <v>1851</v>
      </c>
      <c r="L714" s="16" t="s">
        <v>3321</v>
      </c>
      <c r="M714" s="16">
        <v>58</v>
      </c>
      <c r="N714" s="17" t="s">
        <v>659</v>
      </c>
      <c r="O714" s="17" t="str">
        <f t="shared" si="108"/>
        <v>NO</v>
      </c>
      <c r="P714" s="17" t="str">
        <f t="shared" si="109"/>
        <v>🟢</v>
      </c>
      <c r="Q714" s="60"/>
    </row>
    <row r="715" spans="1:17" ht="18" customHeight="1" x14ac:dyDescent="0.4">
      <c r="A715" s="10">
        <f t="shared" si="105"/>
        <v>714</v>
      </c>
      <c r="B715" s="13">
        <f t="shared" si="106"/>
        <v>714</v>
      </c>
      <c r="C715" s="32" t="s">
        <v>2569</v>
      </c>
      <c r="D715" s="32"/>
      <c r="E715" s="33" t="str">
        <f t="shared" ref="E715:E724" si="111">IF(UPPER($J715)="NO","",$N715)</f>
        <v>LATERAL</v>
      </c>
      <c r="F715" s="16" t="s">
        <v>2791</v>
      </c>
      <c r="G715" s="32" t="s">
        <v>615</v>
      </c>
      <c r="H715" s="32" t="s">
        <v>2792</v>
      </c>
      <c r="I715" s="32"/>
      <c r="J715" s="61" t="s">
        <v>22</v>
      </c>
      <c r="K715" s="32" t="s">
        <v>2793</v>
      </c>
      <c r="L715" s="16" t="s">
        <v>3324</v>
      </c>
      <c r="M715" s="16">
        <v>48</v>
      </c>
      <c r="N715" s="17" t="s">
        <v>1257</v>
      </c>
      <c r="O715" s="17" t="str">
        <f t="shared" si="108"/>
        <v>NO</v>
      </c>
      <c r="P715" s="17" t="str">
        <f t="shared" si="109"/>
        <v>🟢</v>
      </c>
      <c r="Q715" s="60"/>
    </row>
    <row r="716" spans="1:17" ht="18" customHeight="1" x14ac:dyDescent="0.4">
      <c r="A716" s="7">
        <f t="shared" si="105"/>
        <v>715</v>
      </c>
      <c r="B716" s="13">
        <f t="shared" si="106"/>
        <v>715</v>
      </c>
      <c r="C716" s="11" t="s">
        <v>2569</v>
      </c>
      <c r="D716" s="11"/>
      <c r="E716" s="12" t="str">
        <f t="shared" si="111"/>
        <v>LATERAL</v>
      </c>
      <c r="F716" s="16" t="s">
        <v>1238</v>
      </c>
      <c r="G716" s="11" t="s">
        <v>114</v>
      </c>
      <c r="H716" s="11" t="s">
        <v>99</v>
      </c>
      <c r="I716" s="11"/>
      <c r="J716" s="61" t="s">
        <v>22</v>
      </c>
      <c r="K716" s="11" t="s">
        <v>2794</v>
      </c>
      <c r="L716" s="16" t="s">
        <v>3324</v>
      </c>
      <c r="M716" s="16">
        <v>49</v>
      </c>
      <c r="N716" s="17" t="s">
        <v>1257</v>
      </c>
      <c r="O716" s="17" t="str">
        <f t="shared" si="108"/>
        <v>NO</v>
      </c>
      <c r="P716" s="17" t="str">
        <f t="shared" si="109"/>
        <v>🟢</v>
      </c>
      <c r="Q716" s="60"/>
    </row>
    <row r="717" spans="1:17" ht="18" customHeight="1" x14ac:dyDescent="0.4">
      <c r="A717" s="7">
        <f t="shared" si="105"/>
        <v>716</v>
      </c>
      <c r="B717" s="13">
        <f t="shared" si="106"/>
        <v>716</v>
      </c>
      <c r="C717" s="11" t="s">
        <v>2569</v>
      </c>
      <c r="D717" s="11"/>
      <c r="E717" s="12" t="str">
        <f t="shared" si="111"/>
        <v>LATERAL</v>
      </c>
      <c r="F717" s="16" t="s">
        <v>2799</v>
      </c>
      <c r="G717" s="11" t="s">
        <v>1545</v>
      </c>
      <c r="H717" s="11" t="s">
        <v>1009</v>
      </c>
      <c r="I717" s="11" t="s">
        <v>2115</v>
      </c>
      <c r="J717" s="61" t="s">
        <v>22</v>
      </c>
      <c r="K717" s="11" t="s">
        <v>2800</v>
      </c>
      <c r="L717" s="16" t="s">
        <v>3324</v>
      </c>
      <c r="M717" s="16">
        <v>50</v>
      </c>
      <c r="N717" s="17" t="s">
        <v>1257</v>
      </c>
      <c r="O717" s="17" t="str">
        <f t="shared" si="108"/>
        <v>NO</v>
      </c>
      <c r="P717" s="17" t="str">
        <f t="shared" si="109"/>
        <v>🟢</v>
      </c>
      <c r="Q717" s="60"/>
    </row>
    <row r="718" spans="1:17" ht="18" customHeight="1" x14ac:dyDescent="0.4">
      <c r="A718" s="10">
        <f t="shared" si="105"/>
        <v>717</v>
      </c>
      <c r="B718" s="13">
        <f t="shared" si="106"/>
        <v>717</v>
      </c>
      <c r="C718" s="11" t="s">
        <v>2569</v>
      </c>
      <c r="D718" s="11"/>
      <c r="E718" s="12" t="str">
        <f t="shared" si="111"/>
        <v>LATERAL</v>
      </c>
      <c r="F718" s="16" t="s">
        <v>2704</v>
      </c>
      <c r="G718" s="11" t="s">
        <v>2705</v>
      </c>
      <c r="H718" s="11" t="s">
        <v>2706</v>
      </c>
      <c r="I718" s="11" t="s">
        <v>2707</v>
      </c>
      <c r="J718" s="61" t="s">
        <v>22</v>
      </c>
      <c r="K718" s="11" t="s">
        <v>2708</v>
      </c>
      <c r="L718" s="16" t="s">
        <v>3324</v>
      </c>
      <c r="M718" s="16">
        <v>51</v>
      </c>
      <c r="N718" s="17" t="s">
        <v>1257</v>
      </c>
      <c r="O718" s="17" t="str">
        <f t="shared" si="108"/>
        <v>NO</v>
      </c>
      <c r="P718" s="17" t="str">
        <f t="shared" si="109"/>
        <v>🟢</v>
      </c>
      <c r="Q718" s="60"/>
    </row>
    <row r="719" spans="1:17" ht="18" customHeight="1" x14ac:dyDescent="0.4">
      <c r="A719" s="10">
        <f t="shared" si="105"/>
        <v>718</v>
      </c>
      <c r="B719" s="13">
        <f t="shared" si="106"/>
        <v>718</v>
      </c>
      <c r="C719" s="32" t="s">
        <v>2569</v>
      </c>
      <c r="D719" s="32"/>
      <c r="E719" s="33" t="str">
        <f t="shared" si="111"/>
        <v>LATERAL</v>
      </c>
      <c r="F719" s="16" t="s">
        <v>2757</v>
      </c>
      <c r="G719" s="32" t="s">
        <v>322</v>
      </c>
      <c r="H719" s="32" t="s">
        <v>2758</v>
      </c>
      <c r="I719" s="32"/>
      <c r="J719" s="61" t="s">
        <v>22</v>
      </c>
      <c r="K719" s="32" t="s">
        <v>2759</v>
      </c>
      <c r="L719" s="16" t="s">
        <v>3324</v>
      </c>
      <c r="M719" s="16">
        <v>52</v>
      </c>
      <c r="N719" s="17" t="s">
        <v>1257</v>
      </c>
      <c r="O719" s="17" t="str">
        <f t="shared" si="108"/>
        <v>NO</v>
      </c>
      <c r="P719" s="17" t="str">
        <f t="shared" si="109"/>
        <v>🟢</v>
      </c>
      <c r="Q719" s="60"/>
    </row>
    <row r="720" spans="1:17" ht="18" customHeight="1" x14ac:dyDescent="0.4">
      <c r="A720" s="7">
        <f t="shared" si="105"/>
        <v>719</v>
      </c>
      <c r="B720" s="13">
        <f t="shared" si="106"/>
        <v>719</v>
      </c>
      <c r="C720" s="11" t="s">
        <v>2569</v>
      </c>
      <c r="D720" s="11"/>
      <c r="E720" s="12" t="str">
        <f t="shared" si="111"/>
        <v>LATERAL</v>
      </c>
      <c r="F720" s="16" t="s">
        <v>2789</v>
      </c>
      <c r="G720" s="11" t="s">
        <v>68</v>
      </c>
      <c r="H720" s="11" t="s">
        <v>2734</v>
      </c>
      <c r="I720" s="11" t="s">
        <v>2790</v>
      </c>
      <c r="J720" s="61" t="s">
        <v>22</v>
      </c>
      <c r="K720" s="11" t="s">
        <v>1288</v>
      </c>
      <c r="L720" s="16" t="s">
        <v>3324</v>
      </c>
      <c r="M720" s="16">
        <v>53</v>
      </c>
      <c r="N720" s="17" t="s">
        <v>1257</v>
      </c>
      <c r="O720" s="17" t="str">
        <f t="shared" si="108"/>
        <v>NO</v>
      </c>
      <c r="P720" s="17" t="str">
        <f t="shared" si="109"/>
        <v>🟢</v>
      </c>
      <c r="Q720" s="60"/>
    </row>
    <row r="721" spans="1:17" ht="18" customHeight="1" x14ac:dyDescent="0.4">
      <c r="A721" s="10">
        <f t="shared" si="105"/>
        <v>720</v>
      </c>
      <c r="B721" s="13">
        <f t="shared" si="106"/>
        <v>720</v>
      </c>
      <c r="C721" s="32" t="s">
        <v>2569</v>
      </c>
      <c r="D721" s="32"/>
      <c r="E721" s="33" t="str">
        <f t="shared" si="111"/>
        <v>LATERAL</v>
      </c>
      <c r="F721" s="16" t="s">
        <v>2787</v>
      </c>
      <c r="G721" s="32" t="s">
        <v>2618</v>
      </c>
      <c r="H721" s="32" t="s">
        <v>2788</v>
      </c>
      <c r="I721" s="32" t="s">
        <v>329</v>
      </c>
      <c r="J721" s="61" t="s">
        <v>22</v>
      </c>
      <c r="K721" s="32" t="s">
        <v>1288</v>
      </c>
      <c r="L721" s="16" t="s">
        <v>3324</v>
      </c>
      <c r="M721" s="16">
        <v>54</v>
      </c>
      <c r="N721" s="17" t="s">
        <v>1257</v>
      </c>
      <c r="O721" s="17" t="str">
        <f t="shared" si="108"/>
        <v>NO</v>
      </c>
      <c r="P721" s="17" t="str">
        <f t="shared" si="109"/>
        <v>🟢</v>
      </c>
      <c r="Q721" s="60"/>
    </row>
    <row r="722" spans="1:17" ht="18" hidden="1" customHeight="1" x14ac:dyDescent="0.4">
      <c r="A722" s="10">
        <f t="shared" si="105"/>
        <v>721</v>
      </c>
      <c r="B722" s="13">
        <f t="shared" si="106"/>
        <v>721</v>
      </c>
      <c r="C722" s="32" t="s">
        <v>2569</v>
      </c>
      <c r="D722" s="32"/>
      <c r="E722" s="33" t="str">
        <f t="shared" si="111"/>
        <v/>
      </c>
      <c r="F722" s="16" t="s">
        <v>2774</v>
      </c>
      <c r="G722" s="32" t="s">
        <v>2775</v>
      </c>
      <c r="H722" s="32" t="s">
        <v>410</v>
      </c>
      <c r="I722" s="32" t="s">
        <v>99</v>
      </c>
      <c r="J722" s="63" t="s">
        <v>71</v>
      </c>
      <c r="K722" s="32" t="s">
        <v>2773</v>
      </c>
      <c r="L722" s="16"/>
      <c r="M722" s="16"/>
      <c r="N722" s="17"/>
      <c r="O722" s="17" t="str">
        <f t="shared" si="108"/>
        <v>NO</v>
      </c>
      <c r="P722" s="17" t="str">
        <f t="shared" si="109"/>
        <v>🔴</v>
      </c>
      <c r="Q722" s="60"/>
    </row>
    <row r="723" spans="1:17" ht="18" hidden="1" customHeight="1" x14ac:dyDescent="0.4">
      <c r="A723" s="7">
        <f t="shared" si="105"/>
        <v>722</v>
      </c>
      <c r="B723" s="13">
        <f t="shared" si="106"/>
        <v>722</v>
      </c>
      <c r="C723" s="11" t="s">
        <v>2569</v>
      </c>
      <c r="D723" s="11"/>
      <c r="E723" s="12" t="str">
        <f t="shared" si="111"/>
        <v/>
      </c>
      <c r="F723" s="16" t="s">
        <v>2776</v>
      </c>
      <c r="G723" s="11" t="s">
        <v>2740</v>
      </c>
      <c r="H723" s="11" t="s">
        <v>2777</v>
      </c>
      <c r="I723" s="11"/>
      <c r="J723" s="62" t="s">
        <v>71</v>
      </c>
      <c r="K723" s="11" t="s">
        <v>2778</v>
      </c>
      <c r="L723" s="16"/>
      <c r="M723" s="16"/>
      <c r="N723" s="17" t="s">
        <v>1257</v>
      </c>
      <c r="O723" s="17" t="str">
        <f t="shared" si="108"/>
        <v>NO</v>
      </c>
      <c r="P723" s="17" t="str">
        <f t="shared" si="109"/>
        <v>🔴</v>
      </c>
      <c r="Q723" s="60"/>
    </row>
    <row r="724" spans="1:17" ht="18" customHeight="1" x14ac:dyDescent="0.4">
      <c r="A724" s="7">
        <f t="shared" si="105"/>
        <v>723</v>
      </c>
      <c r="B724" s="13">
        <f t="shared" si="106"/>
        <v>723</v>
      </c>
      <c r="C724" s="11" t="s">
        <v>2569</v>
      </c>
      <c r="D724" s="11"/>
      <c r="E724" s="12" t="str">
        <f t="shared" si="111"/>
        <v>LATERAL</v>
      </c>
      <c r="F724" s="16" t="s">
        <v>2772</v>
      </c>
      <c r="G724" s="11" t="s">
        <v>465</v>
      </c>
      <c r="H724" s="11" t="s">
        <v>1009</v>
      </c>
      <c r="I724" s="11" t="s">
        <v>2115</v>
      </c>
      <c r="J724" s="61" t="s">
        <v>22</v>
      </c>
      <c r="K724" s="11" t="s">
        <v>2773</v>
      </c>
      <c r="L724" s="16" t="s">
        <v>3324</v>
      </c>
      <c r="M724" s="16">
        <v>55</v>
      </c>
      <c r="N724" s="17" t="s">
        <v>1257</v>
      </c>
      <c r="O724" s="17" t="str">
        <f t="shared" si="108"/>
        <v>NO</v>
      </c>
      <c r="P724" s="17" t="str">
        <f t="shared" si="109"/>
        <v>🟢</v>
      </c>
      <c r="Q724" s="60"/>
    </row>
    <row r="725" spans="1:17" ht="18" customHeight="1" x14ac:dyDescent="0.4">
      <c r="A725" s="10">
        <f t="shared" si="105"/>
        <v>724</v>
      </c>
      <c r="B725" s="13">
        <f t="shared" si="106"/>
        <v>724</v>
      </c>
      <c r="C725" s="11" t="s">
        <v>2569</v>
      </c>
      <c r="D725" s="11"/>
      <c r="E725" s="17" t="s">
        <v>1257</v>
      </c>
      <c r="F725" s="16" t="s">
        <v>2625</v>
      </c>
      <c r="G725" s="11" t="s">
        <v>513</v>
      </c>
      <c r="H725" s="11" t="s">
        <v>1443</v>
      </c>
      <c r="I725" s="11" t="s">
        <v>2626</v>
      </c>
      <c r="J725" s="61" t="s">
        <v>22</v>
      </c>
      <c r="K725" s="11" t="s">
        <v>2627</v>
      </c>
      <c r="L725" s="16" t="s">
        <v>3321</v>
      </c>
      <c r="M725" s="16">
        <v>59</v>
      </c>
      <c r="N725" s="17" t="s">
        <v>1257</v>
      </c>
      <c r="O725" s="17" t="str">
        <f t="shared" si="108"/>
        <v>NO</v>
      </c>
      <c r="P725" s="17" t="str">
        <f t="shared" si="109"/>
        <v>🟢</v>
      </c>
      <c r="Q725" s="60"/>
    </row>
    <row r="726" spans="1:17" ht="18" customHeight="1" x14ac:dyDescent="0.4">
      <c r="A726" s="10">
        <f t="shared" si="105"/>
        <v>725</v>
      </c>
      <c r="B726" s="13">
        <f t="shared" si="106"/>
        <v>725</v>
      </c>
      <c r="C726" s="11" t="s">
        <v>2569</v>
      </c>
      <c r="D726" s="11" t="s">
        <v>817</v>
      </c>
      <c r="E726" s="12" t="str">
        <f>IF(UPPER($J726)="NO","",$N726)</f>
        <v>LATERAL</v>
      </c>
      <c r="F726" s="16" t="s">
        <v>2601</v>
      </c>
      <c r="G726" s="11" t="s">
        <v>311</v>
      </c>
      <c r="H726" s="11" t="s">
        <v>796</v>
      </c>
      <c r="I726" s="11" t="s">
        <v>2602</v>
      </c>
      <c r="J726" s="61" t="s">
        <v>22</v>
      </c>
      <c r="K726" s="11" t="s">
        <v>2603</v>
      </c>
      <c r="L726" s="16" t="s">
        <v>3324</v>
      </c>
      <c r="M726" s="16">
        <v>56</v>
      </c>
      <c r="N726" s="17" t="s">
        <v>1257</v>
      </c>
      <c r="O726" s="17" t="str">
        <f t="shared" si="108"/>
        <v>NO</v>
      </c>
      <c r="P726" s="17" t="str">
        <f t="shared" si="109"/>
        <v>🟢</v>
      </c>
      <c r="Q726" s="60"/>
    </row>
    <row r="727" spans="1:17" ht="18" customHeight="1" x14ac:dyDescent="0.4">
      <c r="A727" s="10">
        <f t="shared" si="105"/>
        <v>726</v>
      </c>
      <c r="B727" s="13">
        <f t="shared" si="106"/>
        <v>726</v>
      </c>
      <c r="C727" s="32" t="s">
        <v>2569</v>
      </c>
      <c r="D727" s="32"/>
      <c r="E727" s="33" t="str">
        <f>IF(UPPER($J727)="NO","",$N727)</f>
        <v>LATERAL</v>
      </c>
      <c r="F727" s="16" t="s">
        <v>2770</v>
      </c>
      <c r="G727" s="32" t="s">
        <v>533</v>
      </c>
      <c r="H727" s="32" t="s">
        <v>2771</v>
      </c>
      <c r="I727" s="32"/>
      <c r="J727" s="61" t="s">
        <v>22</v>
      </c>
      <c r="K727" s="32" t="s">
        <v>2763</v>
      </c>
      <c r="L727" s="16" t="s">
        <v>3324</v>
      </c>
      <c r="M727" s="16">
        <v>57</v>
      </c>
      <c r="N727" s="17" t="s">
        <v>1257</v>
      </c>
      <c r="O727" s="17" t="str">
        <f t="shared" si="108"/>
        <v>NO</v>
      </c>
      <c r="P727" s="17" t="str">
        <f t="shared" si="109"/>
        <v>🟢</v>
      </c>
      <c r="Q727" s="60"/>
    </row>
    <row r="728" spans="1:17" ht="18" customHeight="1" x14ac:dyDescent="0.4">
      <c r="A728" s="7">
        <f t="shared" si="105"/>
        <v>727</v>
      </c>
      <c r="B728" s="13">
        <f t="shared" si="106"/>
        <v>727</v>
      </c>
      <c r="C728" s="11" t="s">
        <v>2569</v>
      </c>
      <c r="D728" s="11"/>
      <c r="E728" s="12" t="str">
        <f>IF(UPPER($J728)="NO","",$N728)</f>
        <v>LATERAL</v>
      </c>
      <c r="F728" s="16" t="s">
        <v>2767</v>
      </c>
      <c r="G728" s="11" t="s">
        <v>2768</v>
      </c>
      <c r="H728" s="11" t="s">
        <v>2769</v>
      </c>
      <c r="I728" s="11"/>
      <c r="J728" s="61" t="s">
        <v>22</v>
      </c>
      <c r="K728" s="11" t="s">
        <v>2763</v>
      </c>
      <c r="L728" s="16" t="s">
        <v>3324</v>
      </c>
      <c r="M728" s="16">
        <v>58</v>
      </c>
      <c r="N728" s="17" t="s">
        <v>1257</v>
      </c>
      <c r="O728" s="17" t="str">
        <f t="shared" si="108"/>
        <v>NO</v>
      </c>
      <c r="P728" s="17" t="str">
        <f t="shared" si="109"/>
        <v>🟢</v>
      </c>
      <c r="Q728" s="60"/>
    </row>
    <row r="729" spans="1:17" ht="18" customHeight="1" x14ac:dyDescent="0.4">
      <c r="A729" s="10">
        <f t="shared" si="105"/>
        <v>728</v>
      </c>
      <c r="B729" s="13">
        <f t="shared" si="106"/>
        <v>728</v>
      </c>
      <c r="C729" s="32" t="s">
        <v>2569</v>
      </c>
      <c r="D729" s="32"/>
      <c r="E729" s="33" t="str">
        <f>IF(UPPER($J729)="NO","",$N729)</f>
        <v>LATERAL</v>
      </c>
      <c r="F729" s="16" t="s">
        <v>2764</v>
      </c>
      <c r="G729" s="32" t="s">
        <v>2765</v>
      </c>
      <c r="H729" s="32" t="s">
        <v>2766</v>
      </c>
      <c r="I729" s="32"/>
      <c r="J729" s="61" t="s">
        <v>22</v>
      </c>
      <c r="K729" s="32" t="s">
        <v>2763</v>
      </c>
      <c r="L729" s="16" t="s">
        <v>3324</v>
      </c>
      <c r="M729" s="16">
        <v>59</v>
      </c>
      <c r="N729" s="17" t="s">
        <v>1257</v>
      </c>
      <c r="O729" s="17" t="str">
        <f t="shared" si="108"/>
        <v>NO</v>
      </c>
      <c r="P729" s="17" t="str">
        <f t="shared" si="109"/>
        <v>🟢</v>
      </c>
      <c r="Q729" s="60"/>
    </row>
    <row r="730" spans="1:17" ht="18" customHeight="1" x14ac:dyDescent="0.4">
      <c r="A730" s="10">
        <f t="shared" si="105"/>
        <v>729</v>
      </c>
      <c r="B730" s="13">
        <f t="shared" si="106"/>
        <v>729</v>
      </c>
      <c r="C730" s="32" t="s">
        <v>2801</v>
      </c>
      <c r="D730" s="32" t="s">
        <v>95</v>
      </c>
      <c r="E730" s="17" t="s">
        <v>1257</v>
      </c>
      <c r="F730" s="16" t="s">
        <v>2806</v>
      </c>
      <c r="G730" s="32" t="s">
        <v>465</v>
      </c>
      <c r="H730" s="32" t="s">
        <v>2615</v>
      </c>
      <c r="I730" s="32"/>
      <c r="J730" s="61" t="s">
        <v>22</v>
      </c>
      <c r="K730" s="32" t="s">
        <v>2807</v>
      </c>
      <c r="L730" s="16" t="s">
        <v>3321</v>
      </c>
      <c r="M730" s="16">
        <v>60</v>
      </c>
      <c r="N730" s="17" t="s">
        <v>1257</v>
      </c>
      <c r="O730" s="17" t="str">
        <f t="shared" si="108"/>
        <v>NO</v>
      </c>
      <c r="P730" s="17" t="str">
        <f t="shared" si="109"/>
        <v>🟢</v>
      </c>
      <c r="Q730" s="60"/>
    </row>
    <row r="731" spans="1:17" ht="18" customHeight="1" x14ac:dyDescent="0.4">
      <c r="A731" s="10">
        <f t="shared" si="105"/>
        <v>730</v>
      </c>
      <c r="B731" s="13">
        <f t="shared" si="106"/>
        <v>730</v>
      </c>
      <c r="C731" s="11" t="s">
        <v>2569</v>
      </c>
      <c r="D731" s="11"/>
      <c r="E731" s="12" t="str">
        <f>IF(UPPER($J731)="NO","",$N731)</f>
        <v>LATERAL</v>
      </c>
      <c r="F731" s="16" t="s">
        <v>2698</v>
      </c>
      <c r="G731" s="11" t="s">
        <v>2455</v>
      </c>
      <c r="H731" s="11" t="s">
        <v>2699</v>
      </c>
      <c r="I731" s="11" t="s">
        <v>342</v>
      </c>
      <c r="J731" s="61" t="s">
        <v>22</v>
      </c>
      <c r="K731" s="11" t="s">
        <v>2700</v>
      </c>
      <c r="L731" s="16"/>
      <c r="M731" s="16"/>
      <c r="N731" s="17" t="s">
        <v>1257</v>
      </c>
      <c r="O731" s="17" t="str">
        <f t="shared" si="108"/>
        <v>NO</v>
      </c>
      <c r="P731" s="17" t="str">
        <f t="shared" si="109"/>
        <v>🟢</v>
      </c>
      <c r="Q731" s="60"/>
    </row>
    <row r="732" spans="1:17" ht="18" customHeight="1" x14ac:dyDescent="0.4">
      <c r="A732" s="7">
        <f t="shared" si="105"/>
        <v>731</v>
      </c>
      <c r="B732" s="13">
        <f t="shared" si="106"/>
        <v>731</v>
      </c>
      <c r="C732" s="16" t="s">
        <v>1770</v>
      </c>
      <c r="D732" s="16" t="s">
        <v>1449</v>
      </c>
      <c r="E732" s="17" t="s">
        <v>1257</v>
      </c>
      <c r="F732" s="16" t="s">
        <v>1949</v>
      </c>
      <c r="G732" s="16" t="s">
        <v>153</v>
      </c>
      <c r="H732" s="16" t="s">
        <v>1950</v>
      </c>
      <c r="I732" s="16" t="s">
        <v>824</v>
      </c>
      <c r="J732" s="61" t="s">
        <v>22</v>
      </c>
      <c r="K732" s="28" t="s">
        <v>1951</v>
      </c>
      <c r="L732" s="16" t="s">
        <v>3324</v>
      </c>
      <c r="M732" s="16">
        <v>60</v>
      </c>
      <c r="N732" s="17" t="s">
        <v>659</v>
      </c>
      <c r="O732" s="17" t="str">
        <f t="shared" si="108"/>
        <v>NO</v>
      </c>
      <c r="P732" s="17" t="str">
        <f t="shared" si="109"/>
        <v>🟢</v>
      </c>
      <c r="Q732" s="60"/>
    </row>
    <row r="733" spans="1:17" ht="18" customHeight="1" x14ac:dyDescent="0.4">
      <c r="A733" s="7">
        <f t="shared" ref="A733:A796" si="112">IF(COUNTA(C733:K733)=0,"",ROW()-1)</f>
        <v>732</v>
      </c>
      <c r="B733" s="13">
        <f t="shared" ref="B733:B796" si="113">IF($F733&lt;&gt;"",$A733,"")</f>
        <v>732</v>
      </c>
      <c r="C733" s="11" t="s">
        <v>2801</v>
      </c>
      <c r="D733" s="11" t="s">
        <v>95</v>
      </c>
      <c r="E733" s="17" t="s">
        <v>1257</v>
      </c>
      <c r="F733" s="16" t="s">
        <v>2803</v>
      </c>
      <c r="G733" s="11" t="s">
        <v>473</v>
      </c>
      <c r="H733" s="11" t="s">
        <v>2804</v>
      </c>
      <c r="I733" s="11"/>
      <c r="J733" s="61" t="s">
        <v>22</v>
      </c>
      <c r="K733" s="11" t="s">
        <v>2805</v>
      </c>
      <c r="L733" s="16" t="s">
        <v>3321</v>
      </c>
      <c r="M733" s="16">
        <v>61</v>
      </c>
      <c r="N733" s="17" t="s">
        <v>1257</v>
      </c>
      <c r="O733" s="17" t="str">
        <f t="shared" ref="O733:O796" si="114">IF(AND(UPPER($N733)="VIP",UPPER($J733)&lt;&gt;"NO",$F733&lt;&gt;""),"SI","NO")</f>
        <v>NO</v>
      </c>
      <c r="P733" s="17" t="str">
        <f t="shared" si="109"/>
        <v>🟢</v>
      </c>
      <c r="Q733" s="60"/>
    </row>
    <row r="734" spans="1:17" ht="18" customHeight="1" x14ac:dyDescent="0.4">
      <c r="A734" s="7">
        <f t="shared" si="112"/>
        <v>733</v>
      </c>
      <c r="B734" s="13">
        <f t="shared" si="113"/>
        <v>733</v>
      </c>
      <c r="C734" s="28" t="s">
        <v>1770</v>
      </c>
      <c r="D734" s="28"/>
      <c r="E734" s="17" t="s">
        <v>1257</v>
      </c>
      <c r="F734" s="16" t="s">
        <v>2155</v>
      </c>
      <c r="G734" s="28" t="s">
        <v>2156</v>
      </c>
      <c r="H734" s="28" t="s">
        <v>56</v>
      </c>
      <c r="I734" s="28" t="s">
        <v>539</v>
      </c>
      <c r="J734" s="61" t="s">
        <v>22</v>
      </c>
      <c r="K734" s="28" t="s">
        <v>2157</v>
      </c>
      <c r="L734" s="16" t="s">
        <v>3321</v>
      </c>
      <c r="M734" s="16">
        <v>62</v>
      </c>
      <c r="N734" s="17" t="s">
        <v>659</v>
      </c>
      <c r="O734" s="17" t="str">
        <f t="shared" si="114"/>
        <v>NO</v>
      </c>
      <c r="P734" s="17" t="str">
        <f t="shared" si="109"/>
        <v>🟢</v>
      </c>
      <c r="Q734" s="60"/>
    </row>
    <row r="735" spans="1:17" ht="18" customHeight="1" x14ac:dyDescent="0.4">
      <c r="A735" s="10">
        <f t="shared" si="112"/>
        <v>734</v>
      </c>
      <c r="B735" s="13">
        <f t="shared" si="113"/>
        <v>734</v>
      </c>
      <c r="C735" s="32" t="s">
        <v>2569</v>
      </c>
      <c r="D735" s="32" t="s">
        <v>1449</v>
      </c>
      <c r="E735" s="33" t="str">
        <f>IF(UPPER($J735)="NO","",$N735)</f>
        <v>LATERAL</v>
      </c>
      <c r="F735" s="16" t="s">
        <v>2795</v>
      </c>
      <c r="G735" s="32" t="s">
        <v>2796</v>
      </c>
      <c r="H735" s="32" t="s">
        <v>2797</v>
      </c>
      <c r="I735" s="32"/>
      <c r="J735" s="61" t="s">
        <v>22</v>
      </c>
      <c r="K735" s="32" t="s">
        <v>2798</v>
      </c>
      <c r="L735" s="16" t="s">
        <v>3324</v>
      </c>
      <c r="M735" s="16">
        <v>61</v>
      </c>
      <c r="N735" s="17" t="s">
        <v>1257</v>
      </c>
      <c r="O735" s="17" t="str">
        <f t="shared" si="114"/>
        <v>NO</v>
      </c>
      <c r="P735" s="17" t="str">
        <f t="shared" ref="P735:P798" si="115">IF(UPPER($J735)="SI","🟢",IF(UPPER($J735)="NO","🔴","🟡"))</f>
        <v>🟢</v>
      </c>
      <c r="Q735" s="60"/>
    </row>
    <row r="736" spans="1:17" ht="18" customHeight="1" x14ac:dyDescent="0.4">
      <c r="A736" s="7">
        <f t="shared" si="112"/>
        <v>735</v>
      </c>
      <c r="B736" s="13">
        <f t="shared" si="113"/>
        <v>735</v>
      </c>
      <c r="C736" s="11" t="s">
        <v>2569</v>
      </c>
      <c r="D736" s="11"/>
      <c r="E736" s="12" t="str">
        <f>IF(UPPER($J736)="NO","",$N736)</f>
        <v>LATERAL</v>
      </c>
      <c r="F736" s="16" t="s">
        <v>2760</v>
      </c>
      <c r="G736" s="11" t="s">
        <v>528</v>
      </c>
      <c r="H736" s="11" t="s">
        <v>2761</v>
      </c>
      <c r="I736" s="11" t="s">
        <v>2762</v>
      </c>
      <c r="J736" s="61" t="s">
        <v>22</v>
      </c>
      <c r="K736" s="11" t="s">
        <v>2763</v>
      </c>
      <c r="L736" s="16" t="s">
        <v>3324</v>
      </c>
      <c r="M736" s="16">
        <v>62</v>
      </c>
      <c r="N736" s="17" t="s">
        <v>1257</v>
      </c>
      <c r="O736" s="17" t="str">
        <f t="shared" si="114"/>
        <v>NO</v>
      </c>
      <c r="P736" s="17" t="str">
        <f t="shared" si="115"/>
        <v>🟢</v>
      </c>
      <c r="Q736" s="60"/>
    </row>
    <row r="737" spans="1:17" ht="18" customHeight="1" x14ac:dyDescent="0.4">
      <c r="A737" s="7">
        <f t="shared" si="112"/>
        <v>736</v>
      </c>
      <c r="B737" s="13">
        <f t="shared" si="113"/>
        <v>736</v>
      </c>
      <c r="C737" s="28" t="s">
        <v>1770</v>
      </c>
      <c r="D737" s="28"/>
      <c r="E737" s="17" t="s">
        <v>1257</v>
      </c>
      <c r="F737" s="16" t="s">
        <v>2133</v>
      </c>
      <c r="G737" s="28" t="s">
        <v>1747</v>
      </c>
      <c r="H737" s="28" t="s">
        <v>2134</v>
      </c>
      <c r="I737" s="28" t="s">
        <v>2135</v>
      </c>
      <c r="J737" s="61" t="s">
        <v>22</v>
      </c>
      <c r="K737" s="28" t="s">
        <v>2136</v>
      </c>
      <c r="L737" s="16" t="s">
        <v>3324</v>
      </c>
      <c r="M737" s="16">
        <v>63</v>
      </c>
      <c r="N737" s="17" t="s">
        <v>659</v>
      </c>
      <c r="O737" s="17" t="str">
        <f t="shared" si="114"/>
        <v>NO</v>
      </c>
      <c r="P737" s="17" t="str">
        <f t="shared" si="115"/>
        <v>🟢</v>
      </c>
      <c r="Q737" s="60"/>
    </row>
    <row r="738" spans="1:17" ht="18" customHeight="1" x14ac:dyDescent="0.4">
      <c r="A738" s="7">
        <f t="shared" si="112"/>
        <v>737</v>
      </c>
      <c r="B738" s="13">
        <f t="shared" si="113"/>
        <v>737</v>
      </c>
      <c r="C738" s="28" t="s">
        <v>1770</v>
      </c>
      <c r="D738" s="28"/>
      <c r="E738" s="17" t="s">
        <v>1257</v>
      </c>
      <c r="F738" s="16" t="s">
        <v>2141</v>
      </c>
      <c r="G738" s="28" t="s">
        <v>2142</v>
      </c>
      <c r="H738" s="28" t="s">
        <v>578</v>
      </c>
      <c r="I738" s="28" t="s">
        <v>135</v>
      </c>
      <c r="J738" s="61" t="s">
        <v>22</v>
      </c>
      <c r="K738" s="28" t="s">
        <v>2143</v>
      </c>
      <c r="L738" s="16" t="s">
        <v>3321</v>
      </c>
      <c r="M738" s="16">
        <v>63</v>
      </c>
      <c r="N738" s="17" t="s">
        <v>659</v>
      </c>
      <c r="O738" s="17" t="str">
        <f t="shared" si="114"/>
        <v>NO</v>
      </c>
      <c r="P738" s="17" t="str">
        <f t="shared" si="115"/>
        <v>🟢</v>
      </c>
      <c r="Q738" s="60"/>
    </row>
    <row r="739" spans="1:17" ht="19.75" customHeight="1" x14ac:dyDescent="0.4">
      <c r="A739" s="10">
        <f t="shared" si="112"/>
        <v>738</v>
      </c>
      <c r="B739" s="13">
        <f t="shared" si="113"/>
        <v>738</v>
      </c>
      <c r="C739" s="16" t="s">
        <v>1770</v>
      </c>
      <c r="D739" s="16"/>
      <c r="E739" s="17" t="s">
        <v>1257</v>
      </c>
      <c r="F739" s="16" t="s">
        <v>2137</v>
      </c>
      <c r="G739" s="11" t="s">
        <v>2138</v>
      </c>
      <c r="H739" s="11" t="s">
        <v>2139</v>
      </c>
      <c r="I739" s="11" t="s">
        <v>104</v>
      </c>
      <c r="J739" s="61" t="s">
        <v>22</v>
      </c>
      <c r="K739" s="16" t="s">
        <v>2140</v>
      </c>
      <c r="L739" s="16" t="s">
        <v>3321</v>
      </c>
      <c r="M739" s="16">
        <v>64</v>
      </c>
      <c r="N739" s="17" t="s">
        <v>659</v>
      </c>
      <c r="O739" s="17" t="str">
        <f t="shared" si="114"/>
        <v>NO</v>
      </c>
      <c r="P739" s="17" t="str">
        <f t="shared" si="115"/>
        <v>🟢</v>
      </c>
      <c r="Q739" s="60"/>
    </row>
    <row r="740" spans="1:17" ht="18" customHeight="1" x14ac:dyDescent="0.4">
      <c r="A740" s="79">
        <f t="shared" si="112"/>
        <v>739</v>
      </c>
      <c r="B740" s="75">
        <f t="shared" si="113"/>
        <v>739</v>
      </c>
      <c r="C740" s="78" t="s">
        <v>1770</v>
      </c>
      <c r="D740" s="78"/>
      <c r="E740" s="77" t="str">
        <f t="shared" ref="E740:E803" si="116">IF(UPPER($J740)="NO","",$N740)</f>
        <v>LATERAL</v>
      </c>
      <c r="F740" s="78" t="s">
        <v>1965</v>
      </c>
      <c r="G740" s="78" t="s">
        <v>1966</v>
      </c>
      <c r="H740" s="78" t="s">
        <v>1967</v>
      </c>
      <c r="I740" s="78" t="s">
        <v>1968</v>
      </c>
      <c r="J740" s="84" t="s">
        <v>22</v>
      </c>
      <c r="K740" s="16" t="s">
        <v>1969</v>
      </c>
      <c r="L740" s="78" t="s">
        <v>3319</v>
      </c>
      <c r="M740" s="78">
        <v>59</v>
      </c>
      <c r="N740" s="77" t="s">
        <v>1257</v>
      </c>
      <c r="O740" s="77" t="str">
        <f t="shared" si="114"/>
        <v>NO</v>
      </c>
      <c r="P740" s="77" t="str">
        <f t="shared" si="115"/>
        <v>🟢</v>
      </c>
      <c r="Q740" s="77"/>
    </row>
    <row r="741" spans="1:17" ht="18" hidden="1" customHeight="1" x14ac:dyDescent="0.4">
      <c r="A741" s="41">
        <f t="shared" si="112"/>
        <v>740</v>
      </c>
      <c r="B741" s="41" t="str">
        <f t="shared" si="113"/>
        <v/>
      </c>
      <c r="C741" s="41"/>
      <c r="D741" s="41"/>
      <c r="E741" s="41">
        <f t="shared" si="116"/>
        <v>0</v>
      </c>
      <c r="F741" s="41"/>
      <c r="G741" s="41"/>
      <c r="H741" s="41"/>
      <c r="I741" s="41"/>
      <c r="J741" s="42"/>
      <c r="K741" s="41"/>
      <c r="L741" s="41"/>
      <c r="M741" s="41"/>
      <c r="N741" s="41"/>
      <c r="O741" s="41" t="str">
        <f t="shared" si="114"/>
        <v>NO</v>
      </c>
      <c r="P741" s="41" t="str">
        <f t="shared" si="115"/>
        <v>🟡</v>
      </c>
      <c r="Q741" s="41"/>
    </row>
    <row r="742" spans="1:17" ht="18" hidden="1" customHeight="1" x14ac:dyDescent="0.4">
      <c r="A742" s="41">
        <f t="shared" si="112"/>
        <v>741</v>
      </c>
      <c r="B742" s="41" t="str">
        <f t="shared" si="113"/>
        <v/>
      </c>
      <c r="C742" s="41"/>
      <c r="D742" s="41"/>
      <c r="E742" s="41">
        <f t="shared" si="116"/>
        <v>0</v>
      </c>
      <c r="F742" s="41"/>
      <c r="G742" s="41"/>
      <c r="H742" s="41"/>
      <c r="I742" s="41"/>
      <c r="J742" s="42"/>
      <c r="K742" s="41"/>
      <c r="L742" s="41"/>
      <c r="M742" s="41"/>
      <c r="N742" s="41"/>
      <c r="O742" s="41" t="str">
        <f t="shared" si="114"/>
        <v>NO</v>
      </c>
      <c r="P742" s="41" t="str">
        <f t="shared" si="115"/>
        <v>🟡</v>
      </c>
      <c r="Q742" s="41"/>
    </row>
    <row r="743" spans="1:17" ht="18" hidden="1" customHeight="1" x14ac:dyDescent="0.4">
      <c r="A743" s="41">
        <f t="shared" si="112"/>
        <v>742</v>
      </c>
      <c r="B743" s="41" t="str">
        <f t="shared" si="113"/>
        <v/>
      </c>
      <c r="C743" s="41"/>
      <c r="D743" s="41"/>
      <c r="E743" s="41">
        <f t="shared" si="116"/>
        <v>0</v>
      </c>
      <c r="F743" s="41"/>
      <c r="G743" s="41"/>
      <c r="H743" s="41"/>
      <c r="I743" s="41"/>
      <c r="J743" s="42"/>
      <c r="K743" s="41"/>
      <c r="L743" s="41"/>
      <c r="M743" s="41"/>
      <c r="N743" s="41"/>
      <c r="O743" s="41" t="str">
        <f t="shared" si="114"/>
        <v>NO</v>
      </c>
      <c r="P743" s="41" t="str">
        <f t="shared" si="115"/>
        <v>🟡</v>
      </c>
      <c r="Q743" s="41"/>
    </row>
    <row r="744" spans="1:17" ht="18" hidden="1" customHeight="1" x14ac:dyDescent="0.4">
      <c r="A744" s="41">
        <f t="shared" si="112"/>
        <v>743</v>
      </c>
      <c r="B744" s="41" t="str">
        <f t="shared" si="113"/>
        <v/>
      </c>
      <c r="C744" s="41"/>
      <c r="D744" s="41"/>
      <c r="E744" s="41">
        <f t="shared" si="116"/>
        <v>0</v>
      </c>
      <c r="F744" s="41"/>
      <c r="G744" s="41"/>
      <c r="H744" s="41"/>
      <c r="I744" s="41"/>
      <c r="J744" s="42"/>
      <c r="K744" s="41"/>
      <c r="L744" s="41"/>
      <c r="M744" s="41"/>
      <c r="N744" s="41"/>
      <c r="O744" s="41" t="str">
        <f t="shared" si="114"/>
        <v>NO</v>
      </c>
      <c r="P744" s="41" t="str">
        <f t="shared" si="115"/>
        <v>🟡</v>
      </c>
      <c r="Q744" s="41"/>
    </row>
    <row r="745" spans="1:17" ht="18" hidden="1" customHeight="1" x14ac:dyDescent="0.4">
      <c r="A745" s="41">
        <f t="shared" si="112"/>
        <v>744</v>
      </c>
      <c r="B745" s="41" t="str">
        <f t="shared" si="113"/>
        <v/>
      </c>
      <c r="C745" s="41"/>
      <c r="D745" s="41"/>
      <c r="E745" s="41">
        <f t="shared" si="116"/>
        <v>0</v>
      </c>
      <c r="F745" s="41"/>
      <c r="G745" s="41"/>
      <c r="H745" s="41"/>
      <c r="I745" s="41"/>
      <c r="J745" s="42"/>
      <c r="K745" s="41"/>
      <c r="L745" s="41"/>
      <c r="M745" s="41"/>
      <c r="N745" s="41"/>
      <c r="O745" s="41" t="str">
        <f t="shared" si="114"/>
        <v>NO</v>
      </c>
      <c r="P745" s="41" t="str">
        <f t="shared" si="115"/>
        <v>🟡</v>
      </c>
      <c r="Q745" s="41"/>
    </row>
    <row r="746" spans="1:17" ht="18" hidden="1" customHeight="1" x14ac:dyDescent="0.4">
      <c r="A746" s="41">
        <f t="shared" si="112"/>
        <v>745</v>
      </c>
      <c r="B746" s="41" t="str">
        <f t="shared" si="113"/>
        <v/>
      </c>
      <c r="C746" s="41"/>
      <c r="D746" s="41"/>
      <c r="E746" s="41">
        <f t="shared" si="116"/>
        <v>0</v>
      </c>
      <c r="F746" s="41"/>
      <c r="G746" s="41"/>
      <c r="H746" s="41"/>
      <c r="I746" s="41"/>
      <c r="J746" s="42"/>
      <c r="K746" s="41"/>
      <c r="L746" s="41"/>
      <c r="M746" s="41"/>
      <c r="N746" s="41"/>
      <c r="O746" s="41" t="str">
        <f t="shared" si="114"/>
        <v>NO</v>
      </c>
      <c r="P746" s="41" t="str">
        <f t="shared" si="115"/>
        <v>🟡</v>
      </c>
      <c r="Q746" s="41"/>
    </row>
    <row r="747" spans="1:17" ht="18" hidden="1" customHeight="1" x14ac:dyDescent="0.4">
      <c r="A747" s="41">
        <f t="shared" si="112"/>
        <v>746</v>
      </c>
      <c r="B747" s="41" t="str">
        <f t="shared" si="113"/>
        <v/>
      </c>
      <c r="C747" s="41"/>
      <c r="D747" s="41"/>
      <c r="E747" s="41">
        <f t="shared" si="116"/>
        <v>0</v>
      </c>
      <c r="F747" s="41"/>
      <c r="G747" s="41"/>
      <c r="H747" s="41"/>
      <c r="I747" s="41"/>
      <c r="J747" s="42"/>
      <c r="K747" s="41"/>
      <c r="L747" s="41"/>
      <c r="M747" s="41"/>
      <c r="N747" s="41"/>
      <c r="O747" s="41" t="str">
        <f t="shared" si="114"/>
        <v>NO</v>
      </c>
      <c r="P747" s="41" t="str">
        <f t="shared" si="115"/>
        <v>🟡</v>
      </c>
      <c r="Q747" s="41"/>
    </row>
    <row r="748" spans="1:17" ht="18" hidden="1" customHeight="1" x14ac:dyDescent="0.4">
      <c r="A748" s="41">
        <f t="shared" si="112"/>
        <v>747</v>
      </c>
      <c r="B748" s="41" t="str">
        <f t="shared" si="113"/>
        <v/>
      </c>
      <c r="C748" s="41"/>
      <c r="D748" s="41"/>
      <c r="E748" s="41">
        <f t="shared" si="116"/>
        <v>0</v>
      </c>
      <c r="F748" s="41"/>
      <c r="G748" s="41"/>
      <c r="H748" s="41"/>
      <c r="I748" s="41"/>
      <c r="J748" s="42"/>
      <c r="K748" s="41"/>
      <c r="L748" s="41"/>
      <c r="M748" s="41"/>
      <c r="N748" s="41"/>
      <c r="O748" s="41" t="str">
        <f t="shared" si="114"/>
        <v>NO</v>
      </c>
      <c r="P748" s="41" t="str">
        <f t="shared" si="115"/>
        <v>🟡</v>
      </c>
      <c r="Q748" s="41"/>
    </row>
    <row r="749" spans="1:17" ht="18" hidden="1" customHeight="1" x14ac:dyDescent="0.4">
      <c r="A749" s="41">
        <f t="shared" si="112"/>
        <v>748</v>
      </c>
      <c r="B749" s="41" t="str">
        <f t="shared" si="113"/>
        <v/>
      </c>
      <c r="C749" s="41"/>
      <c r="D749" s="41"/>
      <c r="E749" s="41">
        <f t="shared" si="116"/>
        <v>0</v>
      </c>
      <c r="F749" s="41"/>
      <c r="G749" s="41"/>
      <c r="H749" s="41"/>
      <c r="I749" s="41"/>
      <c r="J749" s="42"/>
      <c r="K749" s="41"/>
      <c r="L749" s="41"/>
      <c r="M749" s="41"/>
      <c r="N749" s="41"/>
      <c r="O749" s="41" t="str">
        <f t="shared" si="114"/>
        <v>NO</v>
      </c>
      <c r="P749" s="41" t="str">
        <f t="shared" si="115"/>
        <v>🟡</v>
      </c>
      <c r="Q749" s="41"/>
    </row>
    <row r="750" spans="1:17" ht="18" hidden="1" customHeight="1" x14ac:dyDescent="0.4">
      <c r="A750" s="41">
        <f t="shared" si="112"/>
        <v>749</v>
      </c>
      <c r="B750" s="41" t="str">
        <f t="shared" si="113"/>
        <v/>
      </c>
      <c r="C750" s="41"/>
      <c r="D750" s="41"/>
      <c r="E750" s="41">
        <f t="shared" si="116"/>
        <v>0</v>
      </c>
      <c r="F750" s="41"/>
      <c r="G750" s="41"/>
      <c r="H750" s="41"/>
      <c r="I750" s="41"/>
      <c r="J750" s="42"/>
      <c r="K750" s="41"/>
      <c r="L750" s="41"/>
      <c r="M750" s="41"/>
      <c r="N750" s="41"/>
      <c r="O750" s="41" t="str">
        <f t="shared" si="114"/>
        <v>NO</v>
      </c>
      <c r="P750" s="41" t="str">
        <f t="shared" si="115"/>
        <v>🟡</v>
      </c>
      <c r="Q750" s="41"/>
    </row>
    <row r="751" spans="1:17" ht="18" hidden="1" customHeight="1" x14ac:dyDescent="0.4">
      <c r="A751" s="41">
        <f t="shared" si="112"/>
        <v>750</v>
      </c>
      <c r="B751" s="41" t="str">
        <f t="shared" si="113"/>
        <v/>
      </c>
      <c r="C751" s="41"/>
      <c r="D751" s="41"/>
      <c r="E751" s="41">
        <f t="shared" si="116"/>
        <v>0</v>
      </c>
      <c r="F751" s="41"/>
      <c r="G751" s="41"/>
      <c r="H751" s="41"/>
      <c r="I751" s="41"/>
      <c r="J751" s="42"/>
      <c r="K751" s="41"/>
      <c r="L751" s="41"/>
      <c r="M751" s="41"/>
      <c r="N751" s="41"/>
      <c r="O751" s="41" t="str">
        <f t="shared" si="114"/>
        <v>NO</v>
      </c>
      <c r="P751" s="41" t="str">
        <f t="shared" si="115"/>
        <v>🟡</v>
      </c>
      <c r="Q751" s="41"/>
    </row>
    <row r="752" spans="1:17" ht="18" hidden="1" customHeight="1" x14ac:dyDescent="0.4">
      <c r="A752" s="41">
        <f t="shared" si="112"/>
        <v>751</v>
      </c>
      <c r="B752" s="41" t="str">
        <f t="shared" si="113"/>
        <v/>
      </c>
      <c r="C752" s="41"/>
      <c r="D752" s="41"/>
      <c r="E752" s="41">
        <f t="shared" si="116"/>
        <v>0</v>
      </c>
      <c r="F752" s="41"/>
      <c r="G752" s="41"/>
      <c r="H752" s="41"/>
      <c r="I752" s="41"/>
      <c r="J752" s="42"/>
      <c r="K752" s="41"/>
      <c r="L752" s="41"/>
      <c r="M752" s="41"/>
      <c r="N752" s="41"/>
      <c r="O752" s="41" t="str">
        <f t="shared" si="114"/>
        <v>NO</v>
      </c>
      <c r="P752" s="41" t="str">
        <f t="shared" si="115"/>
        <v>🟡</v>
      </c>
      <c r="Q752" s="41"/>
    </row>
    <row r="753" spans="1:17" ht="18" hidden="1" customHeight="1" x14ac:dyDescent="0.4">
      <c r="A753" s="41">
        <f t="shared" si="112"/>
        <v>752</v>
      </c>
      <c r="B753" s="41" t="str">
        <f t="shared" si="113"/>
        <v/>
      </c>
      <c r="C753" s="41"/>
      <c r="D753" s="41"/>
      <c r="E753" s="41">
        <f t="shared" si="116"/>
        <v>0</v>
      </c>
      <c r="F753" s="41"/>
      <c r="G753" s="41"/>
      <c r="H753" s="41"/>
      <c r="I753" s="41"/>
      <c r="J753" s="42"/>
      <c r="K753" s="41"/>
      <c r="L753" s="41"/>
      <c r="M753" s="41"/>
      <c r="N753" s="41"/>
      <c r="O753" s="41" t="str">
        <f t="shared" si="114"/>
        <v>NO</v>
      </c>
      <c r="P753" s="41" t="str">
        <f t="shared" si="115"/>
        <v>🟡</v>
      </c>
      <c r="Q753" s="41"/>
    </row>
    <row r="754" spans="1:17" ht="18" hidden="1" customHeight="1" x14ac:dyDescent="0.4">
      <c r="A754" s="41">
        <f t="shared" si="112"/>
        <v>753</v>
      </c>
      <c r="B754" s="41" t="str">
        <f t="shared" si="113"/>
        <v/>
      </c>
      <c r="C754" s="41"/>
      <c r="D754" s="41"/>
      <c r="E754" s="41">
        <f t="shared" si="116"/>
        <v>0</v>
      </c>
      <c r="F754" s="41"/>
      <c r="G754" s="41"/>
      <c r="H754" s="41"/>
      <c r="I754" s="41"/>
      <c r="J754" s="42"/>
      <c r="K754" s="41"/>
      <c r="L754" s="41"/>
      <c r="M754" s="41"/>
      <c r="N754" s="41"/>
      <c r="O754" s="41" t="str">
        <f t="shared" si="114"/>
        <v>NO</v>
      </c>
      <c r="P754" s="41" t="str">
        <f t="shared" si="115"/>
        <v>🟡</v>
      </c>
      <c r="Q754" s="41"/>
    </row>
    <row r="755" spans="1:17" ht="18" hidden="1" customHeight="1" x14ac:dyDescent="0.4">
      <c r="A755" s="41">
        <f t="shared" si="112"/>
        <v>754</v>
      </c>
      <c r="B755" s="41" t="str">
        <f t="shared" si="113"/>
        <v/>
      </c>
      <c r="C755" s="41"/>
      <c r="D755" s="41"/>
      <c r="E755" s="41">
        <f t="shared" si="116"/>
        <v>0</v>
      </c>
      <c r="F755" s="41"/>
      <c r="G755" s="41"/>
      <c r="H755" s="41"/>
      <c r="I755" s="41"/>
      <c r="J755" s="42"/>
      <c r="K755" s="41"/>
      <c r="L755" s="41"/>
      <c r="M755" s="41"/>
      <c r="N755" s="41"/>
      <c r="O755" s="41" t="str">
        <f t="shared" si="114"/>
        <v>NO</v>
      </c>
      <c r="P755" s="41" t="str">
        <f t="shared" si="115"/>
        <v>🟡</v>
      </c>
      <c r="Q755" s="41"/>
    </row>
    <row r="756" spans="1:17" ht="18" hidden="1" customHeight="1" x14ac:dyDescent="0.4">
      <c r="A756" s="41">
        <f t="shared" si="112"/>
        <v>755</v>
      </c>
      <c r="B756" s="41" t="str">
        <f t="shared" si="113"/>
        <v/>
      </c>
      <c r="C756" s="41"/>
      <c r="D756" s="41"/>
      <c r="E756" s="41">
        <f t="shared" si="116"/>
        <v>0</v>
      </c>
      <c r="F756" s="41"/>
      <c r="G756" s="41"/>
      <c r="H756" s="41"/>
      <c r="I756" s="41"/>
      <c r="J756" s="42"/>
      <c r="K756" s="41"/>
      <c r="L756" s="41"/>
      <c r="M756" s="41"/>
      <c r="N756" s="41"/>
      <c r="O756" s="41" t="str">
        <f t="shared" si="114"/>
        <v>NO</v>
      </c>
      <c r="P756" s="41" t="str">
        <f t="shared" si="115"/>
        <v>🟡</v>
      </c>
      <c r="Q756" s="41"/>
    </row>
    <row r="757" spans="1:17" ht="18" hidden="1" customHeight="1" x14ac:dyDescent="0.4">
      <c r="A757" s="41">
        <f t="shared" si="112"/>
        <v>756</v>
      </c>
      <c r="B757" s="41" t="str">
        <f t="shared" si="113"/>
        <v/>
      </c>
      <c r="C757" s="41"/>
      <c r="D757" s="41"/>
      <c r="E757" s="41">
        <f t="shared" si="116"/>
        <v>0</v>
      </c>
      <c r="F757" s="41"/>
      <c r="G757" s="41"/>
      <c r="H757" s="41"/>
      <c r="I757" s="41"/>
      <c r="J757" s="42"/>
      <c r="K757" s="41"/>
      <c r="L757" s="41"/>
      <c r="M757" s="41"/>
      <c r="N757" s="41"/>
      <c r="O757" s="41" t="str">
        <f t="shared" si="114"/>
        <v>NO</v>
      </c>
      <c r="P757" s="41" t="str">
        <f t="shared" si="115"/>
        <v>🟡</v>
      </c>
      <c r="Q757" s="41"/>
    </row>
    <row r="758" spans="1:17" ht="18" hidden="1" customHeight="1" x14ac:dyDescent="0.4">
      <c r="A758" s="41">
        <f t="shared" si="112"/>
        <v>757</v>
      </c>
      <c r="B758" s="41" t="str">
        <f t="shared" si="113"/>
        <v/>
      </c>
      <c r="C758" s="41"/>
      <c r="D758" s="41"/>
      <c r="E758" s="41">
        <f t="shared" si="116"/>
        <v>0</v>
      </c>
      <c r="F758" s="41"/>
      <c r="G758" s="41"/>
      <c r="H758" s="41"/>
      <c r="I758" s="41"/>
      <c r="J758" s="42"/>
      <c r="K758" s="41"/>
      <c r="L758" s="41"/>
      <c r="M758" s="41"/>
      <c r="N758" s="41"/>
      <c r="O758" s="41" t="str">
        <f t="shared" si="114"/>
        <v>NO</v>
      </c>
      <c r="P758" s="41" t="str">
        <f t="shared" si="115"/>
        <v>🟡</v>
      </c>
      <c r="Q758" s="41"/>
    </row>
    <row r="759" spans="1:17" ht="18" hidden="1" customHeight="1" x14ac:dyDescent="0.4">
      <c r="A759" s="41">
        <f t="shared" si="112"/>
        <v>758</v>
      </c>
      <c r="B759" s="41" t="str">
        <f t="shared" si="113"/>
        <v/>
      </c>
      <c r="C759" s="41"/>
      <c r="D759" s="41"/>
      <c r="E759" s="41">
        <f t="shared" si="116"/>
        <v>0</v>
      </c>
      <c r="F759" s="41"/>
      <c r="G759" s="41"/>
      <c r="H759" s="41"/>
      <c r="I759" s="41"/>
      <c r="J759" s="42"/>
      <c r="K759" s="41"/>
      <c r="L759" s="41"/>
      <c r="M759" s="41"/>
      <c r="N759" s="41"/>
      <c r="O759" s="41" t="str">
        <f t="shared" si="114"/>
        <v>NO</v>
      </c>
      <c r="P759" s="41" t="str">
        <f t="shared" si="115"/>
        <v>🟡</v>
      </c>
      <c r="Q759" s="41"/>
    </row>
    <row r="760" spans="1:17" ht="18" hidden="1" customHeight="1" x14ac:dyDescent="0.4">
      <c r="A760" s="41">
        <f t="shared" si="112"/>
        <v>759</v>
      </c>
      <c r="B760" s="41" t="str">
        <f t="shared" si="113"/>
        <v/>
      </c>
      <c r="C760" s="41"/>
      <c r="D760" s="41"/>
      <c r="E760" s="41">
        <f t="shared" si="116"/>
        <v>0</v>
      </c>
      <c r="F760" s="41"/>
      <c r="G760" s="41"/>
      <c r="H760" s="41"/>
      <c r="I760" s="41"/>
      <c r="J760" s="42"/>
      <c r="K760" s="41"/>
      <c r="L760" s="41"/>
      <c r="M760" s="41"/>
      <c r="N760" s="41"/>
      <c r="O760" s="41" t="str">
        <f t="shared" si="114"/>
        <v>NO</v>
      </c>
      <c r="P760" s="41" t="str">
        <f t="shared" si="115"/>
        <v>🟡</v>
      </c>
      <c r="Q760" s="41"/>
    </row>
    <row r="761" spans="1:17" ht="18" hidden="1" customHeight="1" x14ac:dyDescent="0.4">
      <c r="A761" s="41">
        <f t="shared" si="112"/>
        <v>760</v>
      </c>
      <c r="B761" s="41" t="str">
        <f t="shared" si="113"/>
        <v/>
      </c>
      <c r="C761" s="41"/>
      <c r="D761" s="41"/>
      <c r="E761" s="41">
        <f t="shared" si="116"/>
        <v>0</v>
      </c>
      <c r="F761" s="41"/>
      <c r="G761" s="41"/>
      <c r="H761" s="41"/>
      <c r="I761" s="41"/>
      <c r="J761" s="42"/>
      <c r="K761" s="41"/>
      <c r="L761" s="41"/>
      <c r="M761" s="41"/>
      <c r="N761" s="41"/>
      <c r="O761" s="41" t="str">
        <f t="shared" si="114"/>
        <v>NO</v>
      </c>
      <c r="P761" s="41" t="str">
        <f t="shared" si="115"/>
        <v>🟡</v>
      </c>
      <c r="Q761" s="41"/>
    </row>
    <row r="762" spans="1:17" ht="18" hidden="1" customHeight="1" x14ac:dyDescent="0.4">
      <c r="A762" s="41">
        <f t="shared" si="112"/>
        <v>761</v>
      </c>
      <c r="B762" s="41" t="str">
        <f t="shared" si="113"/>
        <v/>
      </c>
      <c r="C762" s="41"/>
      <c r="D762" s="41"/>
      <c r="E762" s="41">
        <f t="shared" si="116"/>
        <v>0</v>
      </c>
      <c r="F762" s="41"/>
      <c r="G762" s="41"/>
      <c r="H762" s="41"/>
      <c r="I762" s="41"/>
      <c r="J762" s="42"/>
      <c r="K762" s="41"/>
      <c r="L762" s="41"/>
      <c r="M762" s="41"/>
      <c r="N762" s="41"/>
      <c r="O762" s="41" t="str">
        <f t="shared" si="114"/>
        <v>NO</v>
      </c>
      <c r="P762" s="41" t="str">
        <f t="shared" si="115"/>
        <v>🟡</v>
      </c>
      <c r="Q762" s="41"/>
    </row>
    <row r="763" spans="1:17" ht="18" hidden="1" customHeight="1" x14ac:dyDescent="0.4">
      <c r="A763" s="41">
        <f t="shared" si="112"/>
        <v>762</v>
      </c>
      <c r="B763" s="41" t="str">
        <f t="shared" si="113"/>
        <v/>
      </c>
      <c r="C763" s="41"/>
      <c r="D763" s="41"/>
      <c r="E763" s="41">
        <f t="shared" si="116"/>
        <v>0</v>
      </c>
      <c r="F763" s="41"/>
      <c r="G763" s="41"/>
      <c r="H763" s="41"/>
      <c r="I763" s="41"/>
      <c r="J763" s="42"/>
      <c r="K763" s="41"/>
      <c r="L763" s="41"/>
      <c r="M763" s="41"/>
      <c r="N763" s="41"/>
      <c r="O763" s="41" t="str">
        <f t="shared" si="114"/>
        <v>NO</v>
      </c>
      <c r="P763" s="41" t="str">
        <f t="shared" si="115"/>
        <v>🟡</v>
      </c>
      <c r="Q763" s="41"/>
    </row>
    <row r="764" spans="1:17" ht="18" hidden="1" customHeight="1" x14ac:dyDescent="0.4">
      <c r="A764" s="41">
        <f t="shared" si="112"/>
        <v>763</v>
      </c>
      <c r="B764" s="41" t="str">
        <f t="shared" si="113"/>
        <v/>
      </c>
      <c r="C764" s="41"/>
      <c r="D764" s="41"/>
      <c r="E764" s="41">
        <f t="shared" si="116"/>
        <v>0</v>
      </c>
      <c r="F764" s="41"/>
      <c r="G764" s="41"/>
      <c r="H764" s="41"/>
      <c r="I764" s="41"/>
      <c r="J764" s="42"/>
      <c r="K764" s="41"/>
      <c r="L764" s="41"/>
      <c r="M764" s="41"/>
      <c r="N764" s="41"/>
      <c r="O764" s="41" t="str">
        <f t="shared" si="114"/>
        <v>NO</v>
      </c>
      <c r="P764" s="41" t="str">
        <f t="shared" si="115"/>
        <v>🟡</v>
      </c>
      <c r="Q764" s="41"/>
    </row>
    <row r="765" spans="1:17" ht="18" hidden="1" customHeight="1" x14ac:dyDescent="0.4">
      <c r="A765" s="41">
        <f t="shared" si="112"/>
        <v>764</v>
      </c>
      <c r="B765" s="41" t="str">
        <f t="shared" si="113"/>
        <v/>
      </c>
      <c r="C765" s="41"/>
      <c r="D765" s="41"/>
      <c r="E765" s="41">
        <f t="shared" si="116"/>
        <v>0</v>
      </c>
      <c r="F765" s="41"/>
      <c r="G765" s="41"/>
      <c r="H765" s="41"/>
      <c r="I765" s="41"/>
      <c r="J765" s="42"/>
      <c r="K765" s="41"/>
      <c r="L765" s="41"/>
      <c r="M765" s="41"/>
      <c r="N765" s="41"/>
      <c r="O765" s="41" t="str">
        <f t="shared" si="114"/>
        <v>NO</v>
      </c>
      <c r="P765" s="41" t="str">
        <f t="shared" si="115"/>
        <v>🟡</v>
      </c>
      <c r="Q765" s="41"/>
    </row>
    <row r="766" spans="1:17" ht="18" hidden="1" customHeight="1" x14ac:dyDescent="0.4">
      <c r="A766" s="41">
        <f t="shared" si="112"/>
        <v>765</v>
      </c>
      <c r="B766" s="41" t="str">
        <f t="shared" si="113"/>
        <v/>
      </c>
      <c r="C766" s="41"/>
      <c r="D766" s="41"/>
      <c r="E766" s="41">
        <f t="shared" si="116"/>
        <v>0</v>
      </c>
      <c r="F766" s="41"/>
      <c r="G766" s="41"/>
      <c r="H766" s="41"/>
      <c r="I766" s="41"/>
      <c r="J766" s="42"/>
      <c r="K766" s="41"/>
      <c r="L766" s="41"/>
      <c r="M766" s="41"/>
      <c r="N766" s="41"/>
      <c r="O766" s="41" t="str">
        <f t="shared" si="114"/>
        <v>NO</v>
      </c>
      <c r="P766" s="41" t="str">
        <f t="shared" si="115"/>
        <v>🟡</v>
      </c>
      <c r="Q766" s="41"/>
    </row>
    <row r="767" spans="1:17" ht="18" hidden="1" customHeight="1" x14ac:dyDescent="0.4">
      <c r="A767" s="41">
        <f t="shared" si="112"/>
        <v>766</v>
      </c>
      <c r="B767" s="41" t="str">
        <f t="shared" si="113"/>
        <v/>
      </c>
      <c r="C767" s="41"/>
      <c r="D767" s="41"/>
      <c r="E767" s="41">
        <f t="shared" si="116"/>
        <v>0</v>
      </c>
      <c r="F767" s="41"/>
      <c r="G767" s="41"/>
      <c r="H767" s="41"/>
      <c r="I767" s="41"/>
      <c r="J767" s="42"/>
      <c r="K767" s="41"/>
      <c r="L767" s="41"/>
      <c r="M767" s="41"/>
      <c r="N767" s="41"/>
      <c r="O767" s="41" t="str">
        <f t="shared" si="114"/>
        <v>NO</v>
      </c>
      <c r="P767" s="41" t="str">
        <f t="shared" si="115"/>
        <v>🟡</v>
      </c>
      <c r="Q767" s="41"/>
    </row>
    <row r="768" spans="1:17" ht="18" hidden="1" customHeight="1" x14ac:dyDescent="0.4">
      <c r="A768" s="41">
        <f t="shared" si="112"/>
        <v>767</v>
      </c>
      <c r="B768" s="41" t="str">
        <f t="shared" si="113"/>
        <v/>
      </c>
      <c r="C768" s="41"/>
      <c r="D768" s="41"/>
      <c r="E768" s="41">
        <f t="shared" si="116"/>
        <v>0</v>
      </c>
      <c r="F768" s="41"/>
      <c r="G768" s="41"/>
      <c r="H768" s="41"/>
      <c r="I768" s="41"/>
      <c r="J768" s="42"/>
      <c r="K768" s="41"/>
      <c r="L768" s="41"/>
      <c r="M768" s="41"/>
      <c r="N768" s="41"/>
      <c r="O768" s="41" t="str">
        <f t="shared" si="114"/>
        <v>NO</v>
      </c>
      <c r="P768" s="41" t="str">
        <f t="shared" si="115"/>
        <v>🟡</v>
      </c>
      <c r="Q768" s="41"/>
    </row>
    <row r="769" spans="1:17" ht="18" hidden="1" customHeight="1" x14ac:dyDescent="0.4">
      <c r="A769" s="41">
        <f t="shared" si="112"/>
        <v>768</v>
      </c>
      <c r="B769" s="41" t="str">
        <f t="shared" si="113"/>
        <v/>
      </c>
      <c r="C769" s="41"/>
      <c r="D769" s="41"/>
      <c r="E769" s="41">
        <f t="shared" si="116"/>
        <v>0</v>
      </c>
      <c r="F769" s="41"/>
      <c r="G769" s="41"/>
      <c r="H769" s="41"/>
      <c r="I769" s="41"/>
      <c r="J769" s="42"/>
      <c r="K769" s="41"/>
      <c r="L769" s="41"/>
      <c r="M769" s="41"/>
      <c r="N769" s="41"/>
      <c r="O769" s="41" t="str">
        <f t="shared" si="114"/>
        <v>NO</v>
      </c>
      <c r="P769" s="41" t="str">
        <f t="shared" si="115"/>
        <v>🟡</v>
      </c>
      <c r="Q769" s="41"/>
    </row>
    <row r="770" spans="1:17" ht="18" hidden="1" customHeight="1" x14ac:dyDescent="0.4">
      <c r="A770" s="41">
        <f t="shared" si="112"/>
        <v>769</v>
      </c>
      <c r="B770" s="41" t="str">
        <f t="shared" si="113"/>
        <v/>
      </c>
      <c r="C770" s="41"/>
      <c r="D770" s="41"/>
      <c r="E770" s="41">
        <f t="shared" si="116"/>
        <v>0</v>
      </c>
      <c r="F770" s="41"/>
      <c r="G770" s="41"/>
      <c r="H770" s="41"/>
      <c r="I770" s="41"/>
      <c r="J770" s="42"/>
      <c r="K770" s="41"/>
      <c r="L770" s="41"/>
      <c r="M770" s="41"/>
      <c r="N770" s="41"/>
      <c r="O770" s="41" t="str">
        <f t="shared" si="114"/>
        <v>NO</v>
      </c>
      <c r="P770" s="41" t="str">
        <f t="shared" si="115"/>
        <v>🟡</v>
      </c>
      <c r="Q770" s="41"/>
    </row>
    <row r="771" spans="1:17" ht="18" hidden="1" customHeight="1" x14ac:dyDescent="0.4">
      <c r="A771" s="41">
        <f t="shared" si="112"/>
        <v>770</v>
      </c>
      <c r="B771" s="41" t="str">
        <f t="shared" si="113"/>
        <v/>
      </c>
      <c r="C771" s="41"/>
      <c r="D771" s="41"/>
      <c r="E771" s="41">
        <f t="shared" si="116"/>
        <v>0</v>
      </c>
      <c r="F771" s="41"/>
      <c r="G771" s="41"/>
      <c r="H771" s="41"/>
      <c r="I771" s="41"/>
      <c r="J771" s="42"/>
      <c r="K771" s="41"/>
      <c r="L771" s="41"/>
      <c r="M771" s="41"/>
      <c r="N771" s="41"/>
      <c r="O771" s="41" t="str">
        <f t="shared" si="114"/>
        <v>NO</v>
      </c>
      <c r="P771" s="41" t="str">
        <f t="shared" si="115"/>
        <v>🟡</v>
      </c>
      <c r="Q771" s="41"/>
    </row>
    <row r="772" spans="1:17" ht="18" hidden="1" customHeight="1" x14ac:dyDescent="0.4">
      <c r="A772" s="41">
        <f t="shared" si="112"/>
        <v>771</v>
      </c>
      <c r="B772" s="41" t="str">
        <f t="shared" si="113"/>
        <v/>
      </c>
      <c r="C772" s="41"/>
      <c r="D772" s="41"/>
      <c r="E772" s="41">
        <f t="shared" si="116"/>
        <v>0</v>
      </c>
      <c r="F772" s="41"/>
      <c r="G772" s="41"/>
      <c r="H772" s="41"/>
      <c r="I772" s="41"/>
      <c r="J772" s="42"/>
      <c r="K772" s="41"/>
      <c r="L772" s="41"/>
      <c r="M772" s="41"/>
      <c r="N772" s="41"/>
      <c r="O772" s="41" t="str">
        <f t="shared" si="114"/>
        <v>NO</v>
      </c>
      <c r="P772" s="41" t="str">
        <f t="shared" si="115"/>
        <v>🟡</v>
      </c>
      <c r="Q772" s="41"/>
    </row>
    <row r="773" spans="1:17" ht="18" hidden="1" customHeight="1" x14ac:dyDescent="0.4">
      <c r="A773" s="41">
        <f t="shared" si="112"/>
        <v>772</v>
      </c>
      <c r="B773" s="41" t="str">
        <f t="shared" si="113"/>
        <v/>
      </c>
      <c r="C773" s="41"/>
      <c r="D773" s="41"/>
      <c r="E773" s="41">
        <f t="shared" si="116"/>
        <v>0</v>
      </c>
      <c r="F773" s="41"/>
      <c r="G773" s="41"/>
      <c r="H773" s="41"/>
      <c r="I773" s="41"/>
      <c r="J773" s="42"/>
      <c r="K773" s="41"/>
      <c r="L773" s="41"/>
      <c r="M773" s="41"/>
      <c r="N773" s="41"/>
      <c r="O773" s="41" t="str">
        <f t="shared" si="114"/>
        <v>NO</v>
      </c>
      <c r="P773" s="41" t="str">
        <f t="shared" si="115"/>
        <v>🟡</v>
      </c>
      <c r="Q773" s="41"/>
    </row>
    <row r="774" spans="1:17" ht="18" hidden="1" customHeight="1" x14ac:dyDescent="0.4">
      <c r="A774" s="41">
        <f t="shared" si="112"/>
        <v>773</v>
      </c>
      <c r="B774" s="41" t="str">
        <f t="shared" si="113"/>
        <v/>
      </c>
      <c r="C774" s="41"/>
      <c r="D774" s="41"/>
      <c r="E774" s="41">
        <f t="shared" si="116"/>
        <v>0</v>
      </c>
      <c r="F774" s="41"/>
      <c r="G774" s="41"/>
      <c r="H774" s="41"/>
      <c r="I774" s="41"/>
      <c r="J774" s="42"/>
      <c r="K774" s="41"/>
      <c r="L774" s="41"/>
      <c r="M774" s="41"/>
      <c r="N774" s="41"/>
      <c r="O774" s="41" t="str">
        <f t="shared" si="114"/>
        <v>NO</v>
      </c>
      <c r="P774" s="41" t="str">
        <f t="shared" si="115"/>
        <v>🟡</v>
      </c>
      <c r="Q774" s="41"/>
    </row>
    <row r="775" spans="1:17" ht="18" hidden="1" customHeight="1" x14ac:dyDescent="0.4">
      <c r="A775" s="41">
        <f t="shared" si="112"/>
        <v>774</v>
      </c>
      <c r="B775" s="41" t="str">
        <f t="shared" si="113"/>
        <v/>
      </c>
      <c r="C775" s="41"/>
      <c r="D775" s="41"/>
      <c r="E775" s="41">
        <f t="shared" si="116"/>
        <v>0</v>
      </c>
      <c r="F775" s="41"/>
      <c r="G775" s="41"/>
      <c r="H775" s="41"/>
      <c r="I775" s="41"/>
      <c r="J775" s="42"/>
      <c r="K775" s="41"/>
      <c r="L775" s="41"/>
      <c r="M775" s="41"/>
      <c r="N775" s="41"/>
      <c r="O775" s="41" t="str">
        <f t="shared" si="114"/>
        <v>NO</v>
      </c>
      <c r="P775" s="41" t="str">
        <f t="shared" si="115"/>
        <v>🟡</v>
      </c>
      <c r="Q775" s="41"/>
    </row>
    <row r="776" spans="1:17" ht="18" hidden="1" customHeight="1" x14ac:dyDescent="0.4">
      <c r="A776" s="41">
        <f t="shared" si="112"/>
        <v>775</v>
      </c>
      <c r="B776" s="41" t="str">
        <f t="shared" si="113"/>
        <v/>
      </c>
      <c r="C776" s="41"/>
      <c r="D776" s="41"/>
      <c r="E776" s="41">
        <f t="shared" si="116"/>
        <v>0</v>
      </c>
      <c r="F776" s="41"/>
      <c r="G776" s="41"/>
      <c r="H776" s="41"/>
      <c r="I776" s="41"/>
      <c r="J776" s="42"/>
      <c r="K776" s="41"/>
      <c r="L776" s="41"/>
      <c r="M776" s="41"/>
      <c r="N776" s="41"/>
      <c r="O776" s="41" t="str">
        <f t="shared" si="114"/>
        <v>NO</v>
      </c>
      <c r="P776" s="41" t="str">
        <f t="shared" si="115"/>
        <v>🟡</v>
      </c>
      <c r="Q776" s="41"/>
    </row>
    <row r="777" spans="1:17" ht="18" hidden="1" customHeight="1" x14ac:dyDescent="0.4">
      <c r="A777" s="41">
        <f t="shared" si="112"/>
        <v>776</v>
      </c>
      <c r="B777" s="41" t="str">
        <f t="shared" si="113"/>
        <v/>
      </c>
      <c r="C777" s="41"/>
      <c r="D777" s="41"/>
      <c r="E777" s="41">
        <f t="shared" si="116"/>
        <v>0</v>
      </c>
      <c r="F777" s="41"/>
      <c r="G777" s="41"/>
      <c r="H777" s="41"/>
      <c r="I777" s="41"/>
      <c r="J777" s="42"/>
      <c r="K777" s="41"/>
      <c r="L777" s="41"/>
      <c r="M777" s="41"/>
      <c r="N777" s="41"/>
      <c r="O777" s="41" t="str">
        <f t="shared" si="114"/>
        <v>NO</v>
      </c>
      <c r="P777" s="41" t="str">
        <f t="shared" si="115"/>
        <v>🟡</v>
      </c>
      <c r="Q777" s="41"/>
    </row>
    <row r="778" spans="1:17" ht="18" hidden="1" customHeight="1" x14ac:dyDescent="0.4">
      <c r="A778" s="41">
        <f t="shared" si="112"/>
        <v>777</v>
      </c>
      <c r="B778" s="41" t="str">
        <f t="shared" si="113"/>
        <v/>
      </c>
      <c r="C778" s="41"/>
      <c r="D778" s="41"/>
      <c r="E778" s="41">
        <f t="shared" si="116"/>
        <v>0</v>
      </c>
      <c r="F778" s="41"/>
      <c r="G778" s="41"/>
      <c r="H778" s="41"/>
      <c r="I778" s="41"/>
      <c r="J778" s="42"/>
      <c r="K778" s="41"/>
      <c r="L778" s="41"/>
      <c r="M778" s="41"/>
      <c r="N778" s="41"/>
      <c r="O778" s="41" t="str">
        <f t="shared" si="114"/>
        <v>NO</v>
      </c>
      <c r="P778" s="41" t="str">
        <f t="shared" si="115"/>
        <v>🟡</v>
      </c>
      <c r="Q778" s="41"/>
    </row>
    <row r="779" spans="1:17" ht="18" hidden="1" customHeight="1" x14ac:dyDescent="0.4">
      <c r="A779" s="41">
        <f t="shared" si="112"/>
        <v>778</v>
      </c>
      <c r="B779" s="41" t="str">
        <f t="shared" si="113"/>
        <v/>
      </c>
      <c r="C779" s="41"/>
      <c r="D779" s="41"/>
      <c r="E779" s="41">
        <f t="shared" si="116"/>
        <v>0</v>
      </c>
      <c r="F779" s="41"/>
      <c r="G779" s="41"/>
      <c r="H779" s="41"/>
      <c r="I779" s="41"/>
      <c r="J779" s="42"/>
      <c r="K779" s="41"/>
      <c r="L779" s="41"/>
      <c r="M779" s="41"/>
      <c r="N779" s="41"/>
      <c r="O779" s="41" t="str">
        <f t="shared" si="114"/>
        <v>NO</v>
      </c>
      <c r="P779" s="41" t="str">
        <f t="shared" si="115"/>
        <v>🟡</v>
      </c>
      <c r="Q779" s="41"/>
    </row>
    <row r="780" spans="1:17" ht="18" hidden="1" customHeight="1" x14ac:dyDescent="0.4">
      <c r="A780" s="41">
        <f t="shared" si="112"/>
        <v>779</v>
      </c>
      <c r="B780" s="41" t="str">
        <f t="shared" si="113"/>
        <v/>
      </c>
      <c r="C780" s="41"/>
      <c r="D780" s="41"/>
      <c r="E780" s="41">
        <f t="shared" si="116"/>
        <v>0</v>
      </c>
      <c r="F780" s="41"/>
      <c r="G780" s="41"/>
      <c r="H780" s="41"/>
      <c r="I780" s="41"/>
      <c r="J780" s="42"/>
      <c r="K780" s="41"/>
      <c r="L780" s="41"/>
      <c r="M780" s="41"/>
      <c r="N780" s="41"/>
      <c r="O780" s="41" t="str">
        <f t="shared" si="114"/>
        <v>NO</v>
      </c>
      <c r="P780" s="41" t="str">
        <f t="shared" si="115"/>
        <v>🟡</v>
      </c>
      <c r="Q780" s="41"/>
    </row>
    <row r="781" spans="1:17" ht="18" hidden="1" customHeight="1" x14ac:dyDescent="0.4">
      <c r="A781" s="41">
        <f t="shared" si="112"/>
        <v>780</v>
      </c>
      <c r="B781" s="41" t="str">
        <f t="shared" si="113"/>
        <v/>
      </c>
      <c r="C781" s="41"/>
      <c r="D781" s="41"/>
      <c r="E781" s="41">
        <f t="shared" si="116"/>
        <v>0</v>
      </c>
      <c r="F781" s="41"/>
      <c r="G781" s="41"/>
      <c r="H781" s="41"/>
      <c r="I781" s="41"/>
      <c r="J781" s="42"/>
      <c r="K781" s="41"/>
      <c r="L781" s="41"/>
      <c r="M781" s="41"/>
      <c r="N781" s="41"/>
      <c r="O781" s="41" t="str">
        <f t="shared" si="114"/>
        <v>NO</v>
      </c>
      <c r="P781" s="41" t="str">
        <f t="shared" si="115"/>
        <v>🟡</v>
      </c>
      <c r="Q781" s="41"/>
    </row>
    <row r="782" spans="1:17" ht="18" hidden="1" customHeight="1" x14ac:dyDescent="0.4">
      <c r="A782" s="41">
        <f t="shared" si="112"/>
        <v>781</v>
      </c>
      <c r="B782" s="41" t="str">
        <f t="shared" si="113"/>
        <v/>
      </c>
      <c r="C782" s="41"/>
      <c r="D782" s="41"/>
      <c r="E782" s="41">
        <f t="shared" si="116"/>
        <v>0</v>
      </c>
      <c r="F782" s="41"/>
      <c r="G782" s="41"/>
      <c r="H782" s="41"/>
      <c r="I782" s="41"/>
      <c r="J782" s="42"/>
      <c r="K782" s="41"/>
      <c r="L782" s="41"/>
      <c r="M782" s="41"/>
      <c r="N782" s="41"/>
      <c r="O782" s="41" t="str">
        <f t="shared" si="114"/>
        <v>NO</v>
      </c>
      <c r="P782" s="41" t="str">
        <f t="shared" si="115"/>
        <v>🟡</v>
      </c>
      <c r="Q782" s="41"/>
    </row>
    <row r="783" spans="1:17" ht="18" hidden="1" customHeight="1" x14ac:dyDescent="0.4">
      <c r="A783" s="41">
        <f t="shared" si="112"/>
        <v>782</v>
      </c>
      <c r="B783" s="41" t="str">
        <f t="shared" si="113"/>
        <v/>
      </c>
      <c r="C783" s="41"/>
      <c r="D783" s="41"/>
      <c r="E783" s="41">
        <f t="shared" si="116"/>
        <v>0</v>
      </c>
      <c r="F783" s="41"/>
      <c r="G783" s="41"/>
      <c r="H783" s="41"/>
      <c r="I783" s="41"/>
      <c r="J783" s="42"/>
      <c r="K783" s="41"/>
      <c r="L783" s="41"/>
      <c r="M783" s="41"/>
      <c r="N783" s="41"/>
      <c r="O783" s="41" t="str">
        <f t="shared" si="114"/>
        <v>NO</v>
      </c>
      <c r="P783" s="41" t="str">
        <f t="shared" si="115"/>
        <v>🟡</v>
      </c>
      <c r="Q783" s="41"/>
    </row>
    <row r="784" spans="1:17" ht="18" hidden="1" customHeight="1" x14ac:dyDescent="0.4">
      <c r="A784" s="41">
        <f t="shared" si="112"/>
        <v>783</v>
      </c>
      <c r="B784" s="41" t="str">
        <f t="shared" si="113"/>
        <v/>
      </c>
      <c r="C784" s="41"/>
      <c r="D784" s="41"/>
      <c r="E784" s="41">
        <f t="shared" si="116"/>
        <v>0</v>
      </c>
      <c r="F784" s="41"/>
      <c r="G784" s="41"/>
      <c r="H784" s="41"/>
      <c r="I784" s="41"/>
      <c r="J784" s="42"/>
      <c r="K784" s="41"/>
      <c r="L784" s="41"/>
      <c r="M784" s="41"/>
      <c r="N784" s="41"/>
      <c r="O784" s="41" t="str">
        <f t="shared" si="114"/>
        <v>NO</v>
      </c>
      <c r="P784" s="41" t="str">
        <f t="shared" si="115"/>
        <v>🟡</v>
      </c>
      <c r="Q784" s="41"/>
    </row>
    <row r="785" spans="1:17" ht="18" hidden="1" customHeight="1" x14ac:dyDescent="0.4">
      <c r="A785" s="41">
        <f t="shared" si="112"/>
        <v>784</v>
      </c>
      <c r="B785" s="41" t="str">
        <f t="shared" si="113"/>
        <v/>
      </c>
      <c r="C785" s="41"/>
      <c r="D785" s="41"/>
      <c r="E785" s="41">
        <f t="shared" si="116"/>
        <v>0</v>
      </c>
      <c r="F785" s="41"/>
      <c r="G785" s="41"/>
      <c r="H785" s="41"/>
      <c r="I785" s="41"/>
      <c r="J785" s="42"/>
      <c r="K785" s="41"/>
      <c r="L785" s="41"/>
      <c r="M785" s="41"/>
      <c r="N785" s="41"/>
      <c r="O785" s="41" t="str">
        <f t="shared" si="114"/>
        <v>NO</v>
      </c>
      <c r="P785" s="41" t="str">
        <f t="shared" si="115"/>
        <v>🟡</v>
      </c>
      <c r="Q785" s="41"/>
    </row>
    <row r="786" spans="1:17" ht="18" hidden="1" customHeight="1" x14ac:dyDescent="0.4">
      <c r="A786" s="41">
        <f t="shared" si="112"/>
        <v>785</v>
      </c>
      <c r="B786" s="41" t="str">
        <f t="shared" si="113"/>
        <v/>
      </c>
      <c r="C786" s="41"/>
      <c r="D786" s="41"/>
      <c r="E786" s="41">
        <f t="shared" si="116"/>
        <v>0</v>
      </c>
      <c r="F786" s="41"/>
      <c r="G786" s="41"/>
      <c r="H786" s="41"/>
      <c r="I786" s="41"/>
      <c r="J786" s="42"/>
      <c r="K786" s="41"/>
      <c r="L786" s="41"/>
      <c r="M786" s="41"/>
      <c r="N786" s="41"/>
      <c r="O786" s="41" t="str">
        <f t="shared" si="114"/>
        <v>NO</v>
      </c>
      <c r="P786" s="41" t="str">
        <f t="shared" si="115"/>
        <v>🟡</v>
      </c>
      <c r="Q786" s="41"/>
    </row>
    <row r="787" spans="1:17" ht="18" hidden="1" customHeight="1" x14ac:dyDescent="0.4">
      <c r="A787" s="41">
        <f t="shared" si="112"/>
        <v>786</v>
      </c>
      <c r="B787" s="41" t="str">
        <f t="shared" si="113"/>
        <v/>
      </c>
      <c r="C787" s="41"/>
      <c r="D787" s="41"/>
      <c r="E787" s="41">
        <f t="shared" si="116"/>
        <v>0</v>
      </c>
      <c r="F787" s="41"/>
      <c r="G787" s="41"/>
      <c r="H787" s="41"/>
      <c r="I787" s="41"/>
      <c r="J787" s="42"/>
      <c r="K787" s="41"/>
      <c r="L787" s="41"/>
      <c r="M787" s="41"/>
      <c r="N787" s="41"/>
      <c r="O787" s="41" t="str">
        <f t="shared" si="114"/>
        <v>NO</v>
      </c>
      <c r="P787" s="41" t="str">
        <f t="shared" si="115"/>
        <v>🟡</v>
      </c>
      <c r="Q787" s="41"/>
    </row>
    <row r="788" spans="1:17" ht="18" hidden="1" customHeight="1" x14ac:dyDescent="0.4">
      <c r="A788" s="41">
        <f t="shared" si="112"/>
        <v>787</v>
      </c>
      <c r="B788" s="41" t="str">
        <f t="shared" si="113"/>
        <v/>
      </c>
      <c r="C788" s="41"/>
      <c r="D788" s="41"/>
      <c r="E788" s="41">
        <f t="shared" si="116"/>
        <v>0</v>
      </c>
      <c r="F788" s="41"/>
      <c r="G788" s="41"/>
      <c r="H788" s="41"/>
      <c r="I788" s="41"/>
      <c r="J788" s="42"/>
      <c r="K788" s="41"/>
      <c r="L788" s="41"/>
      <c r="M788" s="41"/>
      <c r="N788" s="41"/>
      <c r="O788" s="41" t="str">
        <f t="shared" si="114"/>
        <v>NO</v>
      </c>
      <c r="P788" s="41" t="str">
        <f t="shared" si="115"/>
        <v>🟡</v>
      </c>
      <c r="Q788" s="41"/>
    </row>
    <row r="789" spans="1:17" ht="18" hidden="1" customHeight="1" x14ac:dyDescent="0.4">
      <c r="A789" s="41">
        <f t="shared" si="112"/>
        <v>788</v>
      </c>
      <c r="B789" s="41" t="str">
        <f t="shared" si="113"/>
        <v/>
      </c>
      <c r="C789" s="41"/>
      <c r="D789" s="41"/>
      <c r="E789" s="41">
        <f t="shared" si="116"/>
        <v>0</v>
      </c>
      <c r="F789" s="41"/>
      <c r="G789" s="41"/>
      <c r="H789" s="41"/>
      <c r="I789" s="41"/>
      <c r="J789" s="42"/>
      <c r="K789" s="41"/>
      <c r="L789" s="41"/>
      <c r="M789" s="41"/>
      <c r="N789" s="41"/>
      <c r="O789" s="41" t="str">
        <f t="shared" si="114"/>
        <v>NO</v>
      </c>
      <c r="P789" s="41" t="str">
        <f t="shared" si="115"/>
        <v>🟡</v>
      </c>
      <c r="Q789" s="41"/>
    </row>
    <row r="790" spans="1:17" ht="18" hidden="1" customHeight="1" x14ac:dyDescent="0.4">
      <c r="A790" s="41">
        <f t="shared" si="112"/>
        <v>789</v>
      </c>
      <c r="B790" s="41" t="str">
        <f t="shared" si="113"/>
        <v/>
      </c>
      <c r="C790" s="41"/>
      <c r="D790" s="41"/>
      <c r="E790" s="41">
        <f t="shared" si="116"/>
        <v>0</v>
      </c>
      <c r="F790" s="41"/>
      <c r="G790" s="41"/>
      <c r="H790" s="41"/>
      <c r="I790" s="41"/>
      <c r="J790" s="42"/>
      <c r="K790" s="41"/>
      <c r="L790" s="41"/>
      <c r="M790" s="41"/>
      <c r="N790" s="41"/>
      <c r="O790" s="41" t="str">
        <f t="shared" si="114"/>
        <v>NO</v>
      </c>
      <c r="P790" s="41" t="str">
        <f t="shared" si="115"/>
        <v>🟡</v>
      </c>
      <c r="Q790" s="41"/>
    </row>
    <row r="791" spans="1:17" ht="18" hidden="1" customHeight="1" x14ac:dyDescent="0.4">
      <c r="A791" s="41">
        <f t="shared" si="112"/>
        <v>790</v>
      </c>
      <c r="B791" s="41" t="str">
        <f t="shared" si="113"/>
        <v/>
      </c>
      <c r="C791" s="41"/>
      <c r="D791" s="41"/>
      <c r="E791" s="41">
        <f t="shared" si="116"/>
        <v>0</v>
      </c>
      <c r="F791" s="41"/>
      <c r="G791" s="41"/>
      <c r="H791" s="41"/>
      <c r="I791" s="41"/>
      <c r="J791" s="42"/>
      <c r="K791" s="41"/>
      <c r="L791" s="41"/>
      <c r="M791" s="41"/>
      <c r="N791" s="41"/>
      <c r="O791" s="41" t="str">
        <f t="shared" si="114"/>
        <v>NO</v>
      </c>
      <c r="P791" s="41" t="str">
        <f t="shared" si="115"/>
        <v>🟡</v>
      </c>
      <c r="Q791" s="41"/>
    </row>
    <row r="792" spans="1:17" ht="18" hidden="1" customHeight="1" x14ac:dyDescent="0.4">
      <c r="A792" s="41">
        <f t="shared" si="112"/>
        <v>791</v>
      </c>
      <c r="B792" s="41" t="str">
        <f t="shared" si="113"/>
        <v/>
      </c>
      <c r="C792" s="41"/>
      <c r="D792" s="41"/>
      <c r="E792" s="41">
        <f t="shared" si="116"/>
        <v>0</v>
      </c>
      <c r="F792" s="41"/>
      <c r="G792" s="41"/>
      <c r="H792" s="41"/>
      <c r="I792" s="41"/>
      <c r="J792" s="42"/>
      <c r="K792" s="41"/>
      <c r="L792" s="41"/>
      <c r="M792" s="41"/>
      <c r="N792" s="41"/>
      <c r="O792" s="41" t="str">
        <f t="shared" si="114"/>
        <v>NO</v>
      </c>
      <c r="P792" s="41" t="str">
        <f t="shared" si="115"/>
        <v>🟡</v>
      </c>
      <c r="Q792" s="41"/>
    </row>
    <row r="793" spans="1:17" ht="18" hidden="1" customHeight="1" x14ac:dyDescent="0.4">
      <c r="A793" s="41">
        <f t="shared" si="112"/>
        <v>792</v>
      </c>
      <c r="B793" s="41" t="str">
        <f t="shared" si="113"/>
        <v/>
      </c>
      <c r="C793" s="41"/>
      <c r="D793" s="41"/>
      <c r="E793" s="41">
        <f t="shared" si="116"/>
        <v>0</v>
      </c>
      <c r="F793" s="41"/>
      <c r="G793" s="41"/>
      <c r="H793" s="41"/>
      <c r="I793" s="41"/>
      <c r="J793" s="42"/>
      <c r="K793" s="41"/>
      <c r="L793" s="41"/>
      <c r="M793" s="41"/>
      <c r="N793" s="41"/>
      <c r="O793" s="41" t="str">
        <f t="shared" si="114"/>
        <v>NO</v>
      </c>
      <c r="P793" s="41" t="str">
        <f t="shared" si="115"/>
        <v>🟡</v>
      </c>
      <c r="Q793" s="41"/>
    </row>
    <row r="794" spans="1:17" ht="18" hidden="1" customHeight="1" x14ac:dyDescent="0.4">
      <c r="A794" s="41">
        <f t="shared" si="112"/>
        <v>793</v>
      </c>
      <c r="B794" s="41" t="str">
        <f t="shared" si="113"/>
        <v/>
      </c>
      <c r="C794" s="41"/>
      <c r="D794" s="41"/>
      <c r="E794" s="41">
        <f t="shared" si="116"/>
        <v>0</v>
      </c>
      <c r="F794" s="41"/>
      <c r="G794" s="41"/>
      <c r="H794" s="41"/>
      <c r="I794" s="41"/>
      <c r="J794" s="42"/>
      <c r="K794" s="41"/>
      <c r="L794" s="41"/>
      <c r="M794" s="41"/>
      <c r="N794" s="41"/>
      <c r="O794" s="41" t="str">
        <f t="shared" si="114"/>
        <v>NO</v>
      </c>
      <c r="P794" s="41" t="str">
        <f t="shared" si="115"/>
        <v>🟡</v>
      </c>
      <c r="Q794" s="41"/>
    </row>
    <row r="795" spans="1:17" ht="18" hidden="1" customHeight="1" x14ac:dyDescent="0.4">
      <c r="A795" s="41">
        <f t="shared" si="112"/>
        <v>794</v>
      </c>
      <c r="B795" s="41" t="str">
        <f t="shared" si="113"/>
        <v/>
      </c>
      <c r="C795" s="41"/>
      <c r="D795" s="41"/>
      <c r="E795" s="41">
        <f t="shared" si="116"/>
        <v>0</v>
      </c>
      <c r="F795" s="41"/>
      <c r="G795" s="41"/>
      <c r="H795" s="41"/>
      <c r="I795" s="41"/>
      <c r="J795" s="42"/>
      <c r="K795" s="41"/>
      <c r="L795" s="41"/>
      <c r="M795" s="41"/>
      <c r="N795" s="41"/>
      <c r="O795" s="41" t="str">
        <f t="shared" si="114"/>
        <v>NO</v>
      </c>
      <c r="P795" s="41" t="str">
        <f t="shared" si="115"/>
        <v>🟡</v>
      </c>
      <c r="Q795" s="41"/>
    </row>
    <row r="796" spans="1:17" ht="18" hidden="1" customHeight="1" x14ac:dyDescent="0.4">
      <c r="A796" s="41">
        <f t="shared" si="112"/>
        <v>795</v>
      </c>
      <c r="B796" s="41" t="str">
        <f t="shared" si="113"/>
        <v/>
      </c>
      <c r="C796" s="41"/>
      <c r="D796" s="41"/>
      <c r="E796" s="41">
        <f t="shared" si="116"/>
        <v>0</v>
      </c>
      <c r="F796" s="41"/>
      <c r="G796" s="41"/>
      <c r="H796" s="41"/>
      <c r="I796" s="41"/>
      <c r="J796" s="42"/>
      <c r="K796" s="41"/>
      <c r="L796" s="41"/>
      <c r="M796" s="41"/>
      <c r="N796" s="41"/>
      <c r="O796" s="41" t="str">
        <f t="shared" si="114"/>
        <v>NO</v>
      </c>
      <c r="P796" s="41" t="str">
        <f t="shared" si="115"/>
        <v>🟡</v>
      </c>
      <c r="Q796" s="41"/>
    </row>
    <row r="797" spans="1:17" ht="18" hidden="1" customHeight="1" x14ac:dyDescent="0.4">
      <c r="A797" s="41">
        <f t="shared" ref="A797:A860" si="117">IF(COUNTA(C797:K797)=0,"",ROW()-1)</f>
        <v>796</v>
      </c>
      <c r="B797" s="41" t="str">
        <f t="shared" ref="B797:B860" si="118">IF($F797&lt;&gt;"",$A797,"")</f>
        <v/>
      </c>
      <c r="C797" s="41"/>
      <c r="D797" s="41"/>
      <c r="E797" s="41">
        <f t="shared" si="116"/>
        <v>0</v>
      </c>
      <c r="F797" s="41"/>
      <c r="G797" s="41"/>
      <c r="H797" s="41"/>
      <c r="I797" s="41"/>
      <c r="J797" s="42"/>
      <c r="K797" s="41"/>
      <c r="L797" s="41"/>
      <c r="M797" s="41"/>
      <c r="N797" s="41"/>
      <c r="O797" s="41" t="str">
        <f t="shared" ref="O797:O860" si="119">IF(AND(UPPER($N797)="VIP",UPPER($J797)&lt;&gt;"NO",$F797&lt;&gt;""),"SI","NO")</f>
        <v>NO</v>
      </c>
      <c r="P797" s="41" t="str">
        <f t="shared" si="115"/>
        <v>🟡</v>
      </c>
      <c r="Q797" s="41"/>
    </row>
    <row r="798" spans="1:17" ht="18" hidden="1" customHeight="1" x14ac:dyDescent="0.4">
      <c r="A798" s="41">
        <f t="shared" si="117"/>
        <v>797</v>
      </c>
      <c r="B798" s="41" t="str">
        <f t="shared" si="118"/>
        <v/>
      </c>
      <c r="C798" s="41"/>
      <c r="D798" s="41"/>
      <c r="E798" s="41">
        <f t="shared" si="116"/>
        <v>0</v>
      </c>
      <c r="F798" s="41"/>
      <c r="G798" s="41"/>
      <c r="H798" s="41"/>
      <c r="I798" s="41"/>
      <c r="J798" s="42"/>
      <c r="K798" s="41"/>
      <c r="L798" s="41"/>
      <c r="M798" s="41"/>
      <c r="N798" s="41"/>
      <c r="O798" s="41" t="str">
        <f t="shared" si="119"/>
        <v>NO</v>
      </c>
      <c r="P798" s="41" t="str">
        <f t="shared" si="115"/>
        <v>🟡</v>
      </c>
      <c r="Q798" s="41"/>
    </row>
    <row r="799" spans="1:17" ht="18" hidden="1" customHeight="1" x14ac:dyDescent="0.4">
      <c r="A799" s="41">
        <f t="shared" si="117"/>
        <v>798</v>
      </c>
      <c r="B799" s="41" t="str">
        <f t="shared" si="118"/>
        <v/>
      </c>
      <c r="C799" s="41"/>
      <c r="D799" s="41"/>
      <c r="E799" s="41">
        <f t="shared" si="116"/>
        <v>0</v>
      </c>
      <c r="F799" s="41"/>
      <c r="G799" s="41"/>
      <c r="H799" s="41"/>
      <c r="I799" s="41"/>
      <c r="J799" s="42"/>
      <c r="K799" s="41"/>
      <c r="L799" s="41"/>
      <c r="M799" s="41"/>
      <c r="N799" s="41"/>
      <c r="O799" s="41" t="str">
        <f t="shared" si="119"/>
        <v>NO</v>
      </c>
      <c r="P799" s="41" t="str">
        <f t="shared" ref="P799:P862" si="120">IF(UPPER($J799)="SI","🟢",IF(UPPER($J799)="NO","🔴","🟡"))</f>
        <v>🟡</v>
      </c>
      <c r="Q799" s="41"/>
    </row>
    <row r="800" spans="1:17" ht="18" hidden="1" customHeight="1" x14ac:dyDescent="0.4">
      <c r="A800" s="41">
        <f t="shared" si="117"/>
        <v>799</v>
      </c>
      <c r="B800" s="41" t="str">
        <f t="shared" si="118"/>
        <v/>
      </c>
      <c r="C800" s="41"/>
      <c r="D800" s="41"/>
      <c r="E800" s="41">
        <f t="shared" si="116"/>
        <v>0</v>
      </c>
      <c r="F800" s="41"/>
      <c r="G800" s="41"/>
      <c r="H800" s="41"/>
      <c r="I800" s="41"/>
      <c r="J800" s="42"/>
      <c r="K800" s="41"/>
      <c r="L800" s="41"/>
      <c r="M800" s="41"/>
      <c r="N800" s="41"/>
      <c r="O800" s="41" t="str">
        <f t="shared" si="119"/>
        <v>NO</v>
      </c>
      <c r="P800" s="41" t="str">
        <f t="shared" si="120"/>
        <v>🟡</v>
      </c>
      <c r="Q800" s="41"/>
    </row>
    <row r="801" spans="1:17" ht="18" hidden="1" customHeight="1" x14ac:dyDescent="0.4">
      <c r="A801" s="41">
        <f t="shared" si="117"/>
        <v>800</v>
      </c>
      <c r="B801" s="41" t="str">
        <f t="shared" si="118"/>
        <v/>
      </c>
      <c r="C801" s="41"/>
      <c r="D801" s="41"/>
      <c r="E801" s="41">
        <f t="shared" si="116"/>
        <v>0</v>
      </c>
      <c r="F801" s="41"/>
      <c r="G801" s="41"/>
      <c r="H801" s="41"/>
      <c r="I801" s="41"/>
      <c r="J801" s="42"/>
      <c r="K801" s="41"/>
      <c r="L801" s="41"/>
      <c r="M801" s="41"/>
      <c r="N801" s="41"/>
      <c r="O801" s="41" t="str">
        <f t="shared" si="119"/>
        <v>NO</v>
      </c>
      <c r="P801" s="41" t="str">
        <f t="shared" si="120"/>
        <v>🟡</v>
      </c>
      <c r="Q801" s="41"/>
    </row>
    <row r="802" spans="1:17" ht="18" hidden="1" customHeight="1" x14ac:dyDescent="0.4">
      <c r="A802" s="41">
        <f t="shared" si="117"/>
        <v>801</v>
      </c>
      <c r="B802" s="41" t="str">
        <f t="shared" si="118"/>
        <v/>
      </c>
      <c r="C802" s="41"/>
      <c r="D802" s="41"/>
      <c r="E802" s="41">
        <f t="shared" si="116"/>
        <v>0</v>
      </c>
      <c r="F802" s="41"/>
      <c r="G802" s="41"/>
      <c r="H802" s="41"/>
      <c r="I802" s="41"/>
      <c r="J802" s="42"/>
      <c r="K802" s="41"/>
      <c r="L802" s="41"/>
      <c r="M802" s="41"/>
      <c r="N802" s="41"/>
      <c r="O802" s="41" t="str">
        <f t="shared" si="119"/>
        <v>NO</v>
      </c>
      <c r="P802" s="41" t="str">
        <f t="shared" si="120"/>
        <v>🟡</v>
      </c>
      <c r="Q802" s="41"/>
    </row>
    <row r="803" spans="1:17" ht="18" hidden="1" customHeight="1" x14ac:dyDescent="0.4">
      <c r="A803" s="41">
        <f t="shared" si="117"/>
        <v>802</v>
      </c>
      <c r="B803" s="41" t="str">
        <f t="shared" si="118"/>
        <v/>
      </c>
      <c r="C803" s="41"/>
      <c r="D803" s="41"/>
      <c r="E803" s="41">
        <f t="shared" si="116"/>
        <v>0</v>
      </c>
      <c r="F803" s="41"/>
      <c r="G803" s="41"/>
      <c r="H803" s="41"/>
      <c r="I803" s="41"/>
      <c r="J803" s="42"/>
      <c r="K803" s="41"/>
      <c r="L803" s="41"/>
      <c r="M803" s="41"/>
      <c r="N803" s="41"/>
      <c r="O803" s="41" t="str">
        <f t="shared" si="119"/>
        <v>NO</v>
      </c>
      <c r="P803" s="41" t="str">
        <f t="shared" si="120"/>
        <v>🟡</v>
      </c>
      <c r="Q803" s="41"/>
    </row>
    <row r="804" spans="1:17" ht="18" hidden="1" customHeight="1" x14ac:dyDescent="0.4">
      <c r="A804" s="41">
        <f t="shared" si="117"/>
        <v>803</v>
      </c>
      <c r="B804" s="41" t="str">
        <f t="shared" si="118"/>
        <v/>
      </c>
      <c r="C804" s="41"/>
      <c r="D804" s="41"/>
      <c r="E804" s="41">
        <f t="shared" ref="E804:E867" si="121">IF(UPPER($J804)="NO","",$N804)</f>
        <v>0</v>
      </c>
      <c r="F804" s="41"/>
      <c r="G804" s="41"/>
      <c r="H804" s="41"/>
      <c r="I804" s="41"/>
      <c r="J804" s="42"/>
      <c r="K804" s="41"/>
      <c r="L804" s="41"/>
      <c r="M804" s="41"/>
      <c r="N804" s="41"/>
      <c r="O804" s="41" t="str">
        <f t="shared" si="119"/>
        <v>NO</v>
      </c>
      <c r="P804" s="41" t="str">
        <f t="shared" si="120"/>
        <v>🟡</v>
      </c>
      <c r="Q804" s="41"/>
    </row>
    <row r="805" spans="1:17" ht="18" hidden="1" customHeight="1" x14ac:dyDescent="0.4">
      <c r="A805" s="41">
        <f t="shared" si="117"/>
        <v>804</v>
      </c>
      <c r="B805" s="41" t="str">
        <f t="shared" si="118"/>
        <v/>
      </c>
      <c r="C805" s="41"/>
      <c r="D805" s="41"/>
      <c r="E805" s="41">
        <f t="shared" si="121"/>
        <v>0</v>
      </c>
      <c r="F805" s="41"/>
      <c r="G805" s="41"/>
      <c r="H805" s="41"/>
      <c r="I805" s="41"/>
      <c r="J805" s="42"/>
      <c r="K805" s="41"/>
      <c r="L805" s="41"/>
      <c r="M805" s="41"/>
      <c r="N805" s="41"/>
      <c r="O805" s="41" t="str">
        <f t="shared" si="119"/>
        <v>NO</v>
      </c>
      <c r="P805" s="41" t="str">
        <f t="shared" si="120"/>
        <v>🟡</v>
      </c>
      <c r="Q805" s="41"/>
    </row>
    <row r="806" spans="1:17" ht="18" hidden="1" customHeight="1" x14ac:dyDescent="0.4">
      <c r="A806" s="41">
        <f t="shared" si="117"/>
        <v>805</v>
      </c>
      <c r="B806" s="41" t="str">
        <f t="shared" si="118"/>
        <v/>
      </c>
      <c r="C806" s="41"/>
      <c r="D806" s="41"/>
      <c r="E806" s="41">
        <f t="shared" si="121"/>
        <v>0</v>
      </c>
      <c r="F806" s="41"/>
      <c r="G806" s="41"/>
      <c r="H806" s="41"/>
      <c r="I806" s="41"/>
      <c r="J806" s="42"/>
      <c r="K806" s="41"/>
      <c r="L806" s="41"/>
      <c r="M806" s="41"/>
      <c r="N806" s="41"/>
      <c r="O806" s="41" t="str">
        <f t="shared" si="119"/>
        <v>NO</v>
      </c>
      <c r="P806" s="41" t="str">
        <f t="shared" si="120"/>
        <v>🟡</v>
      </c>
      <c r="Q806" s="41"/>
    </row>
    <row r="807" spans="1:17" ht="18" hidden="1" customHeight="1" x14ac:dyDescent="0.4">
      <c r="A807" s="41">
        <f t="shared" si="117"/>
        <v>806</v>
      </c>
      <c r="B807" s="41" t="str">
        <f t="shared" si="118"/>
        <v/>
      </c>
      <c r="C807" s="41"/>
      <c r="D807" s="41"/>
      <c r="E807" s="41">
        <f t="shared" si="121"/>
        <v>0</v>
      </c>
      <c r="F807" s="41"/>
      <c r="G807" s="41"/>
      <c r="H807" s="41"/>
      <c r="I807" s="41"/>
      <c r="J807" s="42"/>
      <c r="K807" s="41"/>
      <c r="L807" s="41"/>
      <c r="M807" s="41"/>
      <c r="N807" s="41"/>
      <c r="O807" s="41" t="str">
        <f t="shared" si="119"/>
        <v>NO</v>
      </c>
      <c r="P807" s="41" t="str">
        <f t="shared" si="120"/>
        <v>🟡</v>
      </c>
      <c r="Q807" s="41"/>
    </row>
    <row r="808" spans="1:17" ht="18" hidden="1" customHeight="1" x14ac:dyDescent="0.4">
      <c r="A808" s="41">
        <f t="shared" si="117"/>
        <v>807</v>
      </c>
      <c r="B808" s="41" t="str">
        <f t="shared" si="118"/>
        <v/>
      </c>
      <c r="C808" s="41"/>
      <c r="D808" s="41"/>
      <c r="E808" s="41">
        <f t="shared" si="121"/>
        <v>0</v>
      </c>
      <c r="F808" s="41"/>
      <c r="G808" s="41"/>
      <c r="H808" s="41"/>
      <c r="I808" s="41"/>
      <c r="J808" s="42"/>
      <c r="K808" s="41"/>
      <c r="L808" s="41"/>
      <c r="M808" s="41"/>
      <c r="N808" s="41"/>
      <c r="O808" s="41" t="str">
        <f t="shared" si="119"/>
        <v>NO</v>
      </c>
      <c r="P808" s="41" t="str">
        <f t="shared" si="120"/>
        <v>🟡</v>
      </c>
      <c r="Q808" s="41"/>
    </row>
    <row r="809" spans="1:17" ht="18" hidden="1" customHeight="1" x14ac:dyDescent="0.4">
      <c r="A809" s="41">
        <f t="shared" si="117"/>
        <v>808</v>
      </c>
      <c r="B809" s="41" t="str">
        <f t="shared" si="118"/>
        <v/>
      </c>
      <c r="C809" s="41"/>
      <c r="D809" s="41"/>
      <c r="E809" s="41">
        <f t="shared" si="121"/>
        <v>0</v>
      </c>
      <c r="F809" s="41"/>
      <c r="G809" s="41"/>
      <c r="H809" s="41"/>
      <c r="I809" s="41"/>
      <c r="J809" s="42"/>
      <c r="K809" s="41"/>
      <c r="L809" s="41"/>
      <c r="M809" s="41"/>
      <c r="N809" s="41"/>
      <c r="O809" s="41" t="str">
        <f t="shared" si="119"/>
        <v>NO</v>
      </c>
      <c r="P809" s="41" t="str">
        <f t="shared" si="120"/>
        <v>🟡</v>
      </c>
      <c r="Q809" s="41"/>
    </row>
    <row r="810" spans="1:17" ht="18" hidden="1" customHeight="1" x14ac:dyDescent="0.4">
      <c r="A810" s="41">
        <f t="shared" si="117"/>
        <v>809</v>
      </c>
      <c r="B810" s="41" t="str">
        <f t="shared" si="118"/>
        <v/>
      </c>
      <c r="C810" s="41"/>
      <c r="D810" s="41"/>
      <c r="E810" s="41">
        <f t="shared" si="121"/>
        <v>0</v>
      </c>
      <c r="F810" s="41"/>
      <c r="G810" s="41"/>
      <c r="H810" s="41"/>
      <c r="I810" s="41"/>
      <c r="J810" s="42"/>
      <c r="K810" s="41"/>
      <c r="L810" s="41"/>
      <c r="M810" s="41"/>
      <c r="N810" s="41"/>
      <c r="O810" s="41" t="str">
        <f t="shared" si="119"/>
        <v>NO</v>
      </c>
      <c r="P810" s="41" t="str">
        <f t="shared" si="120"/>
        <v>🟡</v>
      </c>
      <c r="Q810" s="41"/>
    </row>
    <row r="811" spans="1:17" ht="18" hidden="1" customHeight="1" x14ac:dyDescent="0.4">
      <c r="A811" s="41">
        <f t="shared" si="117"/>
        <v>810</v>
      </c>
      <c r="B811" s="41" t="str">
        <f t="shared" si="118"/>
        <v/>
      </c>
      <c r="C811" s="41"/>
      <c r="D811" s="41"/>
      <c r="E811" s="41">
        <f t="shared" si="121"/>
        <v>0</v>
      </c>
      <c r="F811" s="41"/>
      <c r="G811" s="41"/>
      <c r="H811" s="41"/>
      <c r="I811" s="41"/>
      <c r="J811" s="42"/>
      <c r="K811" s="41"/>
      <c r="L811" s="41"/>
      <c r="M811" s="41"/>
      <c r="N811" s="41"/>
      <c r="O811" s="41" t="str">
        <f t="shared" si="119"/>
        <v>NO</v>
      </c>
      <c r="P811" s="41" t="str">
        <f t="shared" si="120"/>
        <v>🟡</v>
      </c>
      <c r="Q811" s="41"/>
    </row>
    <row r="812" spans="1:17" ht="18" hidden="1" customHeight="1" x14ac:dyDescent="0.4">
      <c r="A812" s="41">
        <f t="shared" si="117"/>
        <v>811</v>
      </c>
      <c r="B812" s="41" t="str">
        <f t="shared" si="118"/>
        <v/>
      </c>
      <c r="C812" s="41"/>
      <c r="D812" s="41"/>
      <c r="E812" s="41">
        <f t="shared" si="121"/>
        <v>0</v>
      </c>
      <c r="F812" s="41"/>
      <c r="G812" s="41"/>
      <c r="H812" s="41"/>
      <c r="I812" s="41"/>
      <c r="J812" s="42"/>
      <c r="K812" s="41"/>
      <c r="L812" s="41"/>
      <c r="M812" s="41"/>
      <c r="N812" s="41"/>
      <c r="O812" s="41" t="str">
        <f t="shared" si="119"/>
        <v>NO</v>
      </c>
      <c r="P812" s="41" t="str">
        <f t="shared" si="120"/>
        <v>🟡</v>
      </c>
      <c r="Q812" s="41"/>
    </row>
    <row r="813" spans="1:17" ht="18" hidden="1" customHeight="1" x14ac:dyDescent="0.4">
      <c r="A813" s="41">
        <f t="shared" si="117"/>
        <v>812</v>
      </c>
      <c r="B813" s="41" t="str">
        <f t="shared" si="118"/>
        <v/>
      </c>
      <c r="C813" s="41"/>
      <c r="D813" s="41"/>
      <c r="E813" s="41">
        <f t="shared" si="121"/>
        <v>0</v>
      </c>
      <c r="F813" s="41"/>
      <c r="G813" s="41"/>
      <c r="H813" s="41"/>
      <c r="I813" s="41"/>
      <c r="J813" s="42"/>
      <c r="K813" s="41"/>
      <c r="L813" s="41"/>
      <c r="M813" s="41"/>
      <c r="N813" s="41"/>
      <c r="O813" s="41" t="str">
        <f t="shared" si="119"/>
        <v>NO</v>
      </c>
      <c r="P813" s="41" t="str">
        <f t="shared" si="120"/>
        <v>🟡</v>
      </c>
      <c r="Q813" s="41"/>
    </row>
    <row r="814" spans="1:17" ht="18" hidden="1" customHeight="1" x14ac:dyDescent="0.4">
      <c r="A814" s="41">
        <f t="shared" si="117"/>
        <v>813</v>
      </c>
      <c r="B814" s="41" t="str">
        <f t="shared" si="118"/>
        <v/>
      </c>
      <c r="C814" s="41"/>
      <c r="D814" s="41"/>
      <c r="E814" s="41">
        <f t="shared" si="121"/>
        <v>0</v>
      </c>
      <c r="F814" s="41"/>
      <c r="G814" s="41"/>
      <c r="H814" s="41"/>
      <c r="I814" s="41"/>
      <c r="J814" s="42"/>
      <c r="K814" s="41"/>
      <c r="L814" s="41"/>
      <c r="M814" s="41"/>
      <c r="N814" s="41"/>
      <c r="O814" s="41" t="str">
        <f t="shared" si="119"/>
        <v>NO</v>
      </c>
      <c r="P814" s="41" t="str">
        <f t="shared" si="120"/>
        <v>🟡</v>
      </c>
      <c r="Q814" s="41"/>
    </row>
    <row r="815" spans="1:17" ht="18" hidden="1" customHeight="1" x14ac:dyDescent="0.4">
      <c r="A815" s="41">
        <f t="shared" si="117"/>
        <v>814</v>
      </c>
      <c r="B815" s="41" t="str">
        <f t="shared" si="118"/>
        <v/>
      </c>
      <c r="C815" s="41"/>
      <c r="D815" s="41"/>
      <c r="E815" s="41">
        <f t="shared" si="121"/>
        <v>0</v>
      </c>
      <c r="F815" s="41"/>
      <c r="G815" s="41"/>
      <c r="H815" s="41"/>
      <c r="I815" s="41"/>
      <c r="J815" s="42"/>
      <c r="K815" s="41"/>
      <c r="L815" s="41"/>
      <c r="M815" s="41"/>
      <c r="N815" s="41"/>
      <c r="O815" s="41" t="str">
        <f t="shared" si="119"/>
        <v>NO</v>
      </c>
      <c r="P815" s="41" t="str">
        <f t="shared" si="120"/>
        <v>🟡</v>
      </c>
      <c r="Q815" s="41"/>
    </row>
    <row r="816" spans="1:17" ht="18" hidden="1" customHeight="1" x14ac:dyDescent="0.4">
      <c r="A816" s="41">
        <f t="shared" si="117"/>
        <v>815</v>
      </c>
      <c r="B816" s="41" t="str">
        <f t="shared" si="118"/>
        <v/>
      </c>
      <c r="C816" s="41"/>
      <c r="D816" s="41"/>
      <c r="E816" s="41">
        <f t="shared" si="121"/>
        <v>0</v>
      </c>
      <c r="F816" s="41"/>
      <c r="G816" s="41"/>
      <c r="H816" s="41"/>
      <c r="I816" s="41"/>
      <c r="J816" s="42"/>
      <c r="K816" s="41"/>
      <c r="L816" s="41"/>
      <c r="M816" s="41"/>
      <c r="N816" s="41"/>
      <c r="O816" s="41" t="str">
        <f t="shared" si="119"/>
        <v>NO</v>
      </c>
      <c r="P816" s="41" t="str">
        <f t="shared" si="120"/>
        <v>🟡</v>
      </c>
      <c r="Q816" s="41"/>
    </row>
    <row r="817" spans="1:17" ht="18" hidden="1" customHeight="1" x14ac:dyDescent="0.4">
      <c r="A817" s="41">
        <f t="shared" si="117"/>
        <v>816</v>
      </c>
      <c r="B817" s="41" t="str">
        <f t="shared" si="118"/>
        <v/>
      </c>
      <c r="C817" s="41"/>
      <c r="D817" s="41"/>
      <c r="E817" s="41">
        <f t="shared" si="121"/>
        <v>0</v>
      </c>
      <c r="F817" s="41"/>
      <c r="G817" s="41"/>
      <c r="H817" s="41"/>
      <c r="I817" s="41"/>
      <c r="J817" s="42"/>
      <c r="K817" s="41"/>
      <c r="L817" s="41"/>
      <c r="M817" s="41"/>
      <c r="N817" s="41"/>
      <c r="O817" s="41" t="str">
        <f t="shared" si="119"/>
        <v>NO</v>
      </c>
      <c r="P817" s="41" t="str">
        <f t="shared" si="120"/>
        <v>🟡</v>
      </c>
      <c r="Q817" s="41"/>
    </row>
    <row r="818" spans="1:17" ht="18" hidden="1" customHeight="1" x14ac:dyDescent="0.4">
      <c r="A818" s="41">
        <f t="shared" si="117"/>
        <v>817</v>
      </c>
      <c r="B818" s="41" t="str">
        <f t="shared" si="118"/>
        <v/>
      </c>
      <c r="C818" s="41"/>
      <c r="D818" s="41"/>
      <c r="E818" s="41">
        <f t="shared" si="121"/>
        <v>0</v>
      </c>
      <c r="F818" s="41"/>
      <c r="G818" s="41"/>
      <c r="H818" s="41"/>
      <c r="I818" s="41"/>
      <c r="J818" s="42"/>
      <c r="K818" s="41"/>
      <c r="L818" s="41"/>
      <c r="M818" s="41"/>
      <c r="N818" s="41"/>
      <c r="O818" s="41" t="str">
        <f t="shared" si="119"/>
        <v>NO</v>
      </c>
      <c r="P818" s="41" t="str">
        <f t="shared" si="120"/>
        <v>🟡</v>
      </c>
      <c r="Q818" s="41"/>
    </row>
    <row r="819" spans="1:17" ht="18" hidden="1" customHeight="1" x14ac:dyDescent="0.4">
      <c r="A819" s="41">
        <f t="shared" si="117"/>
        <v>818</v>
      </c>
      <c r="B819" s="41" t="str">
        <f t="shared" si="118"/>
        <v/>
      </c>
      <c r="C819" s="41"/>
      <c r="D819" s="41"/>
      <c r="E819" s="41">
        <f t="shared" si="121"/>
        <v>0</v>
      </c>
      <c r="F819" s="41"/>
      <c r="G819" s="41"/>
      <c r="H819" s="41"/>
      <c r="I819" s="41"/>
      <c r="J819" s="42"/>
      <c r="K819" s="41"/>
      <c r="L819" s="41"/>
      <c r="M819" s="41"/>
      <c r="N819" s="41"/>
      <c r="O819" s="41" t="str">
        <f t="shared" si="119"/>
        <v>NO</v>
      </c>
      <c r="P819" s="41" t="str">
        <f t="shared" si="120"/>
        <v>🟡</v>
      </c>
      <c r="Q819" s="41"/>
    </row>
    <row r="820" spans="1:17" ht="18" hidden="1" customHeight="1" x14ac:dyDescent="0.4">
      <c r="A820" s="41">
        <f t="shared" si="117"/>
        <v>819</v>
      </c>
      <c r="B820" s="41" t="str">
        <f t="shared" si="118"/>
        <v/>
      </c>
      <c r="C820" s="41"/>
      <c r="D820" s="41"/>
      <c r="E820" s="41">
        <f t="shared" si="121"/>
        <v>0</v>
      </c>
      <c r="F820" s="41"/>
      <c r="G820" s="41"/>
      <c r="H820" s="41"/>
      <c r="I820" s="41"/>
      <c r="J820" s="42"/>
      <c r="K820" s="41"/>
      <c r="L820" s="41"/>
      <c r="M820" s="41"/>
      <c r="N820" s="41"/>
      <c r="O820" s="41" t="str">
        <f t="shared" si="119"/>
        <v>NO</v>
      </c>
      <c r="P820" s="41" t="str">
        <f t="shared" si="120"/>
        <v>🟡</v>
      </c>
      <c r="Q820" s="41"/>
    </row>
    <row r="821" spans="1:17" ht="18" hidden="1" customHeight="1" x14ac:dyDescent="0.4">
      <c r="A821" s="41">
        <f t="shared" si="117"/>
        <v>820</v>
      </c>
      <c r="B821" s="41" t="str">
        <f t="shared" si="118"/>
        <v/>
      </c>
      <c r="C821" s="41"/>
      <c r="D821" s="41"/>
      <c r="E821" s="41">
        <f t="shared" si="121"/>
        <v>0</v>
      </c>
      <c r="F821" s="41"/>
      <c r="G821" s="41"/>
      <c r="H821" s="41"/>
      <c r="I821" s="41"/>
      <c r="J821" s="42"/>
      <c r="K821" s="41"/>
      <c r="L821" s="41"/>
      <c r="M821" s="41"/>
      <c r="N821" s="41"/>
      <c r="O821" s="41" t="str">
        <f t="shared" si="119"/>
        <v>NO</v>
      </c>
      <c r="P821" s="41" t="str">
        <f t="shared" si="120"/>
        <v>🟡</v>
      </c>
      <c r="Q821" s="41"/>
    </row>
    <row r="822" spans="1:17" ht="18" hidden="1" customHeight="1" x14ac:dyDescent="0.4">
      <c r="A822" s="41">
        <f t="shared" si="117"/>
        <v>821</v>
      </c>
      <c r="B822" s="41" t="str">
        <f t="shared" si="118"/>
        <v/>
      </c>
      <c r="C822" s="41"/>
      <c r="D822" s="41"/>
      <c r="E822" s="41">
        <f t="shared" si="121"/>
        <v>0</v>
      </c>
      <c r="F822" s="41"/>
      <c r="G822" s="41"/>
      <c r="H822" s="41"/>
      <c r="I822" s="41"/>
      <c r="J822" s="42"/>
      <c r="K822" s="41"/>
      <c r="L822" s="41"/>
      <c r="M822" s="41"/>
      <c r="N822" s="41"/>
      <c r="O822" s="41" t="str">
        <f t="shared" si="119"/>
        <v>NO</v>
      </c>
      <c r="P822" s="41" t="str">
        <f t="shared" si="120"/>
        <v>🟡</v>
      </c>
      <c r="Q822" s="41"/>
    </row>
    <row r="823" spans="1:17" ht="18" hidden="1" customHeight="1" x14ac:dyDescent="0.4">
      <c r="A823" s="41">
        <f t="shared" si="117"/>
        <v>822</v>
      </c>
      <c r="B823" s="41" t="str">
        <f t="shared" si="118"/>
        <v/>
      </c>
      <c r="C823" s="41"/>
      <c r="D823" s="41"/>
      <c r="E823" s="41">
        <f t="shared" si="121"/>
        <v>0</v>
      </c>
      <c r="F823" s="41"/>
      <c r="G823" s="41"/>
      <c r="H823" s="41"/>
      <c r="I823" s="41"/>
      <c r="J823" s="42"/>
      <c r="K823" s="41"/>
      <c r="L823" s="41"/>
      <c r="M823" s="41"/>
      <c r="N823" s="41"/>
      <c r="O823" s="41" t="str">
        <f t="shared" si="119"/>
        <v>NO</v>
      </c>
      <c r="P823" s="41" t="str">
        <f t="shared" si="120"/>
        <v>🟡</v>
      </c>
      <c r="Q823" s="41"/>
    </row>
    <row r="824" spans="1:17" ht="18" hidden="1" customHeight="1" x14ac:dyDescent="0.4">
      <c r="A824" s="41">
        <f t="shared" si="117"/>
        <v>823</v>
      </c>
      <c r="B824" s="41" t="str">
        <f t="shared" si="118"/>
        <v/>
      </c>
      <c r="C824" s="41"/>
      <c r="D824" s="41"/>
      <c r="E824" s="41">
        <f t="shared" si="121"/>
        <v>0</v>
      </c>
      <c r="F824" s="41"/>
      <c r="G824" s="41"/>
      <c r="H824" s="41"/>
      <c r="I824" s="41"/>
      <c r="J824" s="42"/>
      <c r="K824" s="41"/>
      <c r="L824" s="41"/>
      <c r="M824" s="41"/>
      <c r="N824" s="41"/>
      <c r="O824" s="41" t="str">
        <f t="shared" si="119"/>
        <v>NO</v>
      </c>
      <c r="P824" s="41" t="str">
        <f t="shared" si="120"/>
        <v>🟡</v>
      </c>
      <c r="Q824" s="41"/>
    </row>
    <row r="825" spans="1:17" ht="18" hidden="1" customHeight="1" x14ac:dyDescent="0.4">
      <c r="A825" s="41">
        <f t="shared" si="117"/>
        <v>824</v>
      </c>
      <c r="B825" s="41" t="str">
        <f t="shared" si="118"/>
        <v/>
      </c>
      <c r="C825" s="41"/>
      <c r="D825" s="41"/>
      <c r="E825" s="41">
        <f t="shared" si="121"/>
        <v>0</v>
      </c>
      <c r="F825" s="41"/>
      <c r="G825" s="41"/>
      <c r="H825" s="41"/>
      <c r="I825" s="41"/>
      <c r="J825" s="42"/>
      <c r="K825" s="41"/>
      <c r="L825" s="41"/>
      <c r="M825" s="41"/>
      <c r="N825" s="41"/>
      <c r="O825" s="41" t="str">
        <f t="shared" si="119"/>
        <v>NO</v>
      </c>
      <c r="P825" s="41" t="str">
        <f t="shared" si="120"/>
        <v>🟡</v>
      </c>
      <c r="Q825" s="41"/>
    </row>
    <row r="826" spans="1:17" ht="18" hidden="1" customHeight="1" x14ac:dyDescent="0.4">
      <c r="A826" s="41">
        <f t="shared" si="117"/>
        <v>825</v>
      </c>
      <c r="B826" s="41" t="str">
        <f t="shared" si="118"/>
        <v/>
      </c>
      <c r="C826" s="41"/>
      <c r="D826" s="41"/>
      <c r="E826" s="41">
        <f t="shared" si="121"/>
        <v>0</v>
      </c>
      <c r="F826" s="41"/>
      <c r="G826" s="41"/>
      <c r="H826" s="41"/>
      <c r="I826" s="41"/>
      <c r="J826" s="42"/>
      <c r="K826" s="41"/>
      <c r="L826" s="41"/>
      <c r="M826" s="41"/>
      <c r="N826" s="41"/>
      <c r="O826" s="41" t="str">
        <f t="shared" si="119"/>
        <v>NO</v>
      </c>
      <c r="P826" s="41" t="str">
        <f t="shared" si="120"/>
        <v>🟡</v>
      </c>
      <c r="Q826" s="41"/>
    </row>
    <row r="827" spans="1:17" ht="18" hidden="1" customHeight="1" x14ac:dyDescent="0.4">
      <c r="A827" s="41">
        <f t="shared" si="117"/>
        <v>826</v>
      </c>
      <c r="B827" s="41" t="str">
        <f t="shared" si="118"/>
        <v/>
      </c>
      <c r="C827" s="41"/>
      <c r="D827" s="41"/>
      <c r="E827" s="41">
        <f t="shared" si="121"/>
        <v>0</v>
      </c>
      <c r="F827" s="41"/>
      <c r="G827" s="41"/>
      <c r="H827" s="41"/>
      <c r="I827" s="41"/>
      <c r="J827" s="42"/>
      <c r="K827" s="41"/>
      <c r="L827" s="41"/>
      <c r="M827" s="41"/>
      <c r="N827" s="41"/>
      <c r="O827" s="41" t="str">
        <f t="shared" si="119"/>
        <v>NO</v>
      </c>
      <c r="P827" s="41" t="str">
        <f t="shared" si="120"/>
        <v>🟡</v>
      </c>
      <c r="Q827" s="41"/>
    </row>
    <row r="828" spans="1:17" ht="18" hidden="1" customHeight="1" x14ac:dyDescent="0.4">
      <c r="A828" s="41">
        <f t="shared" si="117"/>
        <v>827</v>
      </c>
      <c r="B828" s="41" t="str">
        <f t="shared" si="118"/>
        <v/>
      </c>
      <c r="C828" s="41"/>
      <c r="D828" s="41"/>
      <c r="E828" s="41">
        <f t="shared" si="121"/>
        <v>0</v>
      </c>
      <c r="F828" s="41"/>
      <c r="G828" s="41"/>
      <c r="H828" s="41"/>
      <c r="I828" s="41"/>
      <c r="J828" s="42"/>
      <c r="K828" s="41"/>
      <c r="L828" s="41"/>
      <c r="M828" s="41"/>
      <c r="N828" s="41"/>
      <c r="O828" s="41" t="str">
        <f t="shared" si="119"/>
        <v>NO</v>
      </c>
      <c r="P828" s="41" t="str">
        <f t="shared" si="120"/>
        <v>🟡</v>
      </c>
      <c r="Q828" s="41"/>
    </row>
    <row r="829" spans="1:17" ht="18" hidden="1" customHeight="1" x14ac:dyDescent="0.4">
      <c r="A829" s="41">
        <f t="shared" si="117"/>
        <v>828</v>
      </c>
      <c r="B829" s="41" t="str">
        <f t="shared" si="118"/>
        <v/>
      </c>
      <c r="C829" s="41"/>
      <c r="D829" s="41"/>
      <c r="E829" s="41">
        <f t="shared" si="121"/>
        <v>0</v>
      </c>
      <c r="F829" s="41"/>
      <c r="G829" s="41"/>
      <c r="H829" s="41"/>
      <c r="I829" s="41"/>
      <c r="J829" s="42"/>
      <c r="K829" s="41"/>
      <c r="L829" s="41"/>
      <c r="M829" s="41"/>
      <c r="N829" s="41"/>
      <c r="O829" s="41" t="str">
        <f t="shared" si="119"/>
        <v>NO</v>
      </c>
      <c r="P829" s="41" t="str">
        <f t="shared" si="120"/>
        <v>🟡</v>
      </c>
      <c r="Q829" s="41"/>
    </row>
    <row r="830" spans="1:17" ht="18" hidden="1" customHeight="1" x14ac:dyDescent="0.4">
      <c r="A830" s="41">
        <f t="shared" si="117"/>
        <v>829</v>
      </c>
      <c r="B830" s="41" t="str">
        <f t="shared" si="118"/>
        <v/>
      </c>
      <c r="C830" s="41"/>
      <c r="D830" s="41"/>
      <c r="E830" s="41">
        <f t="shared" si="121"/>
        <v>0</v>
      </c>
      <c r="F830" s="41"/>
      <c r="G830" s="41"/>
      <c r="H830" s="41"/>
      <c r="I830" s="41"/>
      <c r="J830" s="42"/>
      <c r="K830" s="41"/>
      <c r="L830" s="41"/>
      <c r="M830" s="41"/>
      <c r="N830" s="41"/>
      <c r="O830" s="41" t="str">
        <f t="shared" si="119"/>
        <v>NO</v>
      </c>
      <c r="P830" s="41" t="str">
        <f t="shared" si="120"/>
        <v>🟡</v>
      </c>
      <c r="Q830" s="41"/>
    </row>
    <row r="831" spans="1:17" ht="18" hidden="1" customHeight="1" x14ac:dyDescent="0.4">
      <c r="A831" s="41">
        <f t="shared" si="117"/>
        <v>830</v>
      </c>
      <c r="B831" s="41" t="str">
        <f t="shared" si="118"/>
        <v/>
      </c>
      <c r="C831" s="41"/>
      <c r="D831" s="41"/>
      <c r="E831" s="41">
        <f t="shared" si="121"/>
        <v>0</v>
      </c>
      <c r="F831" s="41"/>
      <c r="G831" s="41"/>
      <c r="H831" s="41"/>
      <c r="I831" s="41"/>
      <c r="J831" s="42"/>
      <c r="K831" s="41"/>
      <c r="L831" s="41"/>
      <c r="M831" s="41"/>
      <c r="N831" s="41"/>
      <c r="O831" s="41" t="str">
        <f t="shared" si="119"/>
        <v>NO</v>
      </c>
      <c r="P831" s="41" t="str">
        <f t="shared" si="120"/>
        <v>🟡</v>
      </c>
      <c r="Q831" s="41"/>
    </row>
    <row r="832" spans="1:17" ht="18" hidden="1" customHeight="1" x14ac:dyDescent="0.4">
      <c r="A832" s="41">
        <f t="shared" si="117"/>
        <v>831</v>
      </c>
      <c r="B832" s="41" t="str">
        <f t="shared" si="118"/>
        <v/>
      </c>
      <c r="C832" s="41"/>
      <c r="D832" s="41"/>
      <c r="E832" s="41">
        <f t="shared" si="121"/>
        <v>0</v>
      </c>
      <c r="F832" s="41"/>
      <c r="G832" s="41"/>
      <c r="H832" s="41"/>
      <c r="I832" s="41"/>
      <c r="J832" s="42"/>
      <c r="K832" s="41"/>
      <c r="L832" s="41"/>
      <c r="M832" s="41"/>
      <c r="N832" s="41"/>
      <c r="O832" s="41" t="str">
        <f t="shared" si="119"/>
        <v>NO</v>
      </c>
      <c r="P832" s="41" t="str">
        <f t="shared" si="120"/>
        <v>🟡</v>
      </c>
      <c r="Q832" s="41"/>
    </row>
    <row r="833" spans="1:17" ht="18" hidden="1" customHeight="1" x14ac:dyDescent="0.4">
      <c r="A833" s="41">
        <f t="shared" si="117"/>
        <v>832</v>
      </c>
      <c r="B833" s="41" t="str">
        <f t="shared" si="118"/>
        <v/>
      </c>
      <c r="C833" s="41"/>
      <c r="D833" s="41"/>
      <c r="E833" s="41">
        <f t="shared" si="121"/>
        <v>0</v>
      </c>
      <c r="F833" s="41"/>
      <c r="G833" s="41"/>
      <c r="H833" s="41"/>
      <c r="I833" s="41"/>
      <c r="J833" s="42"/>
      <c r="K833" s="41"/>
      <c r="L833" s="41"/>
      <c r="M833" s="41"/>
      <c r="N833" s="41"/>
      <c r="O833" s="41" t="str">
        <f t="shared" si="119"/>
        <v>NO</v>
      </c>
      <c r="P833" s="41" t="str">
        <f t="shared" si="120"/>
        <v>🟡</v>
      </c>
      <c r="Q833" s="41"/>
    </row>
    <row r="834" spans="1:17" ht="18" hidden="1" customHeight="1" x14ac:dyDescent="0.4">
      <c r="A834" s="41">
        <f t="shared" si="117"/>
        <v>833</v>
      </c>
      <c r="B834" s="41" t="str">
        <f t="shared" si="118"/>
        <v/>
      </c>
      <c r="C834" s="41"/>
      <c r="D834" s="41"/>
      <c r="E834" s="41">
        <f t="shared" si="121"/>
        <v>0</v>
      </c>
      <c r="F834" s="41"/>
      <c r="G834" s="41"/>
      <c r="H834" s="41"/>
      <c r="I834" s="41"/>
      <c r="J834" s="42"/>
      <c r="K834" s="41"/>
      <c r="L834" s="41"/>
      <c r="M834" s="41"/>
      <c r="N834" s="41"/>
      <c r="O834" s="41" t="str">
        <f t="shared" si="119"/>
        <v>NO</v>
      </c>
      <c r="P834" s="41" t="str">
        <f t="shared" si="120"/>
        <v>🟡</v>
      </c>
      <c r="Q834" s="41"/>
    </row>
    <row r="835" spans="1:17" ht="18" hidden="1" customHeight="1" x14ac:dyDescent="0.4">
      <c r="A835" s="41">
        <f t="shared" si="117"/>
        <v>834</v>
      </c>
      <c r="B835" s="41" t="str">
        <f t="shared" si="118"/>
        <v/>
      </c>
      <c r="C835" s="41"/>
      <c r="D835" s="41"/>
      <c r="E835" s="41">
        <f t="shared" si="121"/>
        <v>0</v>
      </c>
      <c r="F835" s="41"/>
      <c r="G835" s="41"/>
      <c r="H835" s="41"/>
      <c r="I835" s="41"/>
      <c r="J835" s="42"/>
      <c r="K835" s="41"/>
      <c r="L835" s="41"/>
      <c r="M835" s="41"/>
      <c r="N835" s="41"/>
      <c r="O835" s="41" t="str">
        <f t="shared" si="119"/>
        <v>NO</v>
      </c>
      <c r="P835" s="41" t="str">
        <f t="shared" si="120"/>
        <v>🟡</v>
      </c>
      <c r="Q835" s="41"/>
    </row>
    <row r="836" spans="1:17" ht="18" hidden="1" customHeight="1" x14ac:dyDescent="0.4">
      <c r="A836" s="41">
        <f t="shared" si="117"/>
        <v>835</v>
      </c>
      <c r="B836" s="41" t="str">
        <f t="shared" si="118"/>
        <v/>
      </c>
      <c r="C836" s="41"/>
      <c r="D836" s="41"/>
      <c r="E836" s="41">
        <f t="shared" si="121"/>
        <v>0</v>
      </c>
      <c r="F836" s="41"/>
      <c r="G836" s="41"/>
      <c r="H836" s="41"/>
      <c r="I836" s="41"/>
      <c r="J836" s="42"/>
      <c r="K836" s="41"/>
      <c r="L836" s="41"/>
      <c r="M836" s="41"/>
      <c r="N836" s="41"/>
      <c r="O836" s="41" t="str">
        <f t="shared" si="119"/>
        <v>NO</v>
      </c>
      <c r="P836" s="41" t="str">
        <f t="shared" si="120"/>
        <v>🟡</v>
      </c>
      <c r="Q836" s="41"/>
    </row>
    <row r="837" spans="1:17" ht="18" hidden="1" customHeight="1" x14ac:dyDescent="0.4">
      <c r="A837" s="41">
        <f t="shared" si="117"/>
        <v>836</v>
      </c>
      <c r="B837" s="41" t="str">
        <f t="shared" si="118"/>
        <v/>
      </c>
      <c r="C837" s="41"/>
      <c r="D837" s="41"/>
      <c r="E837" s="41">
        <f t="shared" si="121"/>
        <v>0</v>
      </c>
      <c r="F837" s="41"/>
      <c r="G837" s="41"/>
      <c r="H837" s="41"/>
      <c r="I837" s="41"/>
      <c r="J837" s="42"/>
      <c r="K837" s="41"/>
      <c r="L837" s="41"/>
      <c r="M837" s="41"/>
      <c r="N837" s="41"/>
      <c r="O837" s="41" t="str">
        <f t="shared" si="119"/>
        <v>NO</v>
      </c>
      <c r="P837" s="41" t="str">
        <f t="shared" si="120"/>
        <v>🟡</v>
      </c>
      <c r="Q837" s="41"/>
    </row>
    <row r="838" spans="1:17" ht="18" hidden="1" customHeight="1" x14ac:dyDescent="0.4">
      <c r="A838" s="41">
        <f t="shared" si="117"/>
        <v>837</v>
      </c>
      <c r="B838" s="41" t="str">
        <f t="shared" si="118"/>
        <v/>
      </c>
      <c r="C838" s="41"/>
      <c r="D838" s="41"/>
      <c r="E838" s="41">
        <f t="shared" si="121"/>
        <v>0</v>
      </c>
      <c r="F838" s="41"/>
      <c r="G838" s="41"/>
      <c r="H838" s="41"/>
      <c r="I838" s="41"/>
      <c r="J838" s="42"/>
      <c r="K838" s="41"/>
      <c r="L838" s="41"/>
      <c r="M838" s="41"/>
      <c r="N838" s="41"/>
      <c r="O838" s="41" t="str">
        <f t="shared" si="119"/>
        <v>NO</v>
      </c>
      <c r="P838" s="41" t="str">
        <f t="shared" si="120"/>
        <v>🟡</v>
      </c>
      <c r="Q838" s="41"/>
    </row>
    <row r="839" spans="1:17" ht="18" hidden="1" customHeight="1" x14ac:dyDescent="0.4">
      <c r="A839" s="41">
        <f t="shared" si="117"/>
        <v>838</v>
      </c>
      <c r="B839" s="41" t="str">
        <f t="shared" si="118"/>
        <v/>
      </c>
      <c r="C839" s="41"/>
      <c r="D839" s="41"/>
      <c r="E839" s="41">
        <f t="shared" si="121"/>
        <v>0</v>
      </c>
      <c r="F839" s="41"/>
      <c r="G839" s="41"/>
      <c r="H839" s="41"/>
      <c r="I839" s="41"/>
      <c r="J839" s="42"/>
      <c r="K839" s="41"/>
      <c r="L839" s="41"/>
      <c r="M839" s="41"/>
      <c r="N839" s="41"/>
      <c r="O839" s="41" t="str">
        <f t="shared" si="119"/>
        <v>NO</v>
      </c>
      <c r="P839" s="41" t="str">
        <f t="shared" si="120"/>
        <v>🟡</v>
      </c>
      <c r="Q839" s="41"/>
    </row>
    <row r="840" spans="1:17" ht="18" hidden="1" customHeight="1" x14ac:dyDescent="0.4">
      <c r="A840" s="41">
        <f t="shared" si="117"/>
        <v>839</v>
      </c>
      <c r="B840" s="41" t="str">
        <f t="shared" si="118"/>
        <v/>
      </c>
      <c r="C840" s="41"/>
      <c r="D840" s="41"/>
      <c r="E840" s="41">
        <f t="shared" si="121"/>
        <v>0</v>
      </c>
      <c r="F840" s="41"/>
      <c r="G840" s="41"/>
      <c r="H840" s="41"/>
      <c r="I840" s="41"/>
      <c r="J840" s="42"/>
      <c r="K840" s="41"/>
      <c r="L840" s="41"/>
      <c r="M840" s="41"/>
      <c r="N840" s="41"/>
      <c r="O840" s="41" t="str">
        <f t="shared" si="119"/>
        <v>NO</v>
      </c>
      <c r="P840" s="41" t="str">
        <f t="shared" si="120"/>
        <v>🟡</v>
      </c>
      <c r="Q840" s="41"/>
    </row>
    <row r="841" spans="1:17" ht="18" hidden="1" customHeight="1" x14ac:dyDescent="0.4">
      <c r="A841" s="41">
        <f t="shared" si="117"/>
        <v>840</v>
      </c>
      <c r="B841" s="41" t="str">
        <f t="shared" si="118"/>
        <v/>
      </c>
      <c r="C841" s="41"/>
      <c r="D841" s="41"/>
      <c r="E841" s="41">
        <f t="shared" si="121"/>
        <v>0</v>
      </c>
      <c r="F841" s="41"/>
      <c r="G841" s="41"/>
      <c r="H841" s="41"/>
      <c r="I841" s="41"/>
      <c r="J841" s="42"/>
      <c r="K841" s="41"/>
      <c r="L841" s="41"/>
      <c r="M841" s="41"/>
      <c r="N841" s="41"/>
      <c r="O841" s="41" t="str">
        <f t="shared" si="119"/>
        <v>NO</v>
      </c>
      <c r="P841" s="41" t="str">
        <f t="shared" si="120"/>
        <v>🟡</v>
      </c>
      <c r="Q841" s="41"/>
    </row>
    <row r="842" spans="1:17" ht="18" hidden="1" customHeight="1" x14ac:dyDescent="0.4">
      <c r="A842" s="41">
        <f t="shared" si="117"/>
        <v>841</v>
      </c>
      <c r="B842" s="41" t="str">
        <f t="shared" si="118"/>
        <v/>
      </c>
      <c r="C842" s="41"/>
      <c r="D842" s="41"/>
      <c r="E842" s="41">
        <f t="shared" si="121"/>
        <v>0</v>
      </c>
      <c r="F842" s="41"/>
      <c r="G842" s="41"/>
      <c r="H842" s="41"/>
      <c r="I842" s="41"/>
      <c r="J842" s="42"/>
      <c r="K842" s="41"/>
      <c r="L842" s="41"/>
      <c r="M842" s="41"/>
      <c r="N842" s="41"/>
      <c r="O842" s="41" t="str">
        <f t="shared" si="119"/>
        <v>NO</v>
      </c>
      <c r="P842" s="41" t="str">
        <f t="shared" si="120"/>
        <v>🟡</v>
      </c>
      <c r="Q842" s="41"/>
    </row>
    <row r="843" spans="1:17" ht="18" hidden="1" customHeight="1" x14ac:dyDescent="0.4">
      <c r="A843" s="41">
        <f t="shared" si="117"/>
        <v>842</v>
      </c>
      <c r="B843" s="41" t="str">
        <f t="shared" si="118"/>
        <v/>
      </c>
      <c r="C843" s="41"/>
      <c r="D843" s="41"/>
      <c r="E843" s="41">
        <f t="shared" si="121"/>
        <v>0</v>
      </c>
      <c r="F843" s="41"/>
      <c r="G843" s="41"/>
      <c r="H843" s="41"/>
      <c r="I843" s="41"/>
      <c r="J843" s="42"/>
      <c r="K843" s="41"/>
      <c r="L843" s="41"/>
      <c r="M843" s="41"/>
      <c r="N843" s="41"/>
      <c r="O843" s="41" t="str">
        <f t="shared" si="119"/>
        <v>NO</v>
      </c>
      <c r="P843" s="41" t="str">
        <f t="shared" si="120"/>
        <v>🟡</v>
      </c>
      <c r="Q843" s="41"/>
    </row>
    <row r="844" spans="1:17" ht="18" hidden="1" customHeight="1" x14ac:dyDescent="0.4">
      <c r="A844" s="41">
        <f t="shared" si="117"/>
        <v>843</v>
      </c>
      <c r="B844" s="41" t="str">
        <f t="shared" si="118"/>
        <v/>
      </c>
      <c r="C844" s="41"/>
      <c r="D844" s="41"/>
      <c r="E844" s="41">
        <f t="shared" si="121"/>
        <v>0</v>
      </c>
      <c r="F844" s="41"/>
      <c r="G844" s="41"/>
      <c r="H844" s="41"/>
      <c r="I844" s="41"/>
      <c r="J844" s="42"/>
      <c r="K844" s="41"/>
      <c r="L844" s="41"/>
      <c r="M844" s="41"/>
      <c r="N844" s="41"/>
      <c r="O844" s="41" t="str">
        <f t="shared" si="119"/>
        <v>NO</v>
      </c>
      <c r="P844" s="41" t="str">
        <f t="shared" si="120"/>
        <v>🟡</v>
      </c>
      <c r="Q844" s="41"/>
    </row>
    <row r="845" spans="1:17" ht="18" hidden="1" customHeight="1" x14ac:dyDescent="0.4">
      <c r="A845" s="41">
        <f t="shared" si="117"/>
        <v>844</v>
      </c>
      <c r="B845" s="41" t="str">
        <f t="shared" si="118"/>
        <v/>
      </c>
      <c r="C845" s="41"/>
      <c r="D845" s="41"/>
      <c r="E845" s="41">
        <f t="shared" si="121"/>
        <v>0</v>
      </c>
      <c r="F845" s="41"/>
      <c r="G845" s="41"/>
      <c r="H845" s="41"/>
      <c r="I845" s="41"/>
      <c r="J845" s="42"/>
      <c r="K845" s="41"/>
      <c r="L845" s="41"/>
      <c r="M845" s="41"/>
      <c r="N845" s="41"/>
      <c r="O845" s="41" t="str">
        <f t="shared" si="119"/>
        <v>NO</v>
      </c>
      <c r="P845" s="41" t="str">
        <f t="shared" si="120"/>
        <v>🟡</v>
      </c>
      <c r="Q845" s="41"/>
    </row>
    <row r="846" spans="1:17" ht="18" hidden="1" customHeight="1" x14ac:dyDescent="0.4">
      <c r="A846" s="41">
        <f t="shared" si="117"/>
        <v>845</v>
      </c>
      <c r="B846" s="41" t="str">
        <f t="shared" si="118"/>
        <v/>
      </c>
      <c r="C846" s="41"/>
      <c r="D846" s="41"/>
      <c r="E846" s="41">
        <f t="shared" si="121"/>
        <v>0</v>
      </c>
      <c r="F846" s="41"/>
      <c r="G846" s="41"/>
      <c r="H846" s="41"/>
      <c r="I846" s="41"/>
      <c r="J846" s="42"/>
      <c r="K846" s="41"/>
      <c r="L846" s="41"/>
      <c r="M846" s="41"/>
      <c r="N846" s="41"/>
      <c r="O846" s="41" t="str">
        <f t="shared" si="119"/>
        <v>NO</v>
      </c>
      <c r="P846" s="41" t="str">
        <f t="shared" si="120"/>
        <v>🟡</v>
      </c>
      <c r="Q846" s="41"/>
    </row>
    <row r="847" spans="1:17" ht="18" hidden="1" customHeight="1" x14ac:dyDescent="0.4">
      <c r="A847" s="41">
        <f t="shared" si="117"/>
        <v>846</v>
      </c>
      <c r="B847" s="41" t="str">
        <f t="shared" si="118"/>
        <v/>
      </c>
      <c r="C847" s="41"/>
      <c r="D847" s="41"/>
      <c r="E847" s="41">
        <f t="shared" si="121"/>
        <v>0</v>
      </c>
      <c r="F847" s="41"/>
      <c r="G847" s="41"/>
      <c r="H847" s="41"/>
      <c r="I847" s="41"/>
      <c r="J847" s="42"/>
      <c r="K847" s="41"/>
      <c r="L847" s="41"/>
      <c r="M847" s="41"/>
      <c r="N847" s="41"/>
      <c r="O847" s="41" t="str">
        <f t="shared" si="119"/>
        <v>NO</v>
      </c>
      <c r="P847" s="41" t="str">
        <f t="shared" si="120"/>
        <v>🟡</v>
      </c>
      <c r="Q847" s="41"/>
    </row>
    <row r="848" spans="1:17" ht="18" hidden="1" customHeight="1" x14ac:dyDescent="0.4">
      <c r="A848" s="41">
        <f t="shared" si="117"/>
        <v>847</v>
      </c>
      <c r="B848" s="41" t="str">
        <f t="shared" si="118"/>
        <v/>
      </c>
      <c r="C848" s="41"/>
      <c r="D848" s="41"/>
      <c r="E848" s="41">
        <f t="shared" si="121"/>
        <v>0</v>
      </c>
      <c r="F848" s="41"/>
      <c r="G848" s="41"/>
      <c r="H848" s="41"/>
      <c r="I848" s="41"/>
      <c r="J848" s="42"/>
      <c r="K848" s="41"/>
      <c r="L848" s="41"/>
      <c r="M848" s="41"/>
      <c r="N848" s="41"/>
      <c r="O848" s="41" t="str">
        <f t="shared" si="119"/>
        <v>NO</v>
      </c>
      <c r="P848" s="41" t="str">
        <f t="shared" si="120"/>
        <v>🟡</v>
      </c>
      <c r="Q848" s="41"/>
    </row>
    <row r="849" spans="1:17" ht="18" hidden="1" customHeight="1" x14ac:dyDescent="0.4">
      <c r="A849" s="41">
        <f t="shared" si="117"/>
        <v>848</v>
      </c>
      <c r="B849" s="41" t="str">
        <f t="shared" si="118"/>
        <v/>
      </c>
      <c r="C849" s="41"/>
      <c r="D849" s="41"/>
      <c r="E849" s="41">
        <f t="shared" si="121"/>
        <v>0</v>
      </c>
      <c r="F849" s="41"/>
      <c r="G849" s="41"/>
      <c r="H849" s="41"/>
      <c r="I849" s="41"/>
      <c r="J849" s="42"/>
      <c r="K849" s="41"/>
      <c r="L849" s="41"/>
      <c r="M849" s="41"/>
      <c r="N849" s="41"/>
      <c r="O849" s="41" t="str">
        <f t="shared" si="119"/>
        <v>NO</v>
      </c>
      <c r="P849" s="41" t="str">
        <f t="shared" si="120"/>
        <v>🟡</v>
      </c>
      <c r="Q849" s="41"/>
    </row>
    <row r="850" spans="1:17" ht="18" hidden="1" customHeight="1" x14ac:dyDescent="0.4">
      <c r="A850" s="41">
        <f t="shared" si="117"/>
        <v>849</v>
      </c>
      <c r="B850" s="41" t="str">
        <f t="shared" si="118"/>
        <v/>
      </c>
      <c r="C850" s="41"/>
      <c r="D850" s="41"/>
      <c r="E850" s="41">
        <f t="shared" si="121"/>
        <v>0</v>
      </c>
      <c r="F850" s="41"/>
      <c r="G850" s="41"/>
      <c r="H850" s="41"/>
      <c r="I850" s="41"/>
      <c r="J850" s="42"/>
      <c r="K850" s="41"/>
      <c r="L850" s="41"/>
      <c r="M850" s="41"/>
      <c r="N850" s="41"/>
      <c r="O850" s="41" t="str">
        <f t="shared" si="119"/>
        <v>NO</v>
      </c>
      <c r="P850" s="41" t="str">
        <f t="shared" si="120"/>
        <v>🟡</v>
      </c>
      <c r="Q850" s="41"/>
    </row>
    <row r="851" spans="1:17" ht="18" hidden="1" customHeight="1" x14ac:dyDescent="0.4">
      <c r="A851" s="41">
        <f t="shared" si="117"/>
        <v>850</v>
      </c>
      <c r="B851" s="41" t="str">
        <f t="shared" si="118"/>
        <v/>
      </c>
      <c r="C851" s="41"/>
      <c r="D851" s="41"/>
      <c r="E851" s="41">
        <f t="shared" si="121"/>
        <v>0</v>
      </c>
      <c r="F851" s="41"/>
      <c r="G851" s="41"/>
      <c r="H851" s="41"/>
      <c r="I851" s="41"/>
      <c r="J851" s="42"/>
      <c r="K851" s="41"/>
      <c r="L851" s="41"/>
      <c r="M851" s="41"/>
      <c r="N851" s="41"/>
      <c r="O851" s="41" t="str">
        <f t="shared" si="119"/>
        <v>NO</v>
      </c>
      <c r="P851" s="41" t="str">
        <f t="shared" si="120"/>
        <v>🟡</v>
      </c>
      <c r="Q851" s="41"/>
    </row>
    <row r="852" spans="1:17" ht="18" hidden="1" customHeight="1" x14ac:dyDescent="0.4">
      <c r="A852" s="41">
        <f t="shared" si="117"/>
        <v>851</v>
      </c>
      <c r="B852" s="41" t="str">
        <f t="shared" si="118"/>
        <v/>
      </c>
      <c r="C852" s="41"/>
      <c r="D852" s="41"/>
      <c r="E852" s="41">
        <f t="shared" si="121"/>
        <v>0</v>
      </c>
      <c r="F852" s="41"/>
      <c r="G852" s="41"/>
      <c r="H852" s="41"/>
      <c r="I852" s="41"/>
      <c r="J852" s="42"/>
      <c r="K852" s="41"/>
      <c r="L852" s="41"/>
      <c r="M852" s="41"/>
      <c r="N852" s="41"/>
      <c r="O852" s="41" t="str">
        <f t="shared" si="119"/>
        <v>NO</v>
      </c>
      <c r="P852" s="41" t="str">
        <f t="shared" si="120"/>
        <v>🟡</v>
      </c>
      <c r="Q852" s="41"/>
    </row>
    <row r="853" spans="1:17" ht="18" hidden="1" customHeight="1" x14ac:dyDescent="0.4">
      <c r="A853" s="41">
        <f t="shared" si="117"/>
        <v>852</v>
      </c>
      <c r="B853" s="41" t="str">
        <f t="shared" si="118"/>
        <v/>
      </c>
      <c r="C853" s="41"/>
      <c r="D853" s="41"/>
      <c r="E853" s="41">
        <f t="shared" si="121"/>
        <v>0</v>
      </c>
      <c r="F853" s="41"/>
      <c r="G853" s="41"/>
      <c r="H853" s="41"/>
      <c r="I853" s="41"/>
      <c r="J853" s="42"/>
      <c r="K853" s="41"/>
      <c r="L853" s="41"/>
      <c r="M853" s="41"/>
      <c r="N853" s="41"/>
      <c r="O853" s="41" t="str">
        <f t="shared" si="119"/>
        <v>NO</v>
      </c>
      <c r="P853" s="41" t="str">
        <f t="shared" si="120"/>
        <v>🟡</v>
      </c>
      <c r="Q853" s="41"/>
    </row>
    <row r="854" spans="1:17" ht="18" hidden="1" customHeight="1" x14ac:dyDescent="0.4">
      <c r="A854" s="41">
        <f t="shared" si="117"/>
        <v>853</v>
      </c>
      <c r="B854" s="41" t="str">
        <f t="shared" si="118"/>
        <v/>
      </c>
      <c r="C854" s="41"/>
      <c r="D854" s="41"/>
      <c r="E854" s="41">
        <f t="shared" si="121"/>
        <v>0</v>
      </c>
      <c r="F854" s="41"/>
      <c r="G854" s="41"/>
      <c r="H854" s="41"/>
      <c r="I854" s="41"/>
      <c r="J854" s="42"/>
      <c r="K854" s="41"/>
      <c r="L854" s="41"/>
      <c r="M854" s="41"/>
      <c r="N854" s="41"/>
      <c r="O854" s="41" t="str">
        <f t="shared" si="119"/>
        <v>NO</v>
      </c>
      <c r="P854" s="41" t="str">
        <f t="shared" si="120"/>
        <v>🟡</v>
      </c>
      <c r="Q854" s="41"/>
    </row>
    <row r="855" spans="1:17" ht="18" hidden="1" customHeight="1" x14ac:dyDescent="0.4">
      <c r="A855" s="41">
        <f t="shared" si="117"/>
        <v>854</v>
      </c>
      <c r="B855" s="41" t="str">
        <f t="shared" si="118"/>
        <v/>
      </c>
      <c r="C855" s="41"/>
      <c r="D855" s="41"/>
      <c r="E855" s="41">
        <f t="shared" si="121"/>
        <v>0</v>
      </c>
      <c r="F855" s="41"/>
      <c r="G855" s="41"/>
      <c r="H855" s="41"/>
      <c r="I855" s="41"/>
      <c r="J855" s="42"/>
      <c r="K855" s="41"/>
      <c r="L855" s="41"/>
      <c r="M855" s="41"/>
      <c r="N855" s="41"/>
      <c r="O855" s="41" t="str">
        <f t="shared" si="119"/>
        <v>NO</v>
      </c>
      <c r="P855" s="41" t="str">
        <f t="shared" si="120"/>
        <v>🟡</v>
      </c>
      <c r="Q855" s="41"/>
    </row>
    <row r="856" spans="1:17" ht="18" hidden="1" customHeight="1" x14ac:dyDescent="0.4">
      <c r="A856" s="41">
        <f t="shared" si="117"/>
        <v>855</v>
      </c>
      <c r="B856" s="41" t="str">
        <f t="shared" si="118"/>
        <v/>
      </c>
      <c r="C856" s="41"/>
      <c r="D856" s="41"/>
      <c r="E856" s="41">
        <f t="shared" si="121"/>
        <v>0</v>
      </c>
      <c r="F856" s="41"/>
      <c r="G856" s="41"/>
      <c r="H856" s="41"/>
      <c r="I856" s="41"/>
      <c r="J856" s="42"/>
      <c r="K856" s="41"/>
      <c r="L856" s="41"/>
      <c r="M856" s="41"/>
      <c r="N856" s="41"/>
      <c r="O856" s="41" t="str">
        <f t="shared" si="119"/>
        <v>NO</v>
      </c>
      <c r="P856" s="41" t="str">
        <f t="shared" si="120"/>
        <v>🟡</v>
      </c>
      <c r="Q856" s="41"/>
    </row>
    <row r="857" spans="1:17" ht="18" hidden="1" customHeight="1" x14ac:dyDescent="0.4">
      <c r="A857" s="41">
        <f t="shared" si="117"/>
        <v>856</v>
      </c>
      <c r="B857" s="41" t="str">
        <f t="shared" si="118"/>
        <v/>
      </c>
      <c r="C857" s="41"/>
      <c r="D857" s="41"/>
      <c r="E857" s="41">
        <f t="shared" si="121"/>
        <v>0</v>
      </c>
      <c r="F857" s="41"/>
      <c r="G857" s="41"/>
      <c r="H857" s="41"/>
      <c r="I857" s="41"/>
      <c r="J857" s="42"/>
      <c r="K857" s="41"/>
      <c r="L857" s="41"/>
      <c r="M857" s="41"/>
      <c r="N857" s="41"/>
      <c r="O857" s="41" t="str">
        <f t="shared" si="119"/>
        <v>NO</v>
      </c>
      <c r="P857" s="41" t="str">
        <f t="shared" si="120"/>
        <v>🟡</v>
      </c>
      <c r="Q857" s="41"/>
    </row>
    <row r="858" spans="1:17" ht="18" hidden="1" customHeight="1" x14ac:dyDescent="0.4">
      <c r="A858" s="41">
        <f t="shared" si="117"/>
        <v>857</v>
      </c>
      <c r="B858" s="41" t="str">
        <f t="shared" si="118"/>
        <v/>
      </c>
      <c r="C858" s="41"/>
      <c r="D858" s="41"/>
      <c r="E858" s="41">
        <f t="shared" si="121"/>
        <v>0</v>
      </c>
      <c r="F858" s="41"/>
      <c r="G858" s="41"/>
      <c r="H858" s="41"/>
      <c r="I858" s="41"/>
      <c r="J858" s="42"/>
      <c r="K858" s="41"/>
      <c r="L858" s="41"/>
      <c r="M858" s="41"/>
      <c r="N858" s="41"/>
      <c r="O858" s="41" t="str">
        <f t="shared" si="119"/>
        <v>NO</v>
      </c>
      <c r="P858" s="41" t="str">
        <f t="shared" si="120"/>
        <v>🟡</v>
      </c>
      <c r="Q858" s="41"/>
    </row>
    <row r="859" spans="1:17" ht="18" hidden="1" customHeight="1" x14ac:dyDescent="0.4">
      <c r="A859" s="41">
        <f t="shared" si="117"/>
        <v>858</v>
      </c>
      <c r="B859" s="41" t="str">
        <f t="shared" si="118"/>
        <v/>
      </c>
      <c r="C859" s="41"/>
      <c r="D859" s="41"/>
      <c r="E859" s="41">
        <f t="shared" si="121"/>
        <v>0</v>
      </c>
      <c r="F859" s="41"/>
      <c r="G859" s="41"/>
      <c r="H859" s="41"/>
      <c r="I859" s="41"/>
      <c r="J859" s="42"/>
      <c r="K859" s="41"/>
      <c r="L859" s="41"/>
      <c r="M859" s="41"/>
      <c r="N859" s="41"/>
      <c r="O859" s="41" t="str">
        <f t="shared" si="119"/>
        <v>NO</v>
      </c>
      <c r="P859" s="41" t="str">
        <f t="shared" si="120"/>
        <v>🟡</v>
      </c>
      <c r="Q859" s="41"/>
    </row>
    <row r="860" spans="1:17" ht="18" hidden="1" customHeight="1" x14ac:dyDescent="0.4">
      <c r="A860" s="41">
        <f t="shared" si="117"/>
        <v>859</v>
      </c>
      <c r="B860" s="41" t="str">
        <f t="shared" si="118"/>
        <v/>
      </c>
      <c r="C860" s="41"/>
      <c r="D860" s="41"/>
      <c r="E860" s="41">
        <f t="shared" si="121"/>
        <v>0</v>
      </c>
      <c r="F860" s="41"/>
      <c r="G860" s="41"/>
      <c r="H860" s="41"/>
      <c r="I860" s="41"/>
      <c r="J860" s="42"/>
      <c r="K860" s="41"/>
      <c r="L860" s="41"/>
      <c r="M860" s="41"/>
      <c r="N860" s="41"/>
      <c r="O860" s="41" t="str">
        <f t="shared" si="119"/>
        <v>NO</v>
      </c>
      <c r="P860" s="41" t="str">
        <f t="shared" si="120"/>
        <v>🟡</v>
      </c>
      <c r="Q860" s="41"/>
    </row>
    <row r="861" spans="1:17" ht="18" hidden="1" customHeight="1" x14ac:dyDescent="0.4">
      <c r="A861" s="41">
        <f t="shared" ref="A861:A924" si="122">IF(COUNTA(C861:K861)=0,"",ROW()-1)</f>
        <v>860</v>
      </c>
      <c r="B861" s="41" t="str">
        <f t="shared" ref="B861:B924" si="123">IF($F861&lt;&gt;"",$A861,"")</f>
        <v/>
      </c>
      <c r="C861" s="41"/>
      <c r="D861" s="41"/>
      <c r="E861" s="41">
        <f t="shared" si="121"/>
        <v>0</v>
      </c>
      <c r="F861" s="41"/>
      <c r="G861" s="41"/>
      <c r="H861" s="41"/>
      <c r="I861" s="41"/>
      <c r="J861" s="42"/>
      <c r="K861" s="41"/>
      <c r="L861" s="41"/>
      <c r="M861" s="41"/>
      <c r="N861" s="41"/>
      <c r="O861" s="41" t="str">
        <f t="shared" ref="O861:O924" si="124">IF(AND(UPPER($N861)="VIP",UPPER($J861)&lt;&gt;"NO",$F861&lt;&gt;""),"SI","NO")</f>
        <v>NO</v>
      </c>
      <c r="P861" s="41" t="str">
        <f t="shared" si="120"/>
        <v>🟡</v>
      </c>
      <c r="Q861" s="41"/>
    </row>
    <row r="862" spans="1:17" ht="18" hidden="1" customHeight="1" x14ac:dyDescent="0.4">
      <c r="A862" s="41">
        <f t="shared" si="122"/>
        <v>861</v>
      </c>
      <c r="B862" s="41" t="str">
        <f t="shared" si="123"/>
        <v/>
      </c>
      <c r="C862" s="41"/>
      <c r="D862" s="41"/>
      <c r="E862" s="41">
        <f t="shared" si="121"/>
        <v>0</v>
      </c>
      <c r="F862" s="41"/>
      <c r="G862" s="41"/>
      <c r="H862" s="41"/>
      <c r="I862" s="41"/>
      <c r="J862" s="42"/>
      <c r="K862" s="41"/>
      <c r="L862" s="41"/>
      <c r="M862" s="41"/>
      <c r="N862" s="41"/>
      <c r="O862" s="41" t="str">
        <f t="shared" si="124"/>
        <v>NO</v>
      </c>
      <c r="P862" s="41" t="str">
        <f t="shared" si="120"/>
        <v>🟡</v>
      </c>
      <c r="Q862" s="41"/>
    </row>
    <row r="863" spans="1:17" ht="18" hidden="1" customHeight="1" x14ac:dyDescent="0.4">
      <c r="A863" s="41">
        <f t="shared" si="122"/>
        <v>862</v>
      </c>
      <c r="B863" s="41" t="str">
        <f t="shared" si="123"/>
        <v/>
      </c>
      <c r="C863" s="41"/>
      <c r="D863" s="41"/>
      <c r="E863" s="41">
        <f t="shared" si="121"/>
        <v>0</v>
      </c>
      <c r="F863" s="41"/>
      <c r="G863" s="41"/>
      <c r="H863" s="41"/>
      <c r="I863" s="41"/>
      <c r="J863" s="42"/>
      <c r="K863" s="41"/>
      <c r="L863" s="41"/>
      <c r="M863" s="41"/>
      <c r="N863" s="41"/>
      <c r="O863" s="41" t="str">
        <f t="shared" si="124"/>
        <v>NO</v>
      </c>
      <c r="P863" s="41" t="str">
        <f t="shared" ref="P863:P926" si="125">IF(UPPER($J863)="SI","🟢",IF(UPPER($J863)="NO","🔴","🟡"))</f>
        <v>🟡</v>
      </c>
      <c r="Q863" s="41"/>
    </row>
    <row r="864" spans="1:17" ht="18" hidden="1" customHeight="1" x14ac:dyDescent="0.4">
      <c r="A864" s="41">
        <f t="shared" si="122"/>
        <v>863</v>
      </c>
      <c r="B864" s="41" t="str">
        <f t="shared" si="123"/>
        <v/>
      </c>
      <c r="C864" s="41"/>
      <c r="D864" s="41"/>
      <c r="E864" s="41">
        <f t="shared" si="121"/>
        <v>0</v>
      </c>
      <c r="F864" s="41"/>
      <c r="G864" s="41"/>
      <c r="H864" s="41"/>
      <c r="I864" s="41"/>
      <c r="J864" s="42"/>
      <c r="K864" s="41"/>
      <c r="L864" s="41"/>
      <c r="M864" s="41"/>
      <c r="N864" s="41"/>
      <c r="O864" s="41" t="str">
        <f t="shared" si="124"/>
        <v>NO</v>
      </c>
      <c r="P864" s="41" t="str">
        <f t="shared" si="125"/>
        <v>🟡</v>
      </c>
      <c r="Q864" s="41"/>
    </row>
    <row r="865" spans="1:17" ht="18" hidden="1" customHeight="1" x14ac:dyDescent="0.4">
      <c r="A865" s="41">
        <f t="shared" si="122"/>
        <v>864</v>
      </c>
      <c r="B865" s="41" t="str">
        <f t="shared" si="123"/>
        <v/>
      </c>
      <c r="C865" s="41"/>
      <c r="D865" s="41"/>
      <c r="E865" s="41">
        <f t="shared" si="121"/>
        <v>0</v>
      </c>
      <c r="F865" s="41"/>
      <c r="G865" s="41"/>
      <c r="H865" s="41"/>
      <c r="I865" s="41"/>
      <c r="J865" s="42"/>
      <c r="K865" s="41"/>
      <c r="L865" s="41"/>
      <c r="M865" s="41"/>
      <c r="N865" s="41"/>
      <c r="O865" s="41" t="str">
        <f t="shared" si="124"/>
        <v>NO</v>
      </c>
      <c r="P865" s="41" t="str">
        <f t="shared" si="125"/>
        <v>🟡</v>
      </c>
      <c r="Q865" s="41"/>
    </row>
    <row r="866" spans="1:17" ht="18" hidden="1" customHeight="1" x14ac:dyDescent="0.4">
      <c r="A866" s="41">
        <f t="shared" si="122"/>
        <v>865</v>
      </c>
      <c r="B866" s="41" t="str">
        <f t="shared" si="123"/>
        <v/>
      </c>
      <c r="C866" s="41"/>
      <c r="D866" s="41"/>
      <c r="E866" s="41">
        <f t="shared" si="121"/>
        <v>0</v>
      </c>
      <c r="F866" s="41"/>
      <c r="G866" s="41"/>
      <c r="H866" s="41"/>
      <c r="I866" s="41"/>
      <c r="J866" s="42"/>
      <c r="K866" s="41"/>
      <c r="L866" s="41"/>
      <c r="M866" s="41"/>
      <c r="N866" s="41"/>
      <c r="O866" s="41" t="str">
        <f t="shared" si="124"/>
        <v>NO</v>
      </c>
      <c r="P866" s="41" t="str">
        <f t="shared" si="125"/>
        <v>🟡</v>
      </c>
      <c r="Q866" s="41"/>
    </row>
    <row r="867" spans="1:17" ht="18" hidden="1" customHeight="1" x14ac:dyDescent="0.4">
      <c r="A867" s="41">
        <f t="shared" si="122"/>
        <v>866</v>
      </c>
      <c r="B867" s="41" t="str">
        <f t="shared" si="123"/>
        <v/>
      </c>
      <c r="C867" s="41"/>
      <c r="D867" s="41"/>
      <c r="E867" s="41">
        <f t="shared" si="121"/>
        <v>0</v>
      </c>
      <c r="F867" s="41"/>
      <c r="G867" s="41"/>
      <c r="H867" s="41"/>
      <c r="I867" s="41"/>
      <c r="J867" s="42"/>
      <c r="K867" s="41"/>
      <c r="L867" s="41"/>
      <c r="M867" s="41"/>
      <c r="N867" s="41"/>
      <c r="O867" s="41" t="str">
        <f t="shared" si="124"/>
        <v>NO</v>
      </c>
      <c r="P867" s="41" t="str">
        <f t="shared" si="125"/>
        <v>🟡</v>
      </c>
      <c r="Q867" s="41"/>
    </row>
    <row r="868" spans="1:17" ht="18" hidden="1" customHeight="1" x14ac:dyDescent="0.4">
      <c r="A868" s="41">
        <f t="shared" si="122"/>
        <v>867</v>
      </c>
      <c r="B868" s="41" t="str">
        <f t="shared" si="123"/>
        <v/>
      </c>
      <c r="C868" s="41"/>
      <c r="D868" s="41"/>
      <c r="E868" s="41">
        <f t="shared" ref="E868:E931" si="126">IF(UPPER($J868)="NO","",$N868)</f>
        <v>0</v>
      </c>
      <c r="F868" s="41"/>
      <c r="G868" s="41"/>
      <c r="H868" s="41"/>
      <c r="I868" s="41"/>
      <c r="J868" s="42"/>
      <c r="K868" s="41"/>
      <c r="L868" s="41"/>
      <c r="M868" s="41"/>
      <c r="N868" s="41"/>
      <c r="O868" s="41" t="str">
        <f t="shared" si="124"/>
        <v>NO</v>
      </c>
      <c r="P868" s="41" t="str">
        <f t="shared" si="125"/>
        <v>🟡</v>
      </c>
      <c r="Q868" s="41"/>
    </row>
    <row r="869" spans="1:17" ht="18" hidden="1" customHeight="1" x14ac:dyDescent="0.4">
      <c r="A869" s="41">
        <f t="shared" si="122"/>
        <v>868</v>
      </c>
      <c r="B869" s="41" t="str">
        <f t="shared" si="123"/>
        <v/>
      </c>
      <c r="C869" s="41"/>
      <c r="D869" s="41"/>
      <c r="E869" s="41">
        <f t="shared" si="126"/>
        <v>0</v>
      </c>
      <c r="F869" s="41"/>
      <c r="G869" s="41"/>
      <c r="H869" s="41"/>
      <c r="I869" s="41"/>
      <c r="J869" s="42"/>
      <c r="K869" s="41"/>
      <c r="L869" s="41"/>
      <c r="M869" s="41"/>
      <c r="N869" s="41"/>
      <c r="O869" s="41" t="str">
        <f t="shared" si="124"/>
        <v>NO</v>
      </c>
      <c r="P869" s="41" t="str">
        <f t="shared" si="125"/>
        <v>🟡</v>
      </c>
      <c r="Q869" s="41"/>
    </row>
    <row r="870" spans="1:17" ht="18" hidden="1" customHeight="1" x14ac:dyDescent="0.4">
      <c r="A870" s="41">
        <f t="shared" si="122"/>
        <v>869</v>
      </c>
      <c r="B870" s="41" t="str">
        <f t="shared" si="123"/>
        <v/>
      </c>
      <c r="C870" s="41"/>
      <c r="D870" s="41"/>
      <c r="E870" s="41">
        <f t="shared" si="126"/>
        <v>0</v>
      </c>
      <c r="F870" s="41"/>
      <c r="G870" s="41"/>
      <c r="H870" s="41"/>
      <c r="I870" s="41"/>
      <c r="J870" s="42"/>
      <c r="K870" s="41"/>
      <c r="L870" s="41"/>
      <c r="M870" s="41"/>
      <c r="N870" s="41"/>
      <c r="O870" s="41" t="str">
        <f t="shared" si="124"/>
        <v>NO</v>
      </c>
      <c r="P870" s="41" t="str">
        <f t="shared" si="125"/>
        <v>🟡</v>
      </c>
      <c r="Q870" s="41"/>
    </row>
    <row r="871" spans="1:17" ht="18" hidden="1" customHeight="1" x14ac:dyDescent="0.4">
      <c r="A871" s="41">
        <f t="shared" si="122"/>
        <v>870</v>
      </c>
      <c r="B871" s="41" t="str">
        <f t="shared" si="123"/>
        <v/>
      </c>
      <c r="C871" s="41"/>
      <c r="D871" s="41"/>
      <c r="E871" s="41">
        <f t="shared" si="126"/>
        <v>0</v>
      </c>
      <c r="F871" s="41"/>
      <c r="G871" s="41"/>
      <c r="H871" s="41"/>
      <c r="I871" s="41"/>
      <c r="J871" s="42"/>
      <c r="K871" s="41"/>
      <c r="L871" s="41"/>
      <c r="M871" s="41"/>
      <c r="N871" s="41"/>
      <c r="O871" s="41" t="str">
        <f t="shared" si="124"/>
        <v>NO</v>
      </c>
      <c r="P871" s="41" t="str">
        <f t="shared" si="125"/>
        <v>🟡</v>
      </c>
      <c r="Q871" s="41"/>
    </row>
    <row r="872" spans="1:17" ht="18" hidden="1" customHeight="1" x14ac:dyDescent="0.4">
      <c r="A872" s="41">
        <f t="shared" si="122"/>
        <v>871</v>
      </c>
      <c r="B872" s="41" t="str">
        <f t="shared" si="123"/>
        <v/>
      </c>
      <c r="C872" s="41"/>
      <c r="D872" s="41"/>
      <c r="E872" s="41">
        <f t="shared" si="126"/>
        <v>0</v>
      </c>
      <c r="F872" s="41"/>
      <c r="G872" s="41"/>
      <c r="H872" s="41"/>
      <c r="I872" s="41"/>
      <c r="J872" s="42"/>
      <c r="K872" s="41"/>
      <c r="L872" s="41"/>
      <c r="M872" s="41"/>
      <c r="N872" s="41"/>
      <c r="O872" s="41" t="str">
        <f t="shared" si="124"/>
        <v>NO</v>
      </c>
      <c r="P872" s="41" t="str">
        <f t="shared" si="125"/>
        <v>🟡</v>
      </c>
      <c r="Q872" s="41"/>
    </row>
    <row r="873" spans="1:17" ht="18" hidden="1" customHeight="1" x14ac:dyDescent="0.4">
      <c r="A873" s="41">
        <f t="shared" si="122"/>
        <v>872</v>
      </c>
      <c r="B873" s="41" t="str">
        <f t="shared" si="123"/>
        <v/>
      </c>
      <c r="C873" s="41"/>
      <c r="D873" s="41"/>
      <c r="E873" s="41">
        <f t="shared" si="126"/>
        <v>0</v>
      </c>
      <c r="F873" s="41"/>
      <c r="G873" s="41"/>
      <c r="H873" s="41"/>
      <c r="I873" s="41"/>
      <c r="J873" s="42"/>
      <c r="K873" s="41"/>
      <c r="L873" s="41"/>
      <c r="M873" s="41"/>
      <c r="N873" s="41"/>
      <c r="O873" s="41" t="str">
        <f t="shared" si="124"/>
        <v>NO</v>
      </c>
      <c r="P873" s="41" t="str">
        <f t="shared" si="125"/>
        <v>🟡</v>
      </c>
      <c r="Q873" s="41"/>
    </row>
    <row r="874" spans="1:17" ht="18" hidden="1" customHeight="1" x14ac:dyDescent="0.4">
      <c r="A874" s="41">
        <f t="shared" si="122"/>
        <v>873</v>
      </c>
      <c r="B874" s="41" t="str">
        <f t="shared" si="123"/>
        <v/>
      </c>
      <c r="C874" s="41"/>
      <c r="D874" s="41"/>
      <c r="E874" s="41">
        <f t="shared" si="126"/>
        <v>0</v>
      </c>
      <c r="F874" s="41"/>
      <c r="G874" s="41"/>
      <c r="H874" s="41"/>
      <c r="I874" s="41"/>
      <c r="J874" s="42"/>
      <c r="K874" s="41"/>
      <c r="L874" s="41"/>
      <c r="M874" s="41"/>
      <c r="N874" s="41"/>
      <c r="O874" s="41" t="str">
        <f t="shared" si="124"/>
        <v>NO</v>
      </c>
      <c r="P874" s="41" t="str">
        <f t="shared" si="125"/>
        <v>🟡</v>
      </c>
      <c r="Q874" s="41"/>
    </row>
    <row r="875" spans="1:17" ht="18" hidden="1" customHeight="1" x14ac:dyDescent="0.4">
      <c r="A875" s="41">
        <f t="shared" si="122"/>
        <v>874</v>
      </c>
      <c r="B875" s="41" t="str">
        <f t="shared" si="123"/>
        <v/>
      </c>
      <c r="C875" s="41"/>
      <c r="D875" s="41"/>
      <c r="E875" s="41">
        <f t="shared" si="126"/>
        <v>0</v>
      </c>
      <c r="F875" s="41"/>
      <c r="G875" s="41"/>
      <c r="H875" s="41"/>
      <c r="I875" s="41"/>
      <c r="J875" s="42"/>
      <c r="K875" s="41"/>
      <c r="L875" s="41"/>
      <c r="M875" s="41"/>
      <c r="N875" s="41"/>
      <c r="O875" s="41" t="str">
        <f t="shared" si="124"/>
        <v>NO</v>
      </c>
      <c r="P875" s="41" t="str">
        <f t="shared" si="125"/>
        <v>🟡</v>
      </c>
      <c r="Q875" s="41"/>
    </row>
    <row r="876" spans="1:17" ht="18" hidden="1" customHeight="1" x14ac:dyDescent="0.4">
      <c r="A876" s="41">
        <f t="shared" si="122"/>
        <v>875</v>
      </c>
      <c r="B876" s="41" t="str">
        <f t="shared" si="123"/>
        <v/>
      </c>
      <c r="C876" s="41"/>
      <c r="D876" s="41"/>
      <c r="E876" s="41">
        <f t="shared" si="126"/>
        <v>0</v>
      </c>
      <c r="F876" s="41"/>
      <c r="G876" s="41"/>
      <c r="H876" s="41"/>
      <c r="I876" s="41"/>
      <c r="J876" s="42"/>
      <c r="K876" s="41"/>
      <c r="L876" s="41"/>
      <c r="M876" s="41"/>
      <c r="N876" s="41"/>
      <c r="O876" s="41" t="str">
        <f t="shared" si="124"/>
        <v>NO</v>
      </c>
      <c r="P876" s="41" t="str">
        <f t="shared" si="125"/>
        <v>🟡</v>
      </c>
      <c r="Q876" s="41"/>
    </row>
    <row r="877" spans="1:17" ht="18" hidden="1" customHeight="1" x14ac:dyDescent="0.4">
      <c r="A877" s="41">
        <f t="shared" si="122"/>
        <v>876</v>
      </c>
      <c r="B877" s="41" t="str">
        <f t="shared" si="123"/>
        <v/>
      </c>
      <c r="C877" s="41"/>
      <c r="D877" s="41"/>
      <c r="E877" s="41">
        <f t="shared" si="126"/>
        <v>0</v>
      </c>
      <c r="F877" s="41"/>
      <c r="G877" s="41"/>
      <c r="H877" s="41"/>
      <c r="I877" s="41"/>
      <c r="J877" s="42"/>
      <c r="K877" s="41"/>
      <c r="L877" s="41"/>
      <c r="M877" s="41"/>
      <c r="N877" s="41"/>
      <c r="O877" s="41" t="str">
        <f t="shared" si="124"/>
        <v>NO</v>
      </c>
      <c r="P877" s="41" t="str">
        <f t="shared" si="125"/>
        <v>🟡</v>
      </c>
      <c r="Q877" s="41"/>
    </row>
    <row r="878" spans="1:17" ht="18" hidden="1" customHeight="1" x14ac:dyDescent="0.4">
      <c r="A878" s="41">
        <f t="shared" si="122"/>
        <v>877</v>
      </c>
      <c r="B878" s="41" t="str">
        <f t="shared" si="123"/>
        <v/>
      </c>
      <c r="C878" s="41"/>
      <c r="D878" s="41"/>
      <c r="E878" s="41">
        <f t="shared" si="126"/>
        <v>0</v>
      </c>
      <c r="F878" s="41"/>
      <c r="G878" s="41"/>
      <c r="H878" s="41"/>
      <c r="I878" s="41"/>
      <c r="J878" s="42"/>
      <c r="K878" s="41"/>
      <c r="L878" s="41"/>
      <c r="M878" s="41"/>
      <c r="N878" s="41"/>
      <c r="O878" s="41" t="str">
        <f t="shared" si="124"/>
        <v>NO</v>
      </c>
      <c r="P878" s="41" t="str">
        <f t="shared" si="125"/>
        <v>🟡</v>
      </c>
      <c r="Q878" s="41"/>
    </row>
    <row r="879" spans="1:17" ht="18" hidden="1" customHeight="1" x14ac:dyDescent="0.4">
      <c r="A879" s="41">
        <f t="shared" si="122"/>
        <v>878</v>
      </c>
      <c r="B879" s="41" t="str">
        <f t="shared" si="123"/>
        <v/>
      </c>
      <c r="C879" s="41"/>
      <c r="D879" s="41"/>
      <c r="E879" s="41">
        <f t="shared" si="126"/>
        <v>0</v>
      </c>
      <c r="F879" s="41"/>
      <c r="G879" s="41"/>
      <c r="H879" s="41"/>
      <c r="I879" s="41"/>
      <c r="J879" s="42"/>
      <c r="K879" s="41"/>
      <c r="L879" s="41"/>
      <c r="M879" s="41"/>
      <c r="N879" s="41"/>
      <c r="O879" s="41" t="str">
        <f t="shared" si="124"/>
        <v>NO</v>
      </c>
      <c r="P879" s="41" t="str">
        <f t="shared" si="125"/>
        <v>🟡</v>
      </c>
      <c r="Q879" s="41"/>
    </row>
    <row r="880" spans="1:17" ht="18" hidden="1" customHeight="1" x14ac:dyDescent="0.4">
      <c r="A880" s="41">
        <f t="shared" si="122"/>
        <v>879</v>
      </c>
      <c r="B880" s="41" t="str">
        <f t="shared" si="123"/>
        <v/>
      </c>
      <c r="C880" s="41"/>
      <c r="D880" s="41"/>
      <c r="E880" s="41">
        <f t="shared" si="126"/>
        <v>0</v>
      </c>
      <c r="F880" s="41"/>
      <c r="G880" s="41"/>
      <c r="H880" s="41"/>
      <c r="I880" s="41"/>
      <c r="J880" s="42"/>
      <c r="K880" s="41"/>
      <c r="L880" s="41"/>
      <c r="M880" s="41"/>
      <c r="N880" s="41"/>
      <c r="O880" s="41" t="str">
        <f t="shared" si="124"/>
        <v>NO</v>
      </c>
      <c r="P880" s="41" t="str">
        <f t="shared" si="125"/>
        <v>🟡</v>
      </c>
      <c r="Q880" s="41"/>
    </row>
    <row r="881" spans="1:17" ht="18" hidden="1" customHeight="1" x14ac:dyDescent="0.4">
      <c r="A881" s="41">
        <f t="shared" si="122"/>
        <v>880</v>
      </c>
      <c r="B881" s="41" t="str">
        <f t="shared" si="123"/>
        <v/>
      </c>
      <c r="C881" s="41"/>
      <c r="D881" s="41"/>
      <c r="E881" s="41">
        <f t="shared" si="126"/>
        <v>0</v>
      </c>
      <c r="F881" s="41"/>
      <c r="G881" s="41"/>
      <c r="H881" s="41"/>
      <c r="I881" s="41"/>
      <c r="J881" s="42"/>
      <c r="K881" s="41"/>
      <c r="L881" s="41"/>
      <c r="M881" s="41"/>
      <c r="N881" s="41"/>
      <c r="O881" s="41" t="str">
        <f t="shared" si="124"/>
        <v>NO</v>
      </c>
      <c r="P881" s="41" t="str">
        <f t="shared" si="125"/>
        <v>🟡</v>
      </c>
      <c r="Q881" s="41"/>
    </row>
    <row r="882" spans="1:17" ht="18" hidden="1" customHeight="1" x14ac:dyDescent="0.4">
      <c r="A882" s="41">
        <f t="shared" si="122"/>
        <v>881</v>
      </c>
      <c r="B882" s="41" t="str">
        <f t="shared" si="123"/>
        <v/>
      </c>
      <c r="C882" s="41"/>
      <c r="D882" s="41"/>
      <c r="E882" s="41">
        <f t="shared" si="126"/>
        <v>0</v>
      </c>
      <c r="F882" s="41"/>
      <c r="G882" s="41"/>
      <c r="H882" s="41"/>
      <c r="I882" s="41"/>
      <c r="J882" s="42"/>
      <c r="K882" s="41"/>
      <c r="L882" s="41"/>
      <c r="M882" s="41"/>
      <c r="N882" s="41"/>
      <c r="O882" s="41" t="str">
        <f t="shared" si="124"/>
        <v>NO</v>
      </c>
      <c r="P882" s="41" t="str">
        <f t="shared" si="125"/>
        <v>🟡</v>
      </c>
      <c r="Q882" s="41"/>
    </row>
    <row r="883" spans="1:17" ht="18" hidden="1" customHeight="1" x14ac:dyDescent="0.4">
      <c r="A883" s="41">
        <f t="shared" si="122"/>
        <v>882</v>
      </c>
      <c r="B883" s="41" t="str">
        <f t="shared" si="123"/>
        <v/>
      </c>
      <c r="C883" s="41"/>
      <c r="D883" s="41"/>
      <c r="E883" s="41">
        <f t="shared" si="126"/>
        <v>0</v>
      </c>
      <c r="F883" s="41"/>
      <c r="G883" s="41"/>
      <c r="H883" s="41"/>
      <c r="I883" s="41"/>
      <c r="J883" s="42"/>
      <c r="K883" s="41"/>
      <c r="L883" s="41"/>
      <c r="M883" s="41"/>
      <c r="N883" s="41"/>
      <c r="O883" s="41" t="str">
        <f t="shared" si="124"/>
        <v>NO</v>
      </c>
      <c r="P883" s="41" t="str">
        <f t="shared" si="125"/>
        <v>🟡</v>
      </c>
      <c r="Q883" s="41"/>
    </row>
    <row r="884" spans="1:17" ht="18" hidden="1" customHeight="1" x14ac:dyDescent="0.4">
      <c r="A884" s="41">
        <f t="shared" si="122"/>
        <v>883</v>
      </c>
      <c r="B884" s="41" t="str">
        <f t="shared" si="123"/>
        <v/>
      </c>
      <c r="C884" s="41"/>
      <c r="D884" s="41"/>
      <c r="E884" s="41">
        <f t="shared" si="126"/>
        <v>0</v>
      </c>
      <c r="F884" s="41"/>
      <c r="G884" s="41"/>
      <c r="H884" s="41"/>
      <c r="I884" s="41"/>
      <c r="J884" s="42"/>
      <c r="K884" s="41"/>
      <c r="L884" s="41"/>
      <c r="M884" s="41"/>
      <c r="N884" s="41"/>
      <c r="O884" s="41" t="str">
        <f t="shared" si="124"/>
        <v>NO</v>
      </c>
      <c r="P884" s="41" t="str">
        <f t="shared" si="125"/>
        <v>🟡</v>
      </c>
      <c r="Q884" s="41"/>
    </row>
    <row r="885" spans="1:17" ht="18" hidden="1" customHeight="1" x14ac:dyDescent="0.4">
      <c r="A885" s="41">
        <f t="shared" si="122"/>
        <v>884</v>
      </c>
      <c r="B885" s="41" t="str">
        <f t="shared" si="123"/>
        <v/>
      </c>
      <c r="C885" s="41"/>
      <c r="D885" s="41"/>
      <c r="E885" s="41">
        <f t="shared" si="126"/>
        <v>0</v>
      </c>
      <c r="F885" s="41"/>
      <c r="G885" s="41"/>
      <c r="H885" s="41"/>
      <c r="I885" s="41"/>
      <c r="J885" s="42"/>
      <c r="K885" s="41"/>
      <c r="L885" s="41"/>
      <c r="M885" s="41"/>
      <c r="N885" s="41"/>
      <c r="O885" s="41" t="str">
        <f t="shared" si="124"/>
        <v>NO</v>
      </c>
      <c r="P885" s="41" t="str">
        <f t="shared" si="125"/>
        <v>🟡</v>
      </c>
      <c r="Q885" s="41"/>
    </row>
    <row r="886" spans="1:17" ht="18" hidden="1" customHeight="1" x14ac:dyDescent="0.4">
      <c r="A886" s="41">
        <f t="shared" si="122"/>
        <v>885</v>
      </c>
      <c r="B886" s="41" t="str">
        <f t="shared" si="123"/>
        <v/>
      </c>
      <c r="C886" s="41"/>
      <c r="D886" s="41"/>
      <c r="E886" s="41">
        <f t="shared" si="126"/>
        <v>0</v>
      </c>
      <c r="F886" s="41"/>
      <c r="G886" s="41"/>
      <c r="H886" s="41"/>
      <c r="I886" s="41"/>
      <c r="J886" s="42"/>
      <c r="K886" s="41"/>
      <c r="L886" s="41"/>
      <c r="M886" s="41"/>
      <c r="N886" s="41"/>
      <c r="O886" s="41" t="str">
        <f t="shared" si="124"/>
        <v>NO</v>
      </c>
      <c r="P886" s="41" t="str">
        <f t="shared" si="125"/>
        <v>🟡</v>
      </c>
      <c r="Q886" s="41"/>
    </row>
    <row r="887" spans="1:17" ht="18" hidden="1" customHeight="1" x14ac:dyDescent="0.4">
      <c r="A887" s="41">
        <f t="shared" si="122"/>
        <v>886</v>
      </c>
      <c r="B887" s="41" t="str">
        <f t="shared" si="123"/>
        <v/>
      </c>
      <c r="C887" s="41"/>
      <c r="D887" s="41"/>
      <c r="E887" s="41">
        <f t="shared" si="126"/>
        <v>0</v>
      </c>
      <c r="F887" s="41"/>
      <c r="G887" s="41"/>
      <c r="H887" s="41"/>
      <c r="I887" s="41"/>
      <c r="J887" s="42"/>
      <c r="K887" s="41"/>
      <c r="L887" s="41"/>
      <c r="M887" s="41"/>
      <c r="N887" s="41"/>
      <c r="O887" s="41" t="str">
        <f t="shared" si="124"/>
        <v>NO</v>
      </c>
      <c r="P887" s="41" t="str">
        <f t="shared" si="125"/>
        <v>🟡</v>
      </c>
      <c r="Q887" s="41"/>
    </row>
    <row r="888" spans="1:17" ht="18" hidden="1" customHeight="1" x14ac:dyDescent="0.4">
      <c r="A888" s="41">
        <f t="shared" si="122"/>
        <v>887</v>
      </c>
      <c r="B888" s="41" t="str">
        <f t="shared" si="123"/>
        <v/>
      </c>
      <c r="C888" s="41"/>
      <c r="D888" s="41"/>
      <c r="E888" s="41">
        <f t="shared" si="126"/>
        <v>0</v>
      </c>
      <c r="F888" s="41"/>
      <c r="G888" s="41"/>
      <c r="H888" s="41"/>
      <c r="I888" s="41"/>
      <c r="J888" s="42"/>
      <c r="K888" s="41"/>
      <c r="L888" s="41"/>
      <c r="M888" s="41"/>
      <c r="N888" s="41"/>
      <c r="O888" s="41" t="str">
        <f t="shared" si="124"/>
        <v>NO</v>
      </c>
      <c r="P888" s="41" t="str">
        <f t="shared" si="125"/>
        <v>🟡</v>
      </c>
      <c r="Q888" s="41"/>
    </row>
    <row r="889" spans="1:17" ht="18" hidden="1" customHeight="1" x14ac:dyDescent="0.4">
      <c r="A889" s="41">
        <f t="shared" si="122"/>
        <v>888</v>
      </c>
      <c r="B889" s="41" t="str">
        <f t="shared" si="123"/>
        <v/>
      </c>
      <c r="C889" s="41"/>
      <c r="D889" s="41"/>
      <c r="E889" s="41">
        <f t="shared" si="126"/>
        <v>0</v>
      </c>
      <c r="F889" s="41"/>
      <c r="G889" s="41"/>
      <c r="H889" s="41"/>
      <c r="I889" s="41"/>
      <c r="J889" s="42"/>
      <c r="K889" s="41"/>
      <c r="L889" s="41"/>
      <c r="M889" s="41"/>
      <c r="N889" s="41"/>
      <c r="O889" s="41" t="str">
        <f t="shared" si="124"/>
        <v>NO</v>
      </c>
      <c r="P889" s="41" t="str">
        <f t="shared" si="125"/>
        <v>🟡</v>
      </c>
      <c r="Q889" s="41"/>
    </row>
    <row r="890" spans="1:17" ht="18" hidden="1" customHeight="1" x14ac:dyDescent="0.4">
      <c r="A890" s="41">
        <f t="shared" si="122"/>
        <v>889</v>
      </c>
      <c r="B890" s="41" t="str">
        <f t="shared" si="123"/>
        <v/>
      </c>
      <c r="C890" s="41"/>
      <c r="D890" s="41"/>
      <c r="E890" s="41">
        <f t="shared" si="126"/>
        <v>0</v>
      </c>
      <c r="F890" s="41"/>
      <c r="G890" s="41"/>
      <c r="H890" s="41"/>
      <c r="I890" s="41"/>
      <c r="J890" s="42"/>
      <c r="K890" s="41"/>
      <c r="L890" s="41"/>
      <c r="M890" s="41"/>
      <c r="N890" s="41"/>
      <c r="O890" s="41" t="str">
        <f t="shared" si="124"/>
        <v>NO</v>
      </c>
      <c r="P890" s="41" t="str">
        <f t="shared" si="125"/>
        <v>🟡</v>
      </c>
      <c r="Q890" s="41"/>
    </row>
    <row r="891" spans="1:17" ht="18" hidden="1" customHeight="1" x14ac:dyDescent="0.4">
      <c r="A891" s="41">
        <f t="shared" si="122"/>
        <v>890</v>
      </c>
      <c r="B891" s="41" t="str">
        <f t="shared" si="123"/>
        <v/>
      </c>
      <c r="C891" s="41"/>
      <c r="D891" s="41"/>
      <c r="E891" s="41">
        <f t="shared" si="126"/>
        <v>0</v>
      </c>
      <c r="F891" s="41"/>
      <c r="G891" s="41"/>
      <c r="H891" s="41"/>
      <c r="I891" s="41"/>
      <c r="J891" s="42"/>
      <c r="K891" s="41"/>
      <c r="L891" s="41"/>
      <c r="M891" s="41"/>
      <c r="N891" s="41"/>
      <c r="O891" s="41" t="str">
        <f t="shared" si="124"/>
        <v>NO</v>
      </c>
      <c r="P891" s="41" t="str">
        <f t="shared" si="125"/>
        <v>🟡</v>
      </c>
      <c r="Q891" s="41"/>
    </row>
    <row r="892" spans="1:17" ht="18" hidden="1" customHeight="1" x14ac:dyDescent="0.4">
      <c r="A892" s="41">
        <f t="shared" si="122"/>
        <v>891</v>
      </c>
      <c r="B892" s="41" t="str">
        <f t="shared" si="123"/>
        <v/>
      </c>
      <c r="C892" s="41"/>
      <c r="D892" s="41"/>
      <c r="E892" s="41">
        <f t="shared" si="126"/>
        <v>0</v>
      </c>
      <c r="F892" s="41"/>
      <c r="G892" s="41"/>
      <c r="H892" s="41"/>
      <c r="I892" s="41"/>
      <c r="J892" s="42"/>
      <c r="K892" s="41"/>
      <c r="L892" s="41"/>
      <c r="M892" s="41"/>
      <c r="N892" s="41"/>
      <c r="O892" s="41" t="str">
        <f t="shared" si="124"/>
        <v>NO</v>
      </c>
      <c r="P892" s="41" t="str">
        <f t="shared" si="125"/>
        <v>🟡</v>
      </c>
      <c r="Q892" s="41"/>
    </row>
    <row r="893" spans="1:17" ht="18" hidden="1" customHeight="1" x14ac:dyDescent="0.4">
      <c r="A893" s="41">
        <f t="shared" si="122"/>
        <v>892</v>
      </c>
      <c r="B893" s="41" t="str">
        <f t="shared" si="123"/>
        <v/>
      </c>
      <c r="C893" s="41"/>
      <c r="D893" s="41"/>
      <c r="E893" s="41">
        <f t="shared" si="126"/>
        <v>0</v>
      </c>
      <c r="F893" s="41"/>
      <c r="G893" s="41"/>
      <c r="H893" s="41"/>
      <c r="I893" s="41"/>
      <c r="J893" s="42"/>
      <c r="K893" s="41"/>
      <c r="L893" s="41"/>
      <c r="M893" s="41"/>
      <c r="N893" s="41"/>
      <c r="O893" s="41" t="str">
        <f t="shared" si="124"/>
        <v>NO</v>
      </c>
      <c r="P893" s="41" t="str">
        <f t="shared" si="125"/>
        <v>🟡</v>
      </c>
      <c r="Q893" s="41"/>
    </row>
    <row r="894" spans="1:17" ht="18" hidden="1" customHeight="1" x14ac:dyDescent="0.4">
      <c r="A894" s="41">
        <f t="shared" si="122"/>
        <v>893</v>
      </c>
      <c r="B894" s="41" t="str">
        <f t="shared" si="123"/>
        <v/>
      </c>
      <c r="C894" s="41"/>
      <c r="D894" s="41"/>
      <c r="E894" s="41">
        <f t="shared" si="126"/>
        <v>0</v>
      </c>
      <c r="F894" s="41"/>
      <c r="G894" s="41"/>
      <c r="H894" s="41"/>
      <c r="I894" s="41"/>
      <c r="J894" s="42"/>
      <c r="K894" s="41"/>
      <c r="L894" s="41"/>
      <c r="M894" s="41"/>
      <c r="N894" s="41"/>
      <c r="O894" s="41" t="str">
        <f t="shared" si="124"/>
        <v>NO</v>
      </c>
      <c r="P894" s="41" t="str">
        <f t="shared" si="125"/>
        <v>🟡</v>
      </c>
      <c r="Q894" s="41"/>
    </row>
    <row r="895" spans="1:17" ht="18" hidden="1" customHeight="1" x14ac:dyDescent="0.4">
      <c r="A895" s="41">
        <f t="shared" si="122"/>
        <v>894</v>
      </c>
      <c r="B895" s="41" t="str">
        <f t="shared" si="123"/>
        <v/>
      </c>
      <c r="C895" s="41"/>
      <c r="D895" s="41"/>
      <c r="E895" s="41">
        <f t="shared" si="126"/>
        <v>0</v>
      </c>
      <c r="F895" s="41"/>
      <c r="G895" s="41"/>
      <c r="H895" s="41"/>
      <c r="I895" s="41"/>
      <c r="J895" s="42"/>
      <c r="K895" s="41"/>
      <c r="L895" s="41"/>
      <c r="M895" s="41"/>
      <c r="N895" s="41"/>
      <c r="O895" s="41" t="str">
        <f t="shared" si="124"/>
        <v>NO</v>
      </c>
      <c r="P895" s="41" t="str">
        <f t="shared" si="125"/>
        <v>🟡</v>
      </c>
      <c r="Q895" s="41"/>
    </row>
    <row r="896" spans="1:17" ht="18" hidden="1" customHeight="1" x14ac:dyDescent="0.4">
      <c r="A896" s="41">
        <f t="shared" si="122"/>
        <v>895</v>
      </c>
      <c r="B896" s="41" t="str">
        <f t="shared" si="123"/>
        <v/>
      </c>
      <c r="C896" s="41"/>
      <c r="D896" s="41"/>
      <c r="E896" s="41">
        <f t="shared" si="126"/>
        <v>0</v>
      </c>
      <c r="F896" s="41"/>
      <c r="G896" s="41"/>
      <c r="H896" s="41"/>
      <c r="I896" s="41"/>
      <c r="J896" s="42"/>
      <c r="K896" s="41"/>
      <c r="L896" s="41"/>
      <c r="M896" s="41"/>
      <c r="N896" s="41"/>
      <c r="O896" s="41" t="str">
        <f t="shared" si="124"/>
        <v>NO</v>
      </c>
      <c r="P896" s="41" t="str">
        <f t="shared" si="125"/>
        <v>🟡</v>
      </c>
      <c r="Q896" s="41"/>
    </row>
    <row r="897" spans="1:17" ht="18" hidden="1" customHeight="1" x14ac:dyDescent="0.4">
      <c r="A897" s="41">
        <f t="shared" si="122"/>
        <v>896</v>
      </c>
      <c r="B897" s="41" t="str">
        <f t="shared" si="123"/>
        <v/>
      </c>
      <c r="C897" s="41"/>
      <c r="D897" s="41"/>
      <c r="E897" s="41">
        <f t="shared" si="126"/>
        <v>0</v>
      </c>
      <c r="F897" s="41"/>
      <c r="G897" s="41"/>
      <c r="H897" s="41"/>
      <c r="I897" s="41"/>
      <c r="J897" s="42"/>
      <c r="K897" s="41"/>
      <c r="L897" s="41"/>
      <c r="M897" s="41"/>
      <c r="N897" s="41"/>
      <c r="O897" s="41" t="str">
        <f t="shared" si="124"/>
        <v>NO</v>
      </c>
      <c r="P897" s="41" t="str">
        <f t="shared" si="125"/>
        <v>🟡</v>
      </c>
      <c r="Q897" s="41"/>
    </row>
    <row r="898" spans="1:17" ht="18" hidden="1" customHeight="1" x14ac:dyDescent="0.4">
      <c r="A898" s="41">
        <f t="shared" si="122"/>
        <v>897</v>
      </c>
      <c r="B898" s="41" t="str">
        <f t="shared" si="123"/>
        <v/>
      </c>
      <c r="C898" s="41"/>
      <c r="D898" s="41"/>
      <c r="E898" s="41">
        <f t="shared" si="126"/>
        <v>0</v>
      </c>
      <c r="F898" s="41"/>
      <c r="G898" s="41"/>
      <c r="H898" s="41"/>
      <c r="I898" s="41"/>
      <c r="J898" s="42"/>
      <c r="K898" s="41"/>
      <c r="L898" s="41"/>
      <c r="M898" s="41"/>
      <c r="N898" s="41"/>
      <c r="O898" s="41" t="str">
        <f t="shared" si="124"/>
        <v>NO</v>
      </c>
      <c r="P898" s="41" t="str">
        <f t="shared" si="125"/>
        <v>🟡</v>
      </c>
      <c r="Q898" s="41"/>
    </row>
    <row r="899" spans="1:17" ht="18" hidden="1" customHeight="1" x14ac:dyDescent="0.4">
      <c r="A899" s="41">
        <f t="shared" si="122"/>
        <v>898</v>
      </c>
      <c r="B899" s="41" t="str">
        <f t="shared" si="123"/>
        <v/>
      </c>
      <c r="C899" s="41"/>
      <c r="D899" s="41"/>
      <c r="E899" s="41">
        <f t="shared" si="126"/>
        <v>0</v>
      </c>
      <c r="F899" s="41"/>
      <c r="G899" s="41"/>
      <c r="H899" s="41"/>
      <c r="I899" s="41"/>
      <c r="J899" s="42"/>
      <c r="K899" s="41"/>
      <c r="L899" s="41"/>
      <c r="M899" s="41"/>
      <c r="N899" s="41"/>
      <c r="O899" s="41" t="str">
        <f t="shared" si="124"/>
        <v>NO</v>
      </c>
      <c r="P899" s="41" t="str">
        <f t="shared" si="125"/>
        <v>🟡</v>
      </c>
      <c r="Q899" s="41"/>
    </row>
    <row r="900" spans="1:17" ht="18" hidden="1" customHeight="1" x14ac:dyDescent="0.4">
      <c r="A900" s="41">
        <f t="shared" si="122"/>
        <v>899</v>
      </c>
      <c r="B900" s="41" t="str">
        <f t="shared" si="123"/>
        <v/>
      </c>
      <c r="C900" s="41"/>
      <c r="D900" s="41"/>
      <c r="E900" s="41">
        <f t="shared" si="126"/>
        <v>0</v>
      </c>
      <c r="F900" s="41"/>
      <c r="G900" s="41"/>
      <c r="H900" s="41"/>
      <c r="I900" s="41"/>
      <c r="J900" s="42"/>
      <c r="K900" s="41"/>
      <c r="L900" s="41"/>
      <c r="M900" s="41"/>
      <c r="N900" s="41"/>
      <c r="O900" s="41" t="str">
        <f t="shared" si="124"/>
        <v>NO</v>
      </c>
      <c r="P900" s="41" t="str">
        <f t="shared" si="125"/>
        <v>🟡</v>
      </c>
      <c r="Q900" s="41"/>
    </row>
    <row r="901" spans="1:17" ht="18" hidden="1" customHeight="1" x14ac:dyDescent="0.4">
      <c r="A901" s="41">
        <f t="shared" si="122"/>
        <v>900</v>
      </c>
      <c r="B901" s="41" t="str">
        <f t="shared" si="123"/>
        <v/>
      </c>
      <c r="C901" s="41"/>
      <c r="D901" s="41"/>
      <c r="E901" s="41">
        <f t="shared" si="126"/>
        <v>0</v>
      </c>
      <c r="F901" s="41"/>
      <c r="G901" s="41"/>
      <c r="H901" s="41"/>
      <c r="I901" s="41"/>
      <c r="J901" s="42"/>
      <c r="K901" s="41"/>
      <c r="L901" s="41"/>
      <c r="M901" s="41"/>
      <c r="N901" s="41"/>
      <c r="O901" s="41" t="str">
        <f t="shared" si="124"/>
        <v>NO</v>
      </c>
      <c r="P901" s="41" t="str">
        <f t="shared" si="125"/>
        <v>🟡</v>
      </c>
      <c r="Q901" s="41"/>
    </row>
    <row r="902" spans="1:17" ht="18" hidden="1" customHeight="1" x14ac:dyDescent="0.4">
      <c r="A902" s="41">
        <f t="shared" si="122"/>
        <v>901</v>
      </c>
      <c r="B902" s="41" t="str">
        <f t="shared" si="123"/>
        <v/>
      </c>
      <c r="C902" s="41"/>
      <c r="D902" s="41"/>
      <c r="E902" s="41">
        <f t="shared" si="126"/>
        <v>0</v>
      </c>
      <c r="F902" s="41"/>
      <c r="G902" s="41"/>
      <c r="H902" s="41"/>
      <c r="I902" s="41"/>
      <c r="J902" s="42"/>
      <c r="K902" s="41"/>
      <c r="L902" s="41"/>
      <c r="M902" s="41"/>
      <c r="N902" s="41"/>
      <c r="O902" s="41" t="str">
        <f t="shared" si="124"/>
        <v>NO</v>
      </c>
      <c r="P902" s="41" t="str">
        <f t="shared" si="125"/>
        <v>🟡</v>
      </c>
      <c r="Q902" s="41"/>
    </row>
    <row r="903" spans="1:17" ht="18" hidden="1" customHeight="1" x14ac:dyDescent="0.4">
      <c r="A903" s="41">
        <f t="shared" si="122"/>
        <v>902</v>
      </c>
      <c r="B903" s="41" t="str">
        <f t="shared" si="123"/>
        <v/>
      </c>
      <c r="C903" s="41"/>
      <c r="D903" s="41"/>
      <c r="E903" s="41">
        <f t="shared" si="126"/>
        <v>0</v>
      </c>
      <c r="F903" s="41"/>
      <c r="G903" s="41"/>
      <c r="H903" s="41"/>
      <c r="I903" s="41"/>
      <c r="J903" s="42"/>
      <c r="K903" s="41"/>
      <c r="L903" s="41"/>
      <c r="M903" s="41"/>
      <c r="N903" s="41"/>
      <c r="O903" s="41" t="str">
        <f t="shared" si="124"/>
        <v>NO</v>
      </c>
      <c r="P903" s="41" t="str">
        <f t="shared" si="125"/>
        <v>🟡</v>
      </c>
      <c r="Q903" s="41"/>
    </row>
    <row r="904" spans="1:17" ht="18" hidden="1" customHeight="1" x14ac:dyDescent="0.4">
      <c r="A904" s="41">
        <f t="shared" si="122"/>
        <v>903</v>
      </c>
      <c r="B904" s="41" t="str">
        <f t="shared" si="123"/>
        <v/>
      </c>
      <c r="C904" s="41"/>
      <c r="D904" s="41"/>
      <c r="E904" s="41">
        <f t="shared" si="126"/>
        <v>0</v>
      </c>
      <c r="F904" s="41"/>
      <c r="G904" s="41"/>
      <c r="H904" s="41"/>
      <c r="I904" s="41"/>
      <c r="J904" s="42"/>
      <c r="K904" s="41"/>
      <c r="L904" s="41"/>
      <c r="M904" s="41"/>
      <c r="N904" s="41"/>
      <c r="O904" s="41" t="str">
        <f t="shared" si="124"/>
        <v>NO</v>
      </c>
      <c r="P904" s="41" t="str">
        <f t="shared" si="125"/>
        <v>🟡</v>
      </c>
      <c r="Q904" s="41"/>
    </row>
    <row r="905" spans="1:17" ht="18" hidden="1" customHeight="1" x14ac:dyDescent="0.4">
      <c r="A905" s="41">
        <f t="shared" si="122"/>
        <v>904</v>
      </c>
      <c r="B905" s="41" t="str">
        <f t="shared" si="123"/>
        <v/>
      </c>
      <c r="C905" s="41"/>
      <c r="D905" s="41"/>
      <c r="E905" s="41">
        <f t="shared" si="126"/>
        <v>0</v>
      </c>
      <c r="F905" s="41"/>
      <c r="G905" s="41"/>
      <c r="H905" s="41"/>
      <c r="I905" s="41"/>
      <c r="J905" s="42"/>
      <c r="K905" s="41"/>
      <c r="L905" s="41"/>
      <c r="M905" s="41"/>
      <c r="N905" s="41"/>
      <c r="O905" s="41" t="str">
        <f t="shared" si="124"/>
        <v>NO</v>
      </c>
      <c r="P905" s="41" t="str">
        <f t="shared" si="125"/>
        <v>🟡</v>
      </c>
      <c r="Q905" s="41"/>
    </row>
    <row r="906" spans="1:17" ht="18" hidden="1" customHeight="1" x14ac:dyDescent="0.4">
      <c r="A906" s="41">
        <f t="shared" si="122"/>
        <v>905</v>
      </c>
      <c r="B906" s="41" t="str">
        <f t="shared" si="123"/>
        <v/>
      </c>
      <c r="C906" s="41"/>
      <c r="D906" s="41"/>
      <c r="E906" s="41">
        <f t="shared" si="126"/>
        <v>0</v>
      </c>
      <c r="F906" s="41"/>
      <c r="G906" s="41"/>
      <c r="H906" s="41"/>
      <c r="I906" s="41"/>
      <c r="J906" s="42"/>
      <c r="K906" s="41"/>
      <c r="L906" s="41"/>
      <c r="M906" s="41"/>
      <c r="N906" s="41"/>
      <c r="O906" s="41" t="str">
        <f t="shared" si="124"/>
        <v>NO</v>
      </c>
      <c r="P906" s="41" t="str">
        <f t="shared" si="125"/>
        <v>🟡</v>
      </c>
      <c r="Q906" s="41"/>
    </row>
    <row r="907" spans="1:17" ht="18" hidden="1" customHeight="1" x14ac:dyDescent="0.4">
      <c r="A907" s="41">
        <f t="shared" si="122"/>
        <v>906</v>
      </c>
      <c r="B907" s="41" t="str">
        <f t="shared" si="123"/>
        <v/>
      </c>
      <c r="C907" s="41"/>
      <c r="D907" s="41"/>
      <c r="E907" s="41">
        <f t="shared" si="126"/>
        <v>0</v>
      </c>
      <c r="F907" s="41"/>
      <c r="G907" s="41"/>
      <c r="H907" s="41"/>
      <c r="I907" s="41"/>
      <c r="J907" s="42"/>
      <c r="K907" s="41"/>
      <c r="L907" s="41"/>
      <c r="M907" s="41"/>
      <c r="N907" s="41"/>
      <c r="O907" s="41" t="str">
        <f t="shared" si="124"/>
        <v>NO</v>
      </c>
      <c r="P907" s="41" t="str">
        <f t="shared" si="125"/>
        <v>🟡</v>
      </c>
      <c r="Q907" s="41"/>
    </row>
    <row r="908" spans="1:17" ht="18" hidden="1" customHeight="1" x14ac:dyDescent="0.4">
      <c r="A908" s="41">
        <f t="shared" si="122"/>
        <v>907</v>
      </c>
      <c r="B908" s="41" t="str">
        <f t="shared" si="123"/>
        <v/>
      </c>
      <c r="C908" s="41"/>
      <c r="D908" s="41"/>
      <c r="E908" s="41">
        <f t="shared" si="126"/>
        <v>0</v>
      </c>
      <c r="F908" s="41"/>
      <c r="G908" s="41"/>
      <c r="H908" s="41"/>
      <c r="I908" s="41"/>
      <c r="J908" s="42"/>
      <c r="K908" s="41"/>
      <c r="L908" s="41"/>
      <c r="M908" s="41"/>
      <c r="N908" s="41"/>
      <c r="O908" s="41" t="str">
        <f t="shared" si="124"/>
        <v>NO</v>
      </c>
      <c r="P908" s="41" t="str">
        <f t="shared" si="125"/>
        <v>🟡</v>
      </c>
      <c r="Q908" s="41"/>
    </row>
    <row r="909" spans="1:17" ht="18" hidden="1" customHeight="1" x14ac:dyDescent="0.4">
      <c r="A909" s="41">
        <f t="shared" si="122"/>
        <v>908</v>
      </c>
      <c r="B909" s="41" t="str">
        <f t="shared" si="123"/>
        <v/>
      </c>
      <c r="C909" s="41"/>
      <c r="D909" s="41"/>
      <c r="E909" s="41">
        <f t="shared" si="126"/>
        <v>0</v>
      </c>
      <c r="F909" s="41"/>
      <c r="G909" s="41"/>
      <c r="H909" s="41"/>
      <c r="I909" s="41"/>
      <c r="J909" s="42"/>
      <c r="K909" s="41"/>
      <c r="L909" s="41"/>
      <c r="M909" s="41"/>
      <c r="N909" s="41"/>
      <c r="O909" s="41" t="str">
        <f t="shared" si="124"/>
        <v>NO</v>
      </c>
      <c r="P909" s="41" t="str">
        <f t="shared" si="125"/>
        <v>🟡</v>
      </c>
      <c r="Q909" s="41"/>
    </row>
    <row r="910" spans="1:17" ht="18" hidden="1" customHeight="1" x14ac:dyDescent="0.4">
      <c r="A910" s="41">
        <f t="shared" si="122"/>
        <v>909</v>
      </c>
      <c r="B910" s="41" t="str">
        <f t="shared" si="123"/>
        <v/>
      </c>
      <c r="C910" s="41"/>
      <c r="D910" s="41"/>
      <c r="E910" s="41">
        <f t="shared" si="126"/>
        <v>0</v>
      </c>
      <c r="F910" s="41"/>
      <c r="G910" s="41"/>
      <c r="H910" s="41"/>
      <c r="I910" s="41"/>
      <c r="J910" s="42"/>
      <c r="K910" s="41"/>
      <c r="L910" s="41"/>
      <c r="M910" s="41"/>
      <c r="N910" s="41"/>
      <c r="O910" s="41" t="str">
        <f t="shared" si="124"/>
        <v>NO</v>
      </c>
      <c r="P910" s="41" t="str">
        <f t="shared" si="125"/>
        <v>🟡</v>
      </c>
      <c r="Q910" s="41"/>
    </row>
    <row r="911" spans="1:17" ht="18" hidden="1" customHeight="1" x14ac:dyDescent="0.4">
      <c r="A911" s="41">
        <f t="shared" si="122"/>
        <v>910</v>
      </c>
      <c r="B911" s="41" t="str">
        <f t="shared" si="123"/>
        <v/>
      </c>
      <c r="C911" s="41"/>
      <c r="D911" s="41"/>
      <c r="E911" s="41">
        <f t="shared" si="126"/>
        <v>0</v>
      </c>
      <c r="F911" s="41"/>
      <c r="G911" s="41"/>
      <c r="H911" s="41"/>
      <c r="I911" s="41"/>
      <c r="J911" s="42"/>
      <c r="K911" s="41"/>
      <c r="L911" s="41"/>
      <c r="M911" s="41"/>
      <c r="N911" s="41"/>
      <c r="O911" s="41" t="str">
        <f t="shared" si="124"/>
        <v>NO</v>
      </c>
      <c r="P911" s="41" t="str">
        <f t="shared" si="125"/>
        <v>🟡</v>
      </c>
      <c r="Q911" s="41"/>
    </row>
    <row r="912" spans="1:17" ht="18" hidden="1" customHeight="1" x14ac:dyDescent="0.4">
      <c r="A912" s="41">
        <f t="shared" si="122"/>
        <v>911</v>
      </c>
      <c r="B912" s="41" t="str">
        <f t="shared" si="123"/>
        <v/>
      </c>
      <c r="C912" s="41"/>
      <c r="D912" s="41"/>
      <c r="E912" s="41">
        <f t="shared" si="126"/>
        <v>0</v>
      </c>
      <c r="F912" s="41"/>
      <c r="G912" s="41"/>
      <c r="H912" s="41"/>
      <c r="I912" s="41"/>
      <c r="J912" s="42"/>
      <c r="K912" s="41"/>
      <c r="L912" s="41"/>
      <c r="M912" s="41"/>
      <c r="N912" s="41"/>
      <c r="O912" s="41" t="str">
        <f t="shared" si="124"/>
        <v>NO</v>
      </c>
      <c r="P912" s="41" t="str">
        <f t="shared" si="125"/>
        <v>🟡</v>
      </c>
      <c r="Q912" s="41"/>
    </row>
    <row r="913" spans="1:17" ht="18" hidden="1" customHeight="1" x14ac:dyDescent="0.4">
      <c r="A913" s="41">
        <f t="shared" si="122"/>
        <v>912</v>
      </c>
      <c r="B913" s="41" t="str">
        <f t="shared" si="123"/>
        <v/>
      </c>
      <c r="C913" s="41"/>
      <c r="D913" s="41"/>
      <c r="E913" s="41">
        <f t="shared" si="126"/>
        <v>0</v>
      </c>
      <c r="F913" s="41"/>
      <c r="G913" s="41"/>
      <c r="H913" s="41"/>
      <c r="I913" s="41"/>
      <c r="J913" s="42"/>
      <c r="K913" s="41"/>
      <c r="L913" s="41"/>
      <c r="M913" s="41"/>
      <c r="N913" s="41"/>
      <c r="O913" s="41" t="str">
        <f t="shared" si="124"/>
        <v>NO</v>
      </c>
      <c r="P913" s="41" t="str">
        <f t="shared" si="125"/>
        <v>🟡</v>
      </c>
      <c r="Q913" s="41"/>
    </row>
    <row r="914" spans="1:17" ht="18" hidden="1" customHeight="1" x14ac:dyDescent="0.4">
      <c r="A914" s="41">
        <f t="shared" si="122"/>
        <v>913</v>
      </c>
      <c r="B914" s="41" t="str">
        <f t="shared" si="123"/>
        <v/>
      </c>
      <c r="C914" s="41"/>
      <c r="D914" s="41"/>
      <c r="E914" s="41">
        <f t="shared" si="126"/>
        <v>0</v>
      </c>
      <c r="F914" s="41"/>
      <c r="G914" s="41"/>
      <c r="H914" s="41"/>
      <c r="I914" s="41"/>
      <c r="J914" s="42"/>
      <c r="K914" s="41"/>
      <c r="L914" s="41"/>
      <c r="M914" s="41"/>
      <c r="N914" s="41"/>
      <c r="O914" s="41" t="str">
        <f t="shared" si="124"/>
        <v>NO</v>
      </c>
      <c r="P914" s="41" t="str">
        <f t="shared" si="125"/>
        <v>🟡</v>
      </c>
      <c r="Q914" s="41"/>
    </row>
    <row r="915" spans="1:17" ht="18" hidden="1" customHeight="1" x14ac:dyDescent="0.4">
      <c r="A915" s="41">
        <f t="shared" si="122"/>
        <v>914</v>
      </c>
      <c r="B915" s="41" t="str">
        <f t="shared" si="123"/>
        <v/>
      </c>
      <c r="C915" s="41"/>
      <c r="D915" s="41"/>
      <c r="E915" s="41">
        <f t="shared" si="126"/>
        <v>0</v>
      </c>
      <c r="F915" s="41"/>
      <c r="G915" s="41"/>
      <c r="H915" s="41"/>
      <c r="I915" s="41"/>
      <c r="J915" s="42"/>
      <c r="K915" s="41"/>
      <c r="L915" s="41"/>
      <c r="M915" s="41"/>
      <c r="N915" s="41"/>
      <c r="O915" s="41" t="str">
        <f t="shared" si="124"/>
        <v>NO</v>
      </c>
      <c r="P915" s="41" t="str">
        <f t="shared" si="125"/>
        <v>🟡</v>
      </c>
      <c r="Q915" s="41"/>
    </row>
    <row r="916" spans="1:17" ht="18" hidden="1" customHeight="1" x14ac:dyDescent="0.4">
      <c r="A916" s="41">
        <f t="shared" si="122"/>
        <v>915</v>
      </c>
      <c r="B916" s="41" t="str">
        <f t="shared" si="123"/>
        <v/>
      </c>
      <c r="C916" s="41"/>
      <c r="D916" s="41"/>
      <c r="E916" s="41">
        <f t="shared" si="126"/>
        <v>0</v>
      </c>
      <c r="F916" s="41"/>
      <c r="G916" s="41"/>
      <c r="H916" s="41"/>
      <c r="I916" s="41"/>
      <c r="J916" s="42"/>
      <c r="K916" s="41"/>
      <c r="L916" s="41"/>
      <c r="M916" s="41"/>
      <c r="N916" s="41"/>
      <c r="O916" s="41" t="str">
        <f t="shared" si="124"/>
        <v>NO</v>
      </c>
      <c r="P916" s="41" t="str">
        <f t="shared" si="125"/>
        <v>🟡</v>
      </c>
      <c r="Q916" s="41"/>
    </row>
    <row r="917" spans="1:17" ht="18" hidden="1" customHeight="1" x14ac:dyDescent="0.4">
      <c r="A917" s="41">
        <f t="shared" si="122"/>
        <v>916</v>
      </c>
      <c r="B917" s="41" t="str">
        <f t="shared" si="123"/>
        <v/>
      </c>
      <c r="C917" s="41"/>
      <c r="D917" s="41"/>
      <c r="E917" s="41">
        <f t="shared" si="126"/>
        <v>0</v>
      </c>
      <c r="F917" s="41"/>
      <c r="G917" s="41"/>
      <c r="H917" s="41"/>
      <c r="I917" s="41"/>
      <c r="J917" s="42"/>
      <c r="K917" s="41"/>
      <c r="L917" s="41"/>
      <c r="M917" s="41"/>
      <c r="N917" s="41"/>
      <c r="O917" s="41" t="str">
        <f t="shared" si="124"/>
        <v>NO</v>
      </c>
      <c r="P917" s="41" t="str">
        <f t="shared" si="125"/>
        <v>🟡</v>
      </c>
      <c r="Q917" s="41"/>
    </row>
    <row r="918" spans="1:17" ht="18" hidden="1" customHeight="1" x14ac:dyDescent="0.4">
      <c r="A918" s="41">
        <f t="shared" si="122"/>
        <v>917</v>
      </c>
      <c r="B918" s="41" t="str">
        <f t="shared" si="123"/>
        <v/>
      </c>
      <c r="C918" s="41"/>
      <c r="D918" s="41"/>
      <c r="E918" s="41">
        <f t="shared" si="126"/>
        <v>0</v>
      </c>
      <c r="F918" s="41"/>
      <c r="G918" s="41"/>
      <c r="H918" s="41"/>
      <c r="I918" s="41"/>
      <c r="J918" s="42"/>
      <c r="K918" s="41"/>
      <c r="L918" s="41"/>
      <c r="M918" s="41"/>
      <c r="N918" s="41"/>
      <c r="O918" s="41" t="str">
        <f t="shared" si="124"/>
        <v>NO</v>
      </c>
      <c r="P918" s="41" t="str">
        <f t="shared" si="125"/>
        <v>🟡</v>
      </c>
      <c r="Q918" s="41"/>
    </row>
    <row r="919" spans="1:17" ht="18" hidden="1" customHeight="1" x14ac:dyDescent="0.4">
      <c r="A919" s="41">
        <f t="shared" si="122"/>
        <v>918</v>
      </c>
      <c r="B919" s="41" t="str">
        <f t="shared" si="123"/>
        <v/>
      </c>
      <c r="C919" s="41"/>
      <c r="D919" s="41"/>
      <c r="E919" s="41">
        <f t="shared" si="126"/>
        <v>0</v>
      </c>
      <c r="F919" s="41"/>
      <c r="G919" s="41"/>
      <c r="H919" s="41"/>
      <c r="I919" s="41"/>
      <c r="J919" s="42"/>
      <c r="K919" s="41"/>
      <c r="L919" s="41"/>
      <c r="M919" s="41"/>
      <c r="N919" s="41"/>
      <c r="O919" s="41" t="str">
        <f t="shared" si="124"/>
        <v>NO</v>
      </c>
      <c r="P919" s="41" t="str">
        <f t="shared" si="125"/>
        <v>🟡</v>
      </c>
      <c r="Q919" s="41"/>
    </row>
    <row r="920" spans="1:17" ht="18" hidden="1" customHeight="1" x14ac:dyDescent="0.4">
      <c r="A920" s="41">
        <f t="shared" si="122"/>
        <v>919</v>
      </c>
      <c r="B920" s="41" t="str">
        <f t="shared" si="123"/>
        <v/>
      </c>
      <c r="C920" s="41"/>
      <c r="D920" s="41"/>
      <c r="E920" s="41">
        <f t="shared" si="126"/>
        <v>0</v>
      </c>
      <c r="F920" s="41"/>
      <c r="G920" s="41"/>
      <c r="H920" s="41"/>
      <c r="I920" s="41"/>
      <c r="J920" s="42"/>
      <c r="K920" s="41"/>
      <c r="L920" s="41"/>
      <c r="M920" s="41"/>
      <c r="N920" s="41"/>
      <c r="O920" s="41" t="str">
        <f t="shared" si="124"/>
        <v>NO</v>
      </c>
      <c r="P920" s="41" t="str">
        <f t="shared" si="125"/>
        <v>🟡</v>
      </c>
      <c r="Q920" s="41"/>
    </row>
    <row r="921" spans="1:17" ht="18" hidden="1" customHeight="1" x14ac:dyDescent="0.4">
      <c r="A921" s="41">
        <f t="shared" si="122"/>
        <v>920</v>
      </c>
      <c r="B921" s="41" t="str">
        <f t="shared" si="123"/>
        <v/>
      </c>
      <c r="C921" s="41"/>
      <c r="D921" s="41"/>
      <c r="E921" s="41">
        <f t="shared" si="126"/>
        <v>0</v>
      </c>
      <c r="F921" s="41"/>
      <c r="G921" s="41"/>
      <c r="H921" s="41"/>
      <c r="I921" s="41"/>
      <c r="J921" s="42"/>
      <c r="K921" s="41"/>
      <c r="L921" s="41"/>
      <c r="M921" s="41"/>
      <c r="N921" s="41"/>
      <c r="O921" s="41" t="str">
        <f t="shared" si="124"/>
        <v>NO</v>
      </c>
      <c r="P921" s="41" t="str">
        <f t="shared" si="125"/>
        <v>🟡</v>
      </c>
      <c r="Q921" s="41"/>
    </row>
    <row r="922" spans="1:17" ht="18" hidden="1" customHeight="1" x14ac:dyDescent="0.4">
      <c r="A922" s="41">
        <f t="shared" si="122"/>
        <v>921</v>
      </c>
      <c r="B922" s="41" t="str">
        <f t="shared" si="123"/>
        <v/>
      </c>
      <c r="C922" s="41"/>
      <c r="D922" s="41"/>
      <c r="E922" s="41">
        <f t="shared" si="126"/>
        <v>0</v>
      </c>
      <c r="F922" s="41"/>
      <c r="G922" s="41"/>
      <c r="H922" s="41"/>
      <c r="I922" s="41"/>
      <c r="J922" s="42"/>
      <c r="K922" s="41"/>
      <c r="L922" s="41"/>
      <c r="M922" s="41"/>
      <c r="N922" s="41"/>
      <c r="O922" s="41" t="str">
        <f t="shared" si="124"/>
        <v>NO</v>
      </c>
      <c r="P922" s="41" t="str">
        <f t="shared" si="125"/>
        <v>🟡</v>
      </c>
      <c r="Q922" s="41"/>
    </row>
    <row r="923" spans="1:17" ht="18" hidden="1" customHeight="1" x14ac:dyDescent="0.4">
      <c r="A923" s="41">
        <f t="shared" si="122"/>
        <v>922</v>
      </c>
      <c r="B923" s="41" t="str">
        <f t="shared" si="123"/>
        <v/>
      </c>
      <c r="C923" s="41"/>
      <c r="D923" s="41"/>
      <c r="E923" s="41">
        <f t="shared" si="126"/>
        <v>0</v>
      </c>
      <c r="F923" s="41"/>
      <c r="G923" s="41"/>
      <c r="H923" s="41"/>
      <c r="I923" s="41"/>
      <c r="J923" s="42"/>
      <c r="K923" s="41"/>
      <c r="L923" s="41"/>
      <c r="M923" s="41"/>
      <c r="N923" s="41"/>
      <c r="O923" s="41" t="str">
        <f t="shared" si="124"/>
        <v>NO</v>
      </c>
      <c r="P923" s="41" t="str">
        <f t="shared" si="125"/>
        <v>🟡</v>
      </c>
      <c r="Q923" s="41"/>
    </row>
    <row r="924" spans="1:17" ht="18" hidden="1" customHeight="1" x14ac:dyDescent="0.4">
      <c r="A924" s="41">
        <f t="shared" si="122"/>
        <v>923</v>
      </c>
      <c r="B924" s="41" t="str">
        <f t="shared" si="123"/>
        <v/>
      </c>
      <c r="C924" s="41"/>
      <c r="D924" s="41"/>
      <c r="E924" s="41">
        <f t="shared" si="126"/>
        <v>0</v>
      </c>
      <c r="F924" s="41"/>
      <c r="G924" s="41"/>
      <c r="H924" s="41"/>
      <c r="I924" s="41"/>
      <c r="J924" s="42"/>
      <c r="K924" s="41"/>
      <c r="L924" s="41"/>
      <c r="M924" s="41"/>
      <c r="N924" s="41"/>
      <c r="O924" s="41" t="str">
        <f t="shared" si="124"/>
        <v>NO</v>
      </c>
      <c r="P924" s="41" t="str">
        <f t="shared" si="125"/>
        <v>🟡</v>
      </c>
      <c r="Q924" s="41"/>
    </row>
    <row r="925" spans="1:17" ht="18" hidden="1" customHeight="1" x14ac:dyDescent="0.4">
      <c r="A925" s="41">
        <f t="shared" ref="A925:A988" si="127">IF(COUNTA(C925:K925)=0,"",ROW()-1)</f>
        <v>924</v>
      </c>
      <c r="B925" s="41" t="str">
        <f t="shared" ref="B925:B988" si="128">IF($F925&lt;&gt;"",$A925,"")</f>
        <v/>
      </c>
      <c r="C925" s="41"/>
      <c r="D925" s="41"/>
      <c r="E925" s="41">
        <f t="shared" si="126"/>
        <v>0</v>
      </c>
      <c r="F925" s="41"/>
      <c r="G925" s="41"/>
      <c r="H925" s="41"/>
      <c r="I925" s="41"/>
      <c r="J925" s="42"/>
      <c r="K925" s="41"/>
      <c r="L925" s="41"/>
      <c r="M925" s="41"/>
      <c r="N925" s="41"/>
      <c r="O925" s="41" t="str">
        <f t="shared" ref="O925:O988" si="129">IF(AND(UPPER($N925)="VIP",UPPER($J925)&lt;&gt;"NO",$F925&lt;&gt;""),"SI","NO")</f>
        <v>NO</v>
      </c>
      <c r="P925" s="41" t="str">
        <f t="shared" si="125"/>
        <v>🟡</v>
      </c>
      <c r="Q925" s="41"/>
    </row>
    <row r="926" spans="1:17" ht="18" hidden="1" customHeight="1" x14ac:dyDescent="0.4">
      <c r="A926" s="41">
        <f t="shared" si="127"/>
        <v>925</v>
      </c>
      <c r="B926" s="41" t="str">
        <f t="shared" si="128"/>
        <v/>
      </c>
      <c r="C926" s="41"/>
      <c r="D926" s="41"/>
      <c r="E926" s="41">
        <f t="shared" si="126"/>
        <v>0</v>
      </c>
      <c r="F926" s="41"/>
      <c r="G926" s="41"/>
      <c r="H926" s="41"/>
      <c r="I926" s="41"/>
      <c r="J926" s="42"/>
      <c r="K926" s="41"/>
      <c r="L926" s="41"/>
      <c r="M926" s="41"/>
      <c r="N926" s="41"/>
      <c r="O926" s="41" t="str">
        <f t="shared" si="129"/>
        <v>NO</v>
      </c>
      <c r="P926" s="41" t="str">
        <f t="shared" si="125"/>
        <v>🟡</v>
      </c>
      <c r="Q926" s="41"/>
    </row>
    <row r="927" spans="1:17" ht="18" hidden="1" customHeight="1" x14ac:dyDescent="0.4">
      <c r="A927" s="41">
        <f t="shared" si="127"/>
        <v>926</v>
      </c>
      <c r="B927" s="41" t="str">
        <f t="shared" si="128"/>
        <v/>
      </c>
      <c r="C927" s="41"/>
      <c r="D927" s="41"/>
      <c r="E927" s="41">
        <f t="shared" si="126"/>
        <v>0</v>
      </c>
      <c r="F927" s="41"/>
      <c r="G927" s="41"/>
      <c r="H927" s="41"/>
      <c r="I927" s="41"/>
      <c r="J927" s="42"/>
      <c r="K927" s="41"/>
      <c r="L927" s="41"/>
      <c r="M927" s="41"/>
      <c r="N927" s="41"/>
      <c r="O927" s="41" t="str">
        <f t="shared" si="129"/>
        <v>NO</v>
      </c>
      <c r="P927" s="41" t="str">
        <f t="shared" ref="P927:P990" si="130">IF(UPPER($J927)="SI","🟢",IF(UPPER($J927)="NO","🔴","🟡"))</f>
        <v>🟡</v>
      </c>
      <c r="Q927" s="41"/>
    </row>
    <row r="928" spans="1:17" ht="18" hidden="1" customHeight="1" x14ac:dyDescent="0.4">
      <c r="A928" s="41">
        <f t="shared" si="127"/>
        <v>927</v>
      </c>
      <c r="B928" s="41" t="str">
        <f t="shared" si="128"/>
        <v/>
      </c>
      <c r="C928" s="41"/>
      <c r="D928" s="41"/>
      <c r="E928" s="41">
        <f t="shared" si="126"/>
        <v>0</v>
      </c>
      <c r="F928" s="41"/>
      <c r="G928" s="41"/>
      <c r="H928" s="41"/>
      <c r="I928" s="41"/>
      <c r="J928" s="42"/>
      <c r="K928" s="41"/>
      <c r="L928" s="41"/>
      <c r="M928" s="41"/>
      <c r="N928" s="41"/>
      <c r="O928" s="41" t="str">
        <f t="shared" si="129"/>
        <v>NO</v>
      </c>
      <c r="P928" s="41" t="str">
        <f t="shared" si="130"/>
        <v>🟡</v>
      </c>
      <c r="Q928" s="41"/>
    </row>
    <row r="929" spans="1:17" ht="18" hidden="1" customHeight="1" x14ac:dyDescent="0.4">
      <c r="A929" s="41">
        <f t="shared" si="127"/>
        <v>928</v>
      </c>
      <c r="B929" s="41" t="str">
        <f t="shared" si="128"/>
        <v/>
      </c>
      <c r="C929" s="41"/>
      <c r="D929" s="41"/>
      <c r="E929" s="41">
        <f t="shared" si="126"/>
        <v>0</v>
      </c>
      <c r="F929" s="41"/>
      <c r="G929" s="41"/>
      <c r="H929" s="41"/>
      <c r="I929" s="41"/>
      <c r="J929" s="42"/>
      <c r="K929" s="41"/>
      <c r="L929" s="41"/>
      <c r="M929" s="41"/>
      <c r="N929" s="41"/>
      <c r="O929" s="41" t="str">
        <f t="shared" si="129"/>
        <v>NO</v>
      </c>
      <c r="P929" s="41" t="str">
        <f t="shared" si="130"/>
        <v>🟡</v>
      </c>
      <c r="Q929" s="41"/>
    </row>
    <row r="930" spans="1:17" ht="18" hidden="1" customHeight="1" x14ac:dyDescent="0.4">
      <c r="A930" s="41">
        <f t="shared" si="127"/>
        <v>929</v>
      </c>
      <c r="B930" s="41" t="str">
        <f t="shared" si="128"/>
        <v/>
      </c>
      <c r="C930" s="41"/>
      <c r="D930" s="41"/>
      <c r="E930" s="41">
        <f t="shared" si="126"/>
        <v>0</v>
      </c>
      <c r="F930" s="41"/>
      <c r="G930" s="41"/>
      <c r="H930" s="41"/>
      <c r="I930" s="41"/>
      <c r="J930" s="42"/>
      <c r="K930" s="41"/>
      <c r="L930" s="41"/>
      <c r="M930" s="41"/>
      <c r="N930" s="41"/>
      <c r="O930" s="41" t="str">
        <f t="shared" si="129"/>
        <v>NO</v>
      </c>
      <c r="P930" s="41" t="str">
        <f t="shared" si="130"/>
        <v>🟡</v>
      </c>
      <c r="Q930" s="41"/>
    </row>
    <row r="931" spans="1:17" ht="18" hidden="1" customHeight="1" x14ac:dyDescent="0.4">
      <c r="A931" s="41">
        <f t="shared" si="127"/>
        <v>930</v>
      </c>
      <c r="B931" s="41" t="str">
        <f t="shared" si="128"/>
        <v/>
      </c>
      <c r="C931" s="41"/>
      <c r="D931" s="41"/>
      <c r="E931" s="41">
        <f t="shared" si="126"/>
        <v>0</v>
      </c>
      <c r="F931" s="41"/>
      <c r="G931" s="41"/>
      <c r="H931" s="41"/>
      <c r="I931" s="41"/>
      <c r="J931" s="42"/>
      <c r="K931" s="41"/>
      <c r="L931" s="41"/>
      <c r="M931" s="41"/>
      <c r="N931" s="41"/>
      <c r="O931" s="41" t="str">
        <f t="shared" si="129"/>
        <v>NO</v>
      </c>
      <c r="P931" s="41" t="str">
        <f t="shared" si="130"/>
        <v>🟡</v>
      </c>
      <c r="Q931" s="41"/>
    </row>
    <row r="932" spans="1:17" ht="18" hidden="1" customHeight="1" x14ac:dyDescent="0.4">
      <c r="A932" s="41">
        <f t="shared" si="127"/>
        <v>931</v>
      </c>
      <c r="B932" s="41" t="str">
        <f t="shared" si="128"/>
        <v/>
      </c>
      <c r="C932" s="41"/>
      <c r="D932" s="41"/>
      <c r="E932" s="41">
        <f t="shared" ref="E932:E995" si="131">IF(UPPER($J932)="NO","",$N932)</f>
        <v>0</v>
      </c>
      <c r="F932" s="41"/>
      <c r="G932" s="41"/>
      <c r="H932" s="41"/>
      <c r="I932" s="41"/>
      <c r="J932" s="42"/>
      <c r="K932" s="41"/>
      <c r="L932" s="41"/>
      <c r="M932" s="41"/>
      <c r="N932" s="41"/>
      <c r="O932" s="41" t="str">
        <f t="shared" si="129"/>
        <v>NO</v>
      </c>
      <c r="P932" s="41" t="str">
        <f t="shared" si="130"/>
        <v>🟡</v>
      </c>
      <c r="Q932" s="41"/>
    </row>
    <row r="933" spans="1:17" ht="18" hidden="1" customHeight="1" x14ac:dyDescent="0.4">
      <c r="A933" s="41">
        <f t="shared" si="127"/>
        <v>932</v>
      </c>
      <c r="B933" s="41" t="str">
        <f t="shared" si="128"/>
        <v/>
      </c>
      <c r="C933" s="41"/>
      <c r="D933" s="41"/>
      <c r="E933" s="41">
        <f t="shared" si="131"/>
        <v>0</v>
      </c>
      <c r="F933" s="41"/>
      <c r="G933" s="41"/>
      <c r="H933" s="41"/>
      <c r="I933" s="41"/>
      <c r="J933" s="42"/>
      <c r="K933" s="41"/>
      <c r="L933" s="41"/>
      <c r="M933" s="41"/>
      <c r="N933" s="41"/>
      <c r="O933" s="41" t="str">
        <f t="shared" si="129"/>
        <v>NO</v>
      </c>
      <c r="P933" s="41" t="str">
        <f t="shared" si="130"/>
        <v>🟡</v>
      </c>
      <c r="Q933" s="41"/>
    </row>
    <row r="934" spans="1:17" ht="18" hidden="1" customHeight="1" x14ac:dyDescent="0.4">
      <c r="A934" s="41">
        <f t="shared" si="127"/>
        <v>933</v>
      </c>
      <c r="B934" s="41" t="str">
        <f t="shared" si="128"/>
        <v/>
      </c>
      <c r="C934" s="41"/>
      <c r="D934" s="41"/>
      <c r="E934" s="41">
        <f t="shared" si="131"/>
        <v>0</v>
      </c>
      <c r="F934" s="41"/>
      <c r="G934" s="41"/>
      <c r="H934" s="41"/>
      <c r="I934" s="41"/>
      <c r="J934" s="42"/>
      <c r="K934" s="41"/>
      <c r="L934" s="41"/>
      <c r="M934" s="41"/>
      <c r="N934" s="41"/>
      <c r="O934" s="41" t="str">
        <f t="shared" si="129"/>
        <v>NO</v>
      </c>
      <c r="P934" s="41" t="str">
        <f t="shared" si="130"/>
        <v>🟡</v>
      </c>
      <c r="Q934" s="41"/>
    </row>
    <row r="935" spans="1:17" ht="18" hidden="1" customHeight="1" x14ac:dyDescent="0.4">
      <c r="A935" s="41">
        <f t="shared" si="127"/>
        <v>934</v>
      </c>
      <c r="B935" s="41" t="str">
        <f t="shared" si="128"/>
        <v/>
      </c>
      <c r="C935" s="41"/>
      <c r="D935" s="41"/>
      <c r="E935" s="41">
        <f t="shared" si="131"/>
        <v>0</v>
      </c>
      <c r="F935" s="41"/>
      <c r="G935" s="41"/>
      <c r="H935" s="41"/>
      <c r="I935" s="41"/>
      <c r="J935" s="42"/>
      <c r="K935" s="41"/>
      <c r="L935" s="41"/>
      <c r="M935" s="41"/>
      <c r="N935" s="41"/>
      <c r="O935" s="41" t="str">
        <f t="shared" si="129"/>
        <v>NO</v>
      </c>
      <c r="P935" s="41" t="str">
        <f t="shared" si="130"/>
        <v>🟡</v>
      </c>
      <c r="Q935" s="41"/>
    </row>
    <row r="936" spans="1:17" ht="18" hidden="1" customHeight="1" x14ac:dyDescent="0.4">
      <c r="A936" s="41">
        <f t="shared" si="127"/>
        <v>935</v>
      </c>
      <c r="B936" s="41" t="str">
        <f t="shared" si="128"/>
        <v/>
      </c>
      <c r="C936" s="41"/>
      <c r="D936" s="41"/>
      <c r="E936" s="41">
        <f t="shared" si="131"/>
        <v>0</v>
      </c>
      <c r="F936" s="41"/>
      <c r="G936" s="41"/>
      <c r="H936" s="41"/>
      <c r="I936" s="41"/>
      <c r="J936" s="42"/>
      <c r="K936" s="41"/>
      <c r="L936" s="41"/>
      <c r="M936" s="41"/>
      <c r="N936" s="41"/>
      <c r="O936" s="41" t="str">
        <f t="shared" si="129"/>
        <v>NO</v>
      </c>
      <c r="P936" s="41" t="str">
        <f t="shared" si="130"/>
        <v>🟡</v>
      </c>
      <c r="Q936" s="41"/>
    </row>
    <row r="937" spans="1:17" ht="18" hidden="1" customHeight="1" x14ac:dyDescent="0.4">
      <c r="A937" s="41">
        <f t="shared" si="127"/>
        <v>936</v>
      </c>
      <c r="B937" s="41" t="str">
        <f t="shared" si="128"/>
        <v/>
      </c>
      <c r="C937" s="41"/>
      <c r="D937" s="41"/>
      <c r="E937" s="41">
        <f t="shared" si="131"/>
        <v>0</v>
      </c>
      <c r="F937" s="41"/>
      <c r="G937" s="41"/>
      <c r="H937" s="41"/>
      <c r="I937" s="41"/>
      <c r="J937" s="42"/>
      <c r="K937" s="41"/>
      <c r="L937" s="41"/>
      <c r="M937" s="41"/>
      <c r="N937" s="41"/>
      <c r="O937" s="41" t="str">
        <f t="shared" si="129"/>
        <v>NO</v>
      </c>
      <c r="P937" s="41" t="str">
        <f t="shared" si="130"/>
        <v>🟡</v>
      </c>
      <c r="Q937" s="41"/>
    </row>
    <row r="938" spans="1:17" ht="18" hidden="1" customHeight="1" x14ac:dyDescent="0.4">
      <c r="A938" s="41">
        <f t="shared" si="127"/>
        <v>937</v>
      </c>
      <c r="B938" s="41" t="str">
        <f t="shared" si="128"/>
        <v/>
      </c>
      <c r="C938" s="41"/>
      <c r="D938" s="41"/>
      <c r="E938" s="41">
        <f t="shared" si="131"/>
        <v>0</v>
      </c>
      <c r="F938" s="41"/>
      <c r="G938" s="41"/>
      <c r="H938" s="41"/>
      <c r="I938" s="41"/>
      <c r="J938" s="42"/>
      <c r="K938" s="41"/>
      <c r="L938" s="41"/>
      <c r="M938" s="41"/>
      <c r="N938" s="41"/>
      <c r="O938" s="41" t="str">
        <f t="shared" si="129"/>
        <v>NO</v>
      </c>
      <c r="P938" s="41" t="str">
        <f t="shared" si="130"/>
        <v>🟡</v>
      </c>
      <c r="Q938" s="41"/>
    </row>
    <row r="939" spans="1:17" ht="18" hidden="1" customHeight="1" x14ac:dyDescent="0.4">
      <c r="A939" s="41">
        <f t="shared" si="127"/>
        <v>938</v>
      </c>
      <c r="B939" s="41" t="str">
        <f t="shared" si="128"/>
        <v/>
      </c>
      <c r="C939" s="41"/>
      <c r="D939" s="41"/>
      <c r="E939" s="41">
        <f t="shared" si="131"/>
        <v>0</v>
      </c>
      <c r="F939" s="41"/>
      <c r="G939" s="41"/>
      <c r="H939" s="41"/>
      <c r="I939" s="41"/>
      <c r="J939" s="42"/>
      <c r="K939" s="41"/>
      <c r="L939" s="41"/>
      <c r="M939" s="41"/>
      <c r="N939" s="41"/>
      <c r="O939" s="41" t="str">
        <f t="shared" si="129"/>
        <v>NO</v>
      </c>
      <c r="P939" s="41" t="str">
        <f t="shared" si="130"/>
        <v>🟡</v>
      </c>
      <c r="Q939" s="41"/>
    </row>
    <row r="940" spans="1:17" ht="18" hidden="1" customHeight="1" x14ac:dyDescent="0.4">
      <c r="A940" s="41">
        <f t="shared" si="127"/>
        <v>939</v>
      </c>
      <c r="B940" s="41" t="str">
        <f t="shared" si="128"/>
        <v/>
      </c>
      <c r="C940" s="41"/>
      <c r="D940" s="41"/>
      <c r="E940" s="41">
        <f t="shared" si="131"/>
        <v>0</v>
      </c>
      <c r="F940" s="41"/>
      <c r="G940" s="41"/>
      <c r="H940" s="41"/>
      <c r="I940" s="41"/>
      <c r="J940" s="42"/>
      <c r="K940" s="41"/>
      <c r="L940" s="41"/>
      <c r="M940" s="41"/>
      <c r="N940" s="41"/>
      <c r="O940" s="41" t="str">
        <f t="shared" si="129"/>
        <v>NO</v>
      </c>
      <c r="P940" s="41" t="str">
        <f t="shared" si="130"/>
        <v>🟡</v>
      </c>
      <c r="Q940" s="41"/>
    </row>
    <row r="941" spans="1:17" ht="18" hidden="1" customHeight="1" x14ac:dyDescent="0.4">
      <c r="A941" s="41">
        <f t="shared" si="127"/>
        <v>940</v>
      </c>
      <c r="B941" s="41" t="str">
        <f t="shared" si="128"/>
        <v/>
      </c>
      <c r="C941" s="41"/>
      <c r="D941" s="41"/>
      <c r="E941" s="41">
        <f t="shared" si="131"/>
        <v>0</v>
      </c>
      <c r="F941" s="41"/>
      <c r="G941" s="41"/>
      <c r="H941" s="41"/>
      <c r="I941" s="41"/>
      <c r="J941" s="42"/>
      <c r="K941" s="41"/>
      <c r="L941" s="41"/>
      <c r="M941" s="41"/>
      <c r="N941" s="41"/>
      <c r="O941" s="41" t="str">
        <f t="shared" si="129"/>
        <v>NO</v>
      </c>
      <c r="P941" s="41" t="str">
        <f t="shared" si="130"/>
        <v>🟡</v>
      </c>
      <c r="Q941" s="41"/>
    </row>
    <row r="942" spans="1:17" ht="18" hidden="1" customHeight="1" x14ac:dyDescent="0.4">
      <c r="A942" s="41">
        <f t="shared" si="127"/>
        <v>941</v>
      </c>
      <c r="B942" s="41" t="str">
        <f t="shared" si="128"/>
        <v/>
      </c>
      <c r="C942" s="41"/>
      <c r="D942" s="41"/>
      <c r="E942" s="41">
        <f t="shared" si="131"/>
        <v>0</v>
      </c>
      <c r="F942" s="41"/>
      <c r="G942" s="41"/>
      <c r="H942" s="41"/>
      <c r="I942" s="41"/>
      <c r="J942" s="42"/>
      <c r="K942" s="41"/>
      <c r="L942" s="41"/>
      <c r="M942" s="41"/>
      <c r="N942" s="41"/>
      <c r="O942" s="41" t="str">
        <f t="shared" si="129"/>
        <v>NO</v>
      </c>
      <c r="P942" s="41" t="str">
        <f t="shared" si="130"/>
        <v>🟡</v>
      </c>
      <c r="Q942" s="41"/>
    </row>
    <row r="943" spans="1:17" ht="18" hidden="1" customHeight="1" x14ac:dyDescent="0.4">
      <c r="A943" s="41">
        <f t="shared" si="127"/>
        <v>942</v>
      </c>
      <c r="B943" s="41" t="str">
        <f t="shared" si="128"/>
        <v/>
      </c>
      <c r="C943" s="41"/>
      <c r="D943" s="41"/>
      <c r="E943" s="41">
        <f t="shared" si="131"/>
        <v>0</v>
      </c>
      <c r="F943" s="41"/>
      <c r="G943" s="41"/>
      <c r="H943" s="41"/>
      <c r="I943" s="41"/>
      <c r="J943" s="42"/>
      <c r="K943" s="41"/>
      <c r="L943" s="41"/>
      <c r="M943" s="41"/>
      <c r="N943" s="41"/>
      <c r="O943" s="41" t="str">
        <f t="shared" si="129"/>
        <v>NO</v>
      </c>
      <c r="P943" s="41" t="str">
        <f t="shared" si="130"/>
        <v>🟡</v>
      </c>
      <c r="Q943" s="41"/>
    </row>
    <row r="944" spans="1:17" ht="18" hidden="1" customHeight="1" x14ac:dyDescent="0.4">
      <c r="A944" s="41">
        <f t="shared" si="127"/>
        <v>943</v>
      </c>
      <c r="B944" s="41" t="str">
        <f t="shared" si="128"/>
        <v/>
      </c>
      <c r="C944" s="41"/>
      <c r="D944" s="41"/>
      <c r="E944" s="41">
        <f t="shared" si="131"/>
        <v>0</v>
      </c>
      <c r="F944" s="41"/>
      <c r="G944" s="41"/>
      <c r="H944" s="41"/>
      <c r="I944" s="41"/>
      <c r="J944" s="42"/>
      <c r="K944" s="41"/>
      <c r="L944" s="41"/>
      <c r="M944" s="41"/>
      <c r="N944" s="41"/>
      <c r="O944" s="41" t="str">
        <f t="shared" si="129"/>
        <v>NO</v>
      </c>
      <c r="P944" s="41" t="str">
        <f t="shared" si="130"/>
        <v>🟡</v>
      </c>
      <c r="Q944" s="41"/>
    </row>
    <row r="945" spans="1:17" ht="18" hidden="1" customHeight="1" x14ac:dyDescent="0.4">
      <c r="A945" s="41">
        <f t="shared" si="127"/>
        <v>944</v>
      </c>
      <c r="B945" s="41" t="str">
        <f t="shared" si="128"/>
        <v/>
      </c>
      <c r="C945" s="41"/>
      <c r="D945" s="41"/>
      <c r="E945" s="41">
        <f t="shared" si="131"/>
        <v>0</v>
      </c>
      <c r="F945" s="41"/>
      <c r="G945" s="41"/>
      <c r="H945" s="41"/>
      <c r="I945" s="41"/>
      <c r="J945" s="42"/>
      <c r="K945" s="41"/>
      <c r="L945" s="41"/>
      <c r="M945" s="41"/>
      <c r="N945" s="41"/>
      <c r="O945" s="41" t="str">
        <f t="shared" si="129"/>
        <v>NO</v>
      </c>
      <c r="P945" s="41" t="str">
        <f t="shared" si="130"/>
        <v>🟡</v>
      </c>
      <c r="Q945" s="41"/>
    </row>
    <row r="946" spans="1:17" ht="18" hidden="1" customHeight="1" x14ac:dyDescent="0.4">
      <c r="A946" s="41">
        <f t="shared" si="127"/>
        <v>945</v>
      </c>
      <c r="B946" s="41" t="str">
        <f t="shared" si="128"/>
        <v/>
      </c>
      <c r="C946" s="41"/>
      <c r="D946" s="41"/>
      <c r="E946" s="41">
        <f t="shared" si="131"/>
        <v>0</v>
      </c>
      <c r="F946" s="41"/>
      <c r="G946" s="41"/>
      <c r="H946" s="41"/>
      <c r="I946" s="41"/>
      <c r="J946" s="42"/>
      <c r="K946" s="41"/>
      <c r="L946" s="41"/>
      <c r="M946" s="41"/>
      <c r="N946" s="41"/>
      <c r="O946" s="41" t="str">
        <f t="shared" si="129"/>
        <v>NO</v>
      </c>
      <c r="P946" s="41" t="str">
        <f t="shared" si="130"/>
        <v>🟡</v>
      </c>
      <c r="Q946" s="41"/>
    </row>
    <row r="947" spans="1:17" ht="18" hidden="1" customHeight="1" x14ac:dyDescent="0.4">
      <c r="A947" s="41">
        <f t="shared" si="127"/>
        <v>946</v>
      </c>
      <c r="B947" s="41" t="str">
        <f t="shared" si="128"/>
        <v/>
      </c>
      <c r="C947" s="41"/>
      <c r="D947" s="41"/>
      <c r="E947" s="41">
        <f t="shared" si="131"/>
        <v>0</v>
      </c>
      <c r="F947" s="41"/>
      <c r="G947" s="41"/>
      <c r="H947" s="41"/>
      <c r="I947" s="41"/>
      <c r="J947" s="42"/>
      <c r="K947" s="41"/>
      <c r="L947" s="41"/>
      <c r="M947" s="41"/>
      <c r="N947" s="41"/>
      <c r="O947" s="41" t="str">
        <f t="shared" si="129"/>
        <v>NO</v>
      </c>
      <c r="P947" s="41" t="str">
        <f t="shared" si="130"/>
        <v>🟡</v>
      </c>
      <c r="Q947" s="41"/>
    </row>
    <row r="948" spans="1:17" ht="18" hidden="1" customHeight="1" x14ac:dyDescent="0.4">
      <c r="A948" s="41">
        <f t="shared" si="127"/>
        <v>947</v>
      </c>
      <c r="B948" s="41" t="str">
        <f t="shared" si="128"/>
        <v/>
      </c>
      <c r="C948" s="41"/>
      <c r="D948" s="41"/>
      <c r="E948" s="41">
        <f t="shared" si="131"/>
        <v>0</v>
      </c>
      <c r="F948" s="41"/>
      <c r="G948" s="41"/>
      <c r="H948" s="41"/>
      <c r="I948" s="41"/>
      <c r="J948" s="42"/>
      <c r="K948" s="41"/>
      <c r="L948" s="41"/>
      <c r="M948" s="41"/>
      <c r="N948" s="41"/>
      <c r="O948" s="41" t="str">
        <f t="shared" si="129"/>
        <v>NO</v>
      </c>
      <c r="P948" s="41" t="str">
        <f t="shared" si="130"/>
        <v>🟡</v>
      </c>
      <c r="Q948" s="41"/>
    </row>
    <row r="949" spans="1:17" ht="18" hidden="1" customHeight="1" x14ac:dyDescent="0.4">
      <c r="A949" s="41">
        <f t="shared" si="127"/>
        <v>948</v>
      </c>
      <c r="B949" s="41" t="str">
        <f t="shared" si="128"/>
        <v/>
      </c>
      <c r="C949" s="41"/>
      <c r="D949" s="41"/>
      <c r="E949" s="41">
        <f t="shared" si="131"/>
        <v>0</v>
      </c>
      <c r="F949" s="41"/>
      <c r="G949" s="41"/>
      <c r="H949" s="41"/>
      <c r="I949" s="41"/>
      <c r="J949" s="42"/>
      <c r="K949" s="41"/>
      <c r="L949" s="41"/>
      <c r="M949" s="41"/>
      <c r="N949" s="41"/>
      <c r="O949" s="41" t="str">
        <f t="shared" si="129"/>
        <v>NO</v>
      </c>
      <c r="P949" s="41" t="str">
        <f t="shared" si="130"/>
        <v>🟡</v>
      </c>
      <c r="Q949" s="41"/>
    </row>
    <row r="950" spans="1:17" ht="18" hidden="1" customHeight="1" x14ac:dyDescent="0.4">
      <c r="A950" s="41">
        <f t="shared" si="127"/>
        <v>949</v>
      </c>
      <c r="B950" s="41" t="str">
        <f t="shared" si="128"/>
        <v/>
      </c>
      <c r="C950" s="41"/>
      <c r="D950" s="41"/>
      <c r="E950" s="41">
        <f t="shared" si="131"/>
        <v>0</v>
      </c>
      <c r="F950" s="41"/>
      <c r="G950" s="41"/>
      <c r="H950" s="41"/>
      <c r="I950" s="41"/>
      <c r="J950" s="42"/>
      <c r="K950" s="41"/>
      <c r="L950" s="41"/>
      <c r="M950" s="41"/>
      <c r="N950" s="41"/>
      <c r="O950" s="41" t="str">
        <f t="shared" si="129"/>
        <v>NO</v>
      </c>
      <c r="P950" s="41" t="str">
        <f t="shared" si="130"/>
        <v>🟡</v>
      </c>
      <c r="Q950" s="41"/>
    </row>
    <row r="951" spans="1:17" ht="18" hidden="1" customHeight="1" x14ac:dyDescent="0.4">
      <c r="A951" s="41">
        <f t="shared" si="127"/>
        <v>950</v>
      </c>
      <c r="B951" s="41" t="str">
        <f t="shared" si="128"/>
        <v/>
      </c>
      <c r="C951" s="41"/>
      <c r="D951" s="41"/>
      <c r="E951" s="41">
        <f t="shared" si="131"/>
        <v>0</v>
      </c>
      <c r="F951" s="41"/>
      <c r="G951" s="41"/>
      <c r="H951" s="41"/>
      <c r="I951" s="41"/>
      <c r="J951" s="42"/>
      <c r="K951" s="41"/>
      <c r="L951" s="41"/>
      <c r="M951" s="41"/>
      <c r="N951" s="41"/>
      <c r="O951" s="41" t="str">
        <f t="shared" si="129"/>
        <v>NO</v>
      </c>
      <c r="P951" s="41" t="str">
        <f t="shared" si="130"/>
        <v>🟡</v>
      </c>
      <c r="Q951" s="41"/>
    </row>
    <row r="952" spans="1:17" ht="18" hidden="1" customHeight="1" x14ac:dyDescent="0.4">
      <c r="A952" s="41">
        <f t="shared" si="127"/>
        <v>951</v>
      </c>
      <c r="B952" s="41" t="str">
        <f t="shared" si="128"/>
        <v/>
      </c>
      <c r="C952" s="41"/>
      <c r="D952" s="41"/>
      <c r="E952" s="41">
        <f t="shared" si="131"/>
        <v>0</v>
      </c>
      <c r="F952" s="41"/>
      <c r="G952" s="41"/>
      <c r="H952" s="41"/>
      <c r="I952" s="41"/>
      <c r="J952" s="42"/>
      <c r="K952" s="41"/>
      <c r="L952" s="41"/>
      <c r="M952" s="41"/>
      <c r="N952" s="41"/>
      <c r="O952" s="41" t="str">
        <f t="shared" si="129"/>
        <v>NO</v>
      </c>
      <c r="P952" s="41" t="str">
        <f t="shared" si="130"/>
        <v>🟡</v>
      </c>
      <c r="Q952" s="41"/>
    </row>
    <row r="953" spans="1:17" ht="18" hidden="1" customHeight="1" x14ac:dyDescent="0.4">
      <c r="A953" s="41">
        <f t="shared" si="127"/>
        <v>952</v>
      </c>
      <c r="B953" s="41" t="str">
        <f t="shared" si="128"/>
        <v/>
      </c>
      <c r="C953" s="41"/>
      <c r="D953" s="41"/>
      <c r="E953" s="41">
        <f t="shared" si="131"/>
        <v>0</v>
      </c>
      <c r="F953" s="41"/>
      <c r="G953" s="41"/>
      <c r="H953" s="41"/>
      <c r="I953" s="41"/>
      <c r="J953" s="42"/>
      <c r="K953" s="41"/>
      <c r="L953" s="41"/>
      <c r="M953" s="41"/>
      <c r="N953" s="41"/>
      <c r="O953" s="41" t="str">
        <f t="shared" si="129"/>
        <v>NO</v>
      </c>
      <c r="P953" s="41" t="str">
        <f t="shared" si="130"/>
        <v>🟡</v>
      </c>
      <c r="Q953" s="41"/>
    </row>
    <row r="954" spans="1:17" ht="18" hidden="1" customHeight="1" x14ac:dyDescent="0.4">
      <c r="A954" s="41">
        <f t="shared" si="127"/>
        <v>953</v>
      </c>
      <c r="B954" s="41" t="str">
        <f t="shared" si="128"/>
        <v/>
      </c>
      <c r="C954" s="41"/>
      <c r="D954" s="41"/>
      <c r="E954" s="41">
        <f t="shared" si="131"/>
        <v>0</v>
      </c>
      <c r="F954" s="41"/>
      <c r="G954" s="41"/>
      <c r="H954" s="41"/>
      <c r="I954" s="41"/>
      <c r="J954" s="42"/>
      <c r="K954" s="41"/>
      <c r="L954" s="41"/>
      <c r="M954" s="41"/>
      <c r="N954" s="41"/>
      <c r="O954" s="41" t="str">
        <f t="shared" si="129"/>
        <v>NO</v>
      </c>
      <c r="P954" s="41" t="str">
        <f t="shared" si="130"/>
        <v>🟡</v>
      </c>
      <c r="Q954" s="41"/>
    </row>
    <row r="955" spans="1:17" ht="18" hidden="1" customHeight="1" x14ac:dyDescent="0.4">
      <c r="A955" s="41">
        <f t="shared" si="127"/>
        <v>954</v>
      </c>
      <c r="B955" s="41" t="str">
        <f t="shared" si="128"/>
        <v/>
      </c>
      <c r="C955" s="41"/>
      <c r="D955" s="41"/>
      <c r="E955" s="41">
        <f t="shared" si="131"/>
        <v>0</v>
      </c>
      <c r="F955" s="41"/>
      <c r="G955" s="41"/>
      <c r="H955" s="41"/>
      <c r="I955" s="41"/>
      <c r="J955" s="42"/>
      <c r="K955" s="41"/>
      <c r="L955" s="41"/>
      <c r="M955" s="41"/>
      <c r="N955" s="41"/>
      <c r="O955" s="41" t="str">
        <f t="shared" si="129"/>
        <v>NO</v>
      </c>
      <c r="P955" s="41" t="str">
        <f t="shared" si="130"/>
        <v>🟡</v>
      </c>
      <c r="Q955" s="41"/>
    </row>
    <row r="956" spans="1:17" ht="18" hidden="1" customHeight="1" x14ac:dyDescent="0.4">
      <c r="A956" s="41">
        <f t="shared" si="127"/>
        <v>955</v>
      </c>
      <c r="B956" s="41" t="str">
        <f t="shared" si="128"/>
        <v/>
      </c>
      <c r="C956" s="41"/>
      <c r="D956" s="41"/>
      <c r="E956" s="41">
        <f t="shared" si="131"/>
        <v>0</v>
      </c>
      <c r="F956" s="41"/>
      <c r="G956" s="41"/>
      <c r="H956" s="41"/>
      <c r="I956" s="41"/>
      <c r="J956" s="42"/>
      <c r="K956" s="41"/>
      <c r="L956" s="41"/>
      <c r="M956" s="41"/>
      <c r="N956" s="41"/>
      <c r="O956" s="41" t="str">
        <f t="shared" si="129"/>
        <v>NO</v>
      </c>
      <c r="P956" s="41" t="str">
        <f t="shared" si="130"/>
        <v>🟡</v>
      </c>
      <c r="Q956" s="41"/>
    </row>
    <row r="957" spans="1:17" ht="18" hidden="1" customHeight="1" x14ac:dyDescent="0.4">
      <c r="A957" s="41">
        <f t="shared" si="127"/>
        <v>956</v>
      </c>
      <c r="B957" s="41" t="str">
        <f t="shared" si="128"/>
        <v/>
      </c>
      <c r="C957" s="41"/>
      <c r="D957" s="41"/>
      <c r="E957" s="41">
        <f t="shared" si="131"/>
        <v>0</v>
      </c>
      <c r="F957" s="41"/>
      <c r="G957" s="41"/>
      <c r="H957" s="41"/>
      <c r="I957" s="41"/>
      <c r="J957" s="42"/>
      <c r="K957" s="41"/>
      <c r="L957" s="41"/>
      <c r="M957" s="41"/>
      <c r="N957" s="41"/>
      <c r="O957" s="41" t="str">
        <f t="shared" si="129"/>
        <v>NO</v>
      </c>
      <c r="P957" s="41" t="str">
        <f t="shared" si="130"/>
        <v>🟡</v>
      </c>
      <c r="Q957" s="41"/>
    </row>
    <row r="958" spans="1:17" ht="18" hidden="1" customHeight="1" x14ac:dyDescent="0.4">
      <c r="A958" s="41">
        <f t="shared" si="127"/>
        <v>957</v>
      </c>
      <c r="B958" s="41" t="str">
        <f t="shared" si="128"/>
        <v/>
      </c>
      <c r="C958" s="41"/>
      <c r="D958" s="41"/>
      <c r="E958" s="41">
        <f t="shared" si="131"/>
        <v>0</v>
      </c>
      <c r="F958" s="41"/>
      <c r="G958" s="41"/>
      <c r="H958" s="41"/>
      <c r="I958" s="41"/>
      <c r="J958" s="42"/>
      <c r="K958" s="41"/>
      <c r="L958" s="41"/>
      <c r="M958" s="41"/>
      <c r="N958" s="41"/>
      <c r="O958" s="41" t="str">
        <f t="shared" si="129"/>
        <v>NO</v>
      </c>
      <c r="P958" s="41" t="str">
        <f t="shared" si="130"/>
        <v>🟡</v>
      </c>
      <c r="Q958" s="41"/>
    </row>
    <row r="959" spans="1:17" ht="18" hidden="1" customHeight="1" x14ac:dyDescent="0.4">
      <c r="A959" s="41">
        <f t="shared" si="127"/>
        <v>958</v>
      </c>
      <c r="B959" s="41" t="str">
        <f t="shared" si="128"/>
        <v/>
      </c>
      <c r="C959" s="41"/>
      <c r="D959" s="41"/>
      <c r="E959" s="41">
        <f t="shared" si="131"/>
        <v>0</v>
      </c>
      <c r="F959" s="41"/>
      <c r="G959" s="41"/>
      <c r="H959" s="41"/>
      <c r="I959" s="41"/>
      <c r="J959" s="42"/>
      <c r="K959" s="41"/>
      <c r="L959" s="41"/>
      <c r="M959" s="41"/>
      <c r="N959" s="41"/>
      <c r="O959" s="41" t="str">
        <f t="shared" si="129"/>
        <v>NO</v>
      </c>
      <c r="P959" s="41" t="str">
        <f t="shared" si="130"/>
        <v>🟡</v>
      </c>
      <c r="Q959" s="41"/>
    </row>
    <row r="960" spans="1:17" ht="18" hidden="1" customHeight="1" x14ac:dyDescent="0.4">
      <c r="A960" s="41">
        <f t="shared" si="127"/>
        <v>959</v>
      </c>
      <c r="B960" s="41" t="str">
        <f t="shared" si="128"/>
        <v/>
      </c>
      <c r="C960" s="41"/>
      <c r="D960" s="41"/>
      <c r="E960" s="41">
        <f t="shared" si="131"/>
        <v>0</v>
      </c>
      <c r="F960" s="41"/>
      <c r="G960" s="41"/>
      <c r="H960" s="41"/>
      <c r="I960" s="41"/>
      <c r="J960" s="42"/>
      <c r="K960" s="41"/>
      <c r="L960" s="41"/>
      <c r="M960" s="41"/>
      <c r="N960" s="41"/>
      <c r="O960" s="41" t="str">
        <f t="shared" si="129"/>
        <v>NO</v>
      </c>
      <c r="P960" s="41" t="str">
        <f t="shared" si="130"/>
        <v>🟡</v>
      </c>
      <c r="Q960" s="41"/>
    </row>
    <row r="961" spans="1:17" ht="18" hidden="1" customHeight="1" x14ac:dyDescent="0.4">
      <c r="A961" s="41">
        <f t="shared" si="127"/>
        <v>960</v>
      </c>
      <c r="B961" s="41" t="str">
        <f t="shared" si="128"/>
        <v/>
      </c>
      <c r="C961" s="41"/>
      <c r="D961" s="41"/>
      <c r="E961" s="41">
        <f t="shared" si="131"/>
        <v>0</v>
      </c>
      <c r="F961" s="41"/>
      <c r="G961" s="41"/>
      <c r="H961" s="41"/>
      <c r="I961" s="41"/>
      <c r="J961" s="42"/>
      <c r="K961" s="41"/>
      <c r="L961" s="41"/>
      <c r="M961" s="41"/>
      <c r="N961" s="41"/>
      <c r="O961" s="41" t="str">
        <f t="shared" si="129"/>
        <v>NO</v>
      </c>
      <c r="P961" s="41" t="str">
        <f t="shared" si="130"/>
        <v>🟡</v>
      </c>
      <c r="Q961" s="41"/>
    </row>
    <row r="962" spans="1:17" ht="18" hidden="1" customHeight="1" x14ac:dyDescent="0.4">
      <c r="A962" s="41">
        <f t="shared" si="127"/>
        <v>961</v>
      </c>
      <c r="B962" s="41" t="str">
        <f t="shared" si="128"/>
        <v/>
      </c>
      <c r="C962" s="41"/>
      <c r="D962" s="41"/>
      <c r="E962" s="41">
        <f t="shared" si="131"/>
        <v>0</v>
      </c>
      <c r="F962" s="41"/>
      <c r="G962" s="41"/>
      <c r="H962" s="41"/>
      <c r="I962" s="41"/>
      <c r="J962" s="42"/>
      <c r="K962" s="41"/>
      <c r="L962" s="41"/>
      <c r="M962" s="41"/>
      <c r="N962" s="41"/>
      <c r="O962" s="41" t="str">
        <f t="shared" si="129"/>
        <v>NO</v>
      </c>
      <c r="P962" s="41" t="str">
        <f t="shared" si="130"/>
        <v>🟡</v>
      </c>
      <c r="Q962" s="41"/>
    </row>
    <row r="963" spans="1:17" ht="18" hidden="1" customHeight="1" x14ac:dyDescent="0.4">
      <c r="A963" s="41">
        <f t="shared" si="127"/>
        <v>962</v>
      </c>
      <c r="B963" s="41" t="str">
        <f t="shared" si="128"/>
        <v/>
      </c>
      <c r="C963" s="41"/>
      <c r="D963" s="41"/>
      <c r="E963" s="41">
        <f t="shared" si="131"/>
        <v>0</v>
      </c>
      <c r="F963" s="41"/>
      <c r="G963" s="41"/>
      <c r="H963" s="41"/>
      <c r="I963" s="41"/>
      <c r="J963" s="42"/>
      <c r="K963" s="41"/>
      <c r="L963" s="41"/>
      <c r="M963" s="41"/>
      <c r="N963" s="41"/>
      <c r="O963" s="41" t="str">
        <f t="shared" si="129"/>
        <v>NO</v>
      </c>
      <c r="P963" s="41" t="str">
        <f t="shared" si="130"/>
        <v>🟡</v>
      </c>
      <c r="Q963" s="41"/>
    </row>
    <row r="964" spans="1:17" ht="18" hidden="1" customHeight="1" x14ac:dyDescent="0.4">
      <c r="A964" s="41">
        <f t="shared" si="127"/>
        <v>963</v>
      </c>
      <c r="B964" s="41" t="str">
        <f t="shared" si="128"/>
        <v/>
      </c>
      <c r="C964" s="41"/>
      <c r="D964" s="41"/>
      <c r="E964" s="41">
        <f t="shared" si="131"/>
        <v>0</v>
      </c>
      <c r="F964" s="41"/>
      <c r="G964" s="41"/>
      <c r="H964" s="41"/>
      <c r="I964" s="41"/>
      <c r="J964" s="42"/>
      <c r="K964" s="41"/>
      <c r="L964" s="41"/>
      <c r="M964" s="41"/>
      <c r="N964" s="41"/>
      <c r="O964" s="41" t="str">
        <f t="shared" si="129"/>
        <v>NO</v>
      </c>
      <c r="P964" s="41" t="str">
        <f t="shared" si="130"/>
        <v>🟡</v>
      </c>
      <c r="Q964" s="41"/>
    </row>
    <row r="965" spans="1:17" ht="18" hidden="1" customHeight="1" x14ac:dyDescent="0.4">
      <c r="A965" s="41">
        <f t="shared" si="127"/>
        <v>964</v>
      </c>
      <c r="B965" s="41" t="str">
        <f t="shared" si="128"/>
        <v/>
      </c>
      <c r="C965" s="41"/>
      <c r="D965" s="41"/>
      <c r="E965" s="41">
        <f t="shared" si="131"/>
        <v>0</v>
      </c>
      <c r="F965" s="41"/>
      <c r="G965" s="41"/>
      <c r="H965" s="41"/>
      <c r="I965" s="41"/>
      <c r="J965" s="42"/>
      <c r="K965" s="41"/>
      <c r="L965" s="41"/>
      <c r="M965" s="41"/>
      <c r="N965" s="41"/>
      <c r="O965" s="41" t="str">
        <f t="shared" si="129"/>
        <v>NO</v>
      </c>
      <c r="P965" s="41" t="str">
        <f t="shared" si="130"/>
        <v>🟡</v>
      </c>
      <c r="Q965" s="41"/>
    </row>
    <row r="966" spans="1:17" ht="18" hidden="1" customHeight="1" x14ac:dyDescent="0.4">
      <c r="A966" s="41">
        <f t="shared" si="127"/>
        <v>965</v>
      </c>
      <c r="B966" s="41" t="str">
        <f t="shared" si="128"/>
        <v/>
      </c>
      <c r="C966" s="41"/>
      <c r="D966" s="41"/>
      <c r="E966" s="41">
        <f t="shared" si="131"/>
        <v>0</v>
      </c>
      <c r="F966" s="41"/>
      <c r="G966" s="41"/>
      <c r="H966" s="41"/>
      <c r="I966" s="41"/>
      <c r="J966" s="42"/>
      <c r="K966" s="41"/>
      <c r="L966" s="41"/>
      <c r="M966" s="41"/>
      <c r="N966" s="41"/>
      <c r="O966" s="41" t="str">
        <f t="shared" si="129"/>
        <v>NO</v>
      </c>
      <c r="P966" s="41" t="str">
        <f t="shared" si="130"/>
        <v>🟡</v>
      </c>
      <c r="Q966" s="41"/>
    </row>
    <row r="967" spans="1:17" ht="18" hidden="1" customHeight="1" x14ac:dyDescent="0.4">
      <c r="A967" s="41">
        <f t="shared" si="127"/>
        <v>966</v>
      </c>
      <c r="B967" s="41" t="str">
        <f t="shared" si="128"/>
        <v/>
      </c>
      <c r="C967" s="41"/>
      <c r="D967" s="41"/>
      <c r="E967" s="41">
        <f t="shared" si="131"/>
        <v>0</v>
      </c>
      <c r="F967" s="41"/>
      <c r="G967" s="41"/>
      <c r="H967" s="41"/>
      <c r="I967" s="41"/>
      <c r="J967" s="42"/>
      <c r="K967" s="41"/>
      <c r="L967" s="41"/>
      <c r="M967" s="41"/>
      <c r="N967" s="41"/>
      <c r="O967" s="41" t="str">
        <f t="shared" si="129"/>
        <v>NO</v>
      </c>
      <c r="P967" s="41" t="str">
        <f t="shared" si="130"/>
        <v>🟡</v>
      </c>
      <c r="Q967" s="41"/>
    </row>
    <row r="968" spans="1:17" ht="18" hidden="1" customHeight="1" x14ac:dyDescent="0.4">
      <c r="A968" s="41">
        <f t="shared" si="127"/>
        <v>967</v>
      </c>
      <c r="B968" s="41" t="str">
        <f t="shared" si="128"/>
        <v/>
      </c>
      <c r="C968" s="41"/>
      <c r="D968" s="41"/>
      <c r="E968" s="41">
        <f t="shared" si="131"/>
        <v>0</v>
      </c>
      <c r="F968" s="41"/>
      <c r="G968" s="41"/>
      <c r="H968" s="41"/>
      <c r="I968" s="41"/>
      <c r="J968" s="42"/>
      <c r="K968" s="41"/>
      <c r="L968" s="41"/>
      <c r="M968" s="41"/>
      <c r="N968" s="41"/>
      <c r="O968" s="41" t="str">
        <f t="shared" si="129"/>
        <v>NO</v>
      </c>
      <c r="P968" s="41" t="str">
        <f t="shared" si="130"/>
        <v>🟡</v>
      </c>
      <c r="Q968" s="41"/>
    </row>
    <row r="969" spans="1:17" ht="18" hidden="1" customHeight="1" x14ac:dyDescent="0.4">
      <c r="A969" s="41">
        <f t="shared" si="127"/>
        <v>968</v>
      </c>
      <c r="B969" s="41" t="str">
        <f t="shared" si="128"/>
        <v/>
      </c>
      <c r="C969" s="41"/>
      <c r="D969" s="41"/>
      <c r="E969" s="41">
        <f t="shared" si="131"/>
        <v>0</v>
      </c>
      <c r="F969" s="41"/>
      <c r="G969" s="41"/>
      <c r="H969" s="41"/>
      <c r="I969" s="41"/>
      <c r="J969" s="42"/>
      <c r="K969" s="41"/>
      <c r="L969" s="41"/>
      <c r="M969" s="41"/>
      <c r="N969" s="41"/>
      <c r="O969" s="41" t="str">
        <f t="shared" si="129"/>
        <v>NO</v>
      </c>
      <c r="P969" s="41" t="str">
        <f t="shared" si="130"/>
        <v>🟡</v>
      </c>
      <c r="Q969" s="41"/>
    </row>
    <row r="970" spans="1:17" ht="18" hidden="1" customHeight="1" x14ac:dyDescent="0.4">
      <c r="A970" s="41">
        <f t="shared" si="127"/>
        <v>969</v>
      </c>
      <c r="B970" s="41" t="str">
        <f t="shared" si="128"/>
        <v/>
      </c>
      <c r="C970" s="41"/>
      <c r="D970" s="41"/>
      <c r="E970" s="41">
        <f t="shared" si="131"/>
        <v>0</v>
      </c>
      <c r="F970" s="41"/>
      <c r="G970" s="41"/>
      <c r="H970" s="41"/>
      <c r="I970" s="41"/>
      <c r="J970" s="42"/>
      <c r="K970" s="41"/>
      <c r="L970" s="41"/>
      <c r="M970" s="41"/>
      <c r="N970" s="41"/>
      <c r="O970" s="41" t="str">
        <f t="shared" si="129"/>
        <v>NO</v>
      </c>
      <c r="P970" s="41" t="str">
        <f t="shared" si="130"/>
        <v>🟡</v>
      </c>
      <c r="Q970" s="41"/>
    </row>
    <row r="971" spans="1:17" ht="18" hidden="1" customHeight="1" x14ac:dyDescent="0.4">
      <c r="A971" s="41">
        <f t="shared" si="127"/>
        <v>970</v>
      </c>
      <c r="B971" s="41" t="str">
        <f t="shared" si="128"/>
        <v/>
      </c>
      <c r="C971" s="41"/>
      <c r="D971" s="41"/>
      <c r="E971" s="41">
        <f t="shared" si="131"/>
        <v>0</v>
      </c>
      <c r="F971" s="41"/>
      <c r="G971" s="41"/>
      <c r="H971" s="41"/>
      <c r="I971" s="41"/>
      <c r="J971" s="42"/>
      <c r="K971" s="41"/>
      <c r="L971" s="41"/>
      <c r="M971" s="41"/>
      <c r="N971" s="41"/>
      <c r="O971" s="41" t="str">
        <f t="shared" si="129"/>
        <v>NO</v>
      </c>
      <c r="P971" s="41" t="str">
        <f t="shared" si="130"/>
        <v>🟡</v>
      </c>
      <c r="Q971" s="41"/>
    </row>
    <row r="972" spans="1:17" ht="18" hidden="1" customHeight="1" x14ac:dyDescent="0.4">
      <c r="A972" s="41">
        <f t="shared" si="127"/>
        <v>971</v>
      </c>
      <c r="B972" s="41" t="str">
        <f t="shared" si="128"/>
        <v/>
      </c>
      <c r="C972" s="41"/>
      <c r="D972" s="41"/>
      <c r="E972" s="41">
        <f t="shared" si="131"/>
        <v>0</v>
      </c>
      <c r="F972" s="41"/>
      <c r="G972" s="41"/>
      <c r="H972" s="41"/>
      <c r="I972" s="41"/>
      <c r="J972" s="42"/>
      <c r="K972" s="41"/>
      <c r="L972" s="41"/>
      <c r="M972" s="41"/>
      <c r="N972" s="41"/>
      <c r="O972" s="41" t="str">
        <f t="shared" si="129"/>
        <v>NO</v>
      </c>
      <c r="P972" s="41" t="str">
        <f t="shared" si="130"/>
        <v>🟡</v>
      </c>
      <c r="Q972" s="41"/>
    </row>
    <row r="973" spans="1:17" ht="18" hidden="1" customHeight="1" x14ac:dyDescent="0.4">
      <c r="A973" s="41">
        <f t="shared" si="127"/>
        <v>972</v>
      </c>
      <c r="B973" s="41" t="str">
        <f t="shared" si="128"/>
        <v/>
      </c>
      <c r="C973" s="41"/>
      <c r="D973" s="41"/>
      <c r="E973" s="41">
        <f t="shared" si="131"/>
        <v>0</v>
      </c>
      <c r="F973" s="41"/>
      <c r="G973" s="41"/>
      <c r="H973" s="41"/>
      <c r="I973" s="41"/>
      <c r="J973" s="42"/>
      <c r="K973" s="41"/>
      <c r="L973" s="41"/>
      <c r="M973" s="41"/>
      <c r="N973" s="41"/>
      <c r="O973" s="41" t="str">
        <f t="shared" si="129"/>
        <v>NO</v>
      </c>
      <c r="P973" s="41" t="str">
        <f t="shared" si="130"/>
        <v>🟡</v>
      </c>
      <c r="Q973" s="41"/>
    </row>
    <row r="974" spans="1:17" ht="18" hidden="1" customHeight="1" x14ac:dyDescent="0.4">
      <c r="A974" s="41">
        <f t="shared" si="127"/>
        <v>973</v>
      </c>
      <c r="B974" s="41" t="str">
        <f t="shared" si="128"/>
        <v/>
      </c>
      <c r="C974" s="41"/>
      <c r="D974" s="41"/>
      <c r="E974" s="41">
        <f t="shared" si="131"/>
        <v>0</v>
      </c>
      <c r="F974" s="41"/>
      <c r="G974" s="41"/>
      <c r="H974" s="41"/>
      <c r="I974" s="41"/>
      <c r="J974" s="42"/>
      <c r="K974" s="41"/>
      <c r="L974" s="41"/>
      <c r="M974" s="41"/>
      <c r="N974" s="41"/>
      <c r="O974" s="41" t="str">
        <f t="shared" si="129"/>
        <v>NO</v>
      </c>
      <c r="P974" s="41" t="str">
        <f t="shared" si="130"/>
        <v>🟡</v>
      </c>
      <c r="Q974" s="41"/>
    </row>
    <row r="975" spans="1:17" ht="18" hidden="1" customHeight="1" x14ac:dyDescent="0.4">
      <c r="A975" s="41">
        <f t="shared" si="127"/>
        <v>974</v>
      </c>
      <c r="B975" s="41" t="str">
        <f t="shared" si="128"/>
        <v/>
      </c>
      <c r="C975" s="41"/>
      <c r="D975" s="41"/>
      <c r="E975" s="41">
        <f t="shared" si="131"/>
        <v>0</v>
      </c>
      <c r="F975" s="41"/>
      <c r="G975" s="41"/>
      <c r="H975" s="41"/>
      <c r="I975" s="41"/>
      <c r="J975" s="42"/>
      <c r="K975" s="41"/>
      <c r="L975" s="41"/>
      <c r="M975" s="41"/>
      <c r="N975" s="41"/>
      <c r="O975" s="41" t="str">
        <f t="shared" si="129"/>
        <v>NO</v>
      </c>
      <c r="P975" s="41" t="str">
        <f t="shared" si="130"/>
        <v>🟡</v>
      </c>
      <c r="Q975" s="41"/>
    </row>
    <row r="976" spans="1:17" ht="18" hidden="1" customHeight="1" x14ac:dyDescent="0.4">
      <c r="A976" s="41">
        <f t="shared" si="127"/>
        <v>975</v>
      </c>
      <c r="B976" s="41" t="str">
        <f t="shared" si="128"/>
        <v/>
      </c>
      <c r="C976" s="41"/>
      <c r="D976" s="41"/>
      <c r="E976" s="41">
        <f t="shared" si="131"/>
        <v>0</v>
      </c>
      <c r="F976" s="41"/>
      <c r="G976" s="41"/>
      <c r="H976" s="41"/>
      <c r="I976" s="41"/>
      <c r="J976" s="42"/>
      <c r="K976" s="41"/>
      <c r="L976" s="41"/>
      <c r="M976" s="41"/>
      <c r="N976" s="41"/>
      <c r="O976" s="41" t="str">
        <f t="shared" si="129"/>
        <v>NO</v>
      </c>
      <c r="P976" s="41" t="str">
        <f t="shared" si="130"/>
        <v>🟡</v>
      </c>
      <c r="Q976" s="41"/>
    </row>
    <row r="977" spans="1:17" ht="18" hidden="1" customHeight="1" x14ac:dyDescent="0.4">
      <c r="A977" s="41">
        <f t="shared" si="127"/>
        <v>976</v>
      </c>
      <c r="B977" s="41" t="str">
        <f t="shared" si="128"/>
        <v/>
      </c>
      <c r="C977" s="41"/>
      <c r="D977" s="41"/>
      <c r="E977" s="41">
        <f t="shared" si="131"/>
        <v>0</v>
      </c>
      <c r="F977" s="41"/>
      <c r="G977" s="41"/>
      <c r="H977" s="41"/>
      <c r="I977" s="41"/>
      <c r="J977" s="42"/>
      <c r="K977" s="41"/>
      <c r="L977" s="41"/>
      <c r="M977" s="41"/>
      <c r="N977" s="41"/>
      <c r="O977" s="41" t="str">
        <f t="shared" si="129"/>
        <v>NO</v>
      </c>
      <c r="P977" s="41" t="str">
        <f t="shared" si="130"/>
        <v>🟡</v>
      </c>
      <c r="Q977" s="41"/>
    </row>
    <row r="978" spans="1:17" ht="18" hidden="1" customHeight="1" x14ac:dyDescent="0.4">
      <c r="A978" s="41">
        <f t="shared" si="127"/>
        <v>977</v>
      </c>
      <c r="B978" s="41" t="str">
        <f t="shared" si="128"/>
        <v/>
      </c>
      <c r="C978" s="41"/>
      <c r="D978" s="41"/>
      <c r="E978" s="41">
        <f t="shared" si="131"/>
        <v>0</v>
      </c>
      <c r="F978" s="41"/>
      <c r="G978" s="41"/>
      <c r="H978" s="41"/>
      <c r="I978" s="41"/>
      <c r="J978" s="42"/>
      <c r="K978" s="41"/>
      <c r="L978" s="41"/>
      <c r="M978" s="41"/>
      <c r="N978" s="41"/>
      <c r="O978" s="41" t="str">
        <f t="shared" si="129"/>
        <v>NO</v>
      </c>
      <c r="P978" s="41" t="str">
        <f t="shared" si="130"/>
        <v>🟡</v>
      </c>
      <c r="Q978" s="41"/>
    </row>
    <row r="979" spans="1:17" ht="18" hidden="1" customHeight="1" x14ac:dyDescent="0.4">
      <c r="A979" s="41">
        <f t="shared" si="127"/>
        <v>978</v>
      </c>
      <c r="B979" s="41" t="str">
        <f t="shared" si="128"/>
        <v/>
      </c>
      <c r="C979" s="41"/>
      <c r="D979" s="41"/>
      <c r="E979" s="41">
        <f t="shared" si="131"/>
        <v>0</v>
      </c>
      <c r="F979" s="41"/>
      <c r="G979" s="41"/>
      <c r="H979" s="41"/>
      <c r="I979" s="41"/>
      <c r="J979" s="42"/>
      <c r="K979" s="41"/>
      <c r="L979" s="41"/>
      <c r="M979" s="41"/>
      <c r="N979" s="41"/>
      <c r="O979" s="41" t="str">
        <f t="shared" si="129"/>
        <v>NO</v>
      </c>
      <c r="P979" s="41" t="str">
        <f t="shared" si="130"/>
        <v>🟡</v>
      </c>
      <c r="Q979" s="41"/>
    </row>
    <row r="980" spans="1:17" ht="18" hidden="1" customHeight="1" x14ac:dyDescent="0.4">
      <c r="A980" s="41">
        <f t="shared" si="127"/>
        <v>979</v>
      </c>
      <c r="B980" s="41" t="str">
        <f t="shared" si="128"/>
        <v/>
      </c>
      <c r="C980" s="41"/>
      <c r="D980" s="41"/>
      <c r="E980" s="41">
        <f t="shared" si="131"/>
        <v>0</v>
      </c>
      <c r="F980" s="41"/>
      <c r="G980" s="41"/>
      <c r="H980" s="41"/>
      <c r="I980" s="41"/>
      <c r="J980" s="42"/>
      <c r="K980" s="41"/>
      <c r="L980" s="41"/>
      <c r="M980" s="41"/>
      <c r="N980" s="41"/>
      <c r="O980" s="41" t="str">
        <f t="shared" si="129"/>
        <v>NO</v>
      </c>
      <c r="P980" s="41" t="str">
        <f t="shared" si="130"/>
        <v>🟡</v>
      </c>
      <c r="Q980" s="41"/>
    </row>
    <row r="981" spans="1:17" ht="18" hidden="1" customHeight="1" x14ac:dyDescent="0.4">
      <c r="A981" s="41">
        <f t="shared" si="127"/>
        <v>980</v>
      </c>
      <c r="B981" s="41" t="str">
        <f t="shared" si="128"/>
        <v/>
      </c>
      <c r="C981" s="41"/>
      <c r="D981" s="41"/>
      <c r="E981" s="41">
        <f t="shared" si="131"/>
        <v>0</v>
      </c>
      <c r="F981" s="41"/>
      <c r="G981" s="41"/>
      <c r="H981" s="41"/>
      <c r="I981" s="41"/>
      <c r="J981" s="42"/>
      <c r="K981" s="41"/>
      <c r="L981" s="41"/>
      <c r="M981" s="41"/>
      <c r="N981" s="41"/>
      <c r="O981" s="41" t="str">
        <f t="shared" si="129"/>
        <v>NO</v>
      </c>
      <c r="P981" s="41" t="str">
        <f t="shared" si="130"/>
        <v>🟡</v>
      </c>
      <c r="Q981" s="41"/>
    </row>
    <row r="982" spans="1:17" ht="18" hidden="1" customHeight="1" x14ac:dyDescent="0.4">
      <c r="A982" s="41">
        <f t="shared" si="127"/>
        <v>981</v>
      </c>
      <c r="B982" s="41" t="str">
        <f t="shared" si="128"/>
        <v/>
      </c>
      <c r="C982" s="41"/>
      <c r="D982" s="41"/>
      <c r="E982" s="41">
        <f t="shared" si="131"/>
        <v>0</v>
      </c>
      <c r="F982" s="41"/>
      <c r="G982" s="41"/>
      <c r="H982" s="41"/>
      <c r="I982" s="41"/>
      <c r="J982" s="42"/>
      <c r="K982" s="41"/>
      <c r="L982" s="41"/>
      <c r="M982" s="41"/>
      <c r="N982" s="41"/>
      <c r="O982" s="41" t="str">
        <f t="shared" si="129"/>
        <v>NO</v>
      </c>
      <c r="P982" s="41" t="str">
        <f t="shared" si="130"/>
        <v>🟡</v>
      </c>
      <c r="Q982" s="41"/>
    </row>
    <row r="983" spans="1:17" ht="18" hidden="1" customHeight="1" x14ac:dyDescent="0.4">
      <c r="A983" s="41">
        <f t="shared" si="127"/>
        <v>982</v>
      </c>
      <c r="B983" s="41" t="str">
        <f t="shared" si="128"/>
        <v/>
      </c>
      <c r="C983" s="41"/>
      <c r="D983" s="41"/>
      <c r="E983" s="41">
        <f t="shared" si="131"/>
        <v>0</v>
      </c>
      <c r="F983" s="41"/>
      <c r="G983" s="41"/>
      <c r="H983" s="41"/>
      <c r="I983" s="41"/>
      <c r="J983" s="42"/>
      <c r="K983" s="41"/>
      <c r="L983" s="41"/>
      <c r="M983" s="41"/>
      <c r="N983" s="41"/>
      <c r="O983" s="41" t="str">
        <f t="shared" si="129"/>
        <v>NO</v>
      </c>
      <c r="P983" s="41" t="str">
        <f t="shared" si="130"/>
        <v>🟡</v>
      </c>
      <c r="Q983" s="41"/>
    </row>
    <row r="984" spans="1:17" ht="18" hidden="1" customHeight="1" x14ac:dyDescent="0.4">
      <c r="A984" s="41">
        <f t="shared" si="127"/>
        <v>983</v>
      </c>
      <c r="B984" s="41" t="str">
        <f t="shared" si="128"/>
        <v/>
      </c>
      <c r="C984" s="41"/>
      <c r="D984" s="41"/>
      <c r="E984" s="41">
        <f t="shared" si="131"/>
        <v>0</v>
      </c>
      <c r="F984" s="41"/>
      <c r="G984" s="41"/>
      <c r="H984" s="41"/>
      <c r="I984" s="41"/>
      <c r="J984" s="42"/>
      <c r="K984" s="41"/>
      <c r="L984" s="41"/>
      <c r="M984" s="41"/>
      <c r="N984" s="41"/>
      <c r="O984" s="41" t="str">
        <f t="shared" si="129"/>
        <v>NO</v>
      </c>
      <c r="P984" s="41" t="str">
        <f t="shared" si="130"/>
        <v>🟡</v>
      </c>
      <c r="Q984" s="41"/>
    </row>
    <row r="985" spans="1:17" ht="18" hidden="1" customHeight="1" x14ac:dyDescent="0.4">
      <c r="A985" s="41">
        <f t="shared" si="127"/>
        <v>984</v>
      </c>
      <c r="B985" s="41" t="str">
        <f t="shared" si="128"/>
        <v/>
      </c>
      <c r="C985" s="41"/>
      <c r="D985" s="41"/>
      <c r="E985" s="41">
        <f t="shared" si="131"/>
        <v>0</v>
      </c>
      <c r="F985" s="41"/>
      <c r="G985" s="41"/>
      <c r="H985" s="41"/>
      <c r="I985" s="41"/>
      <c r="J985" s="42"/>
      <c r="K985" s="41"/>
      <c r="L985" s="41"/>
      <c r="M985" s="41"/>
      <c r="N985" s="41"/>
      <c r="O985" s="41" t="str">
        <f t="shared" si="129"/>
        <v>NO</v>
      </c>
      <c r="P985" s="41" t="str">
        <f t="shared" si="130"/>
        <v>🟡</v>
      </c>
      <c r="Q985" s="41"/>
    </row>
    <row r="986" spans="1:17" ht="18" hidden="1" customHeight="1" x14ac:dyDescent="0.4">
      <c r="A986" s="41">
        <f t="shared" si="127"/>
        <v>985</v>
      </c>
      <c r="B986" s="41" t="str">
        <f t="shared" si="128"/>
        <v/>
      </c>
      <c r="C986" s="41"/>
      <c r="D986" s="41"/>
      <c r="E986" s="41">
        <f t="shared" si="131"/>
        <v>0</v>
      </c>
      <c r="F986" s="41"/>
      <c r="G986" s="41"/>
      <c r="H986" s="41"/>
      <c r="I986" s="41"/>
      <c r="J986" s="42"/>
      <c r="K986" s="41"/>
      <c r="L986" s="41"/>
      <c r="M986" s="41"/>
      <c r="N986" s="41"/>
      <c r="O986" s="41" t="str">
        <f t="shared" si="129"/>
        <v>NO</v>
      </c>
      <c r="P986" s="41" t="str">
        <f t="shared" si="130"/>
        <v>🟡</v>
      </c>
      <c r="Q986" s="41"/>
    </row>
    <row r="987" spans="1:17" ht="18" hidden="1" customHeight="1" x14ac:dyDescent="0.4">
      <c r="A987" s="41">
        <f t="shared" si="127"/>
        <v>986</v>
      </c>
      <c r="B987" s="41" t="str">
        <f t="shared" si="128"/>
        <v/>
      </c>
      <c r="C987" s="41"/>
      <c r="D987" s="41"/>
      <c r="E987" s="41">
        <f t="shared" si="131"/>
        <v>0</v>
      </c>
      <c r="F987" s="41"/>
      <c r="G987" s="41"/>
      <c r="H987" s="41"/>
      <c r="I987" s="41"/>
      <c r="J987" s="42"/>
      <c r="K987" s="41"/>
      <c r="L987" s="41"/>
      <c r="M987" s="41"/>
      <c r="N987" s="41"/>
      <c r="O987" s="41" t="str">
        <f t="shared" si="129"/>
        <v>NO</v>
      </c>
      <c r="P987" s="41" t="str">
        <f t="shared" si="130"/>
        <v>🟡</v>
      </c>
      <c r="Q987" s="41"/>
    </row>
    <row r="988" spans="1:17" ht="18" hidden="1" customHeight="1" x14ac:dyDescent="0.4">
      <c r="A988" s="41">
        <f t="shared" si="127"/>
        <v>987</v>
      </c>
      <c r="B988" s="41" t="str">
        <f t="shared" si="128"/>
        <v/>
      </c>
      <c r="C988" s="41"/>
      <c r="D988" s="41"/>
      <c r="E988" s="41">
        <f t="shared" si="131"/>
        <v>0</v>
      </c>
      <c r="F988" s="41"/>
      <c r="G988" s="41"/>
      <c r="H988" s="41"/>
      <c r="I988" s="41"/>
      <c r="J988" s="42"/>
      <c r="K988" s="41"/>
      <c r="L988" s="41"/>
      <c r="M988" s="41"/>
      <c r="N988" s="41"/>
      <c r="O988" s="41" t="str">
        <f t="shared" si="129"/>
        <v>NO</v>
      </c>
      <c r="P988" s="41" t="str">
        <f t="shared" si="130"/>
        <v>🟡</v>
      </c>
      <c r="Q988" s="41"/>
    </row>
    <row r="989" spans="1:17" ht="18" hidden="1" customHeight="1" x14ac:dyDescent="0.4">
      <c r="A989" s="41">
        <f t="shared" ref="A989:A1052" si="132">IF(COUNTA(C989:K989)=0,"",ROW()-1)</f>
        <v>988</v>
      </c>
      <c r="B989" s="41" t="str">
        <f t="shared" ref="B989:B1052" si="133">IF($F989&lt;&gt;"",$A989,"")</f>
        <v/>
      </c>
      <c r="C989" s="41"/>
      <c r="D989" s="41"/>
      <c r="E989" s="41">
        <f t="shared" si="131"/>
        <v>0</v>
      </c>
      <c r="F989" s="41"/>
      <c r="G989" s="41"/>
      <c r="H989" s="41"/>
      <c r="I989" s="41"/>
      <c r="J989" s="42"/>
      <c r="K989" s="41"/>
      <c r="L989" s="41"/>
      <c r="M989" s="41"/>
      <c r="N989" s="41"/>
      <c r="O989" s="41" t="str">
        <f t="shared" ref="O989:O1052" si="134">IF(AND(UPPER($N989)="VIP",UPPER($J989)&lt;&gt;"NO",$F989&lt;&gt;""),"SI","NO")</f>
        <v>NO</v>
      </c>
      <c r="P989" s="41" t="str">
        <f t="shared" si="130"/>
        <v>🟡</v>
      </c>
      <c r="Q989" s="41"/>
    </row>
    <row r="990" spans="1:17" ht="18" hidden="1" customHeight="1" x14ac:dyDescent="0.4">
      <c r="A990" s="41">
        <f t="shared" si="132"/>
        <v>989</v>
      </c>
      <c r="B990" s="41" t="str">
        <f t="shared" si="133"/>
        <v/>
      </c>
      <c r="C990" s="41"/>
      <c r="D990" s="41"/>
      <c r="E990" s="41">
        <f t="shared" si="131"/>
        <v>0</v>
      </c>
      <c r="F990" s="41"/>
      <c r="G990" s="41"/>
      <c r="H990" s="41"/>
      <c r="I990" s="41"/>
      <c r="J990" s="42"/>
      <c r="K990" s="41"/>
      <c r="L990" s="41"/>
      <c r="M990" s="41"/>
      <c r="N990" s="41"/>
      <c r="O990" s="41" t="str">
        <f t="shared" si="134"/>
        <v>NO</v>
      </c>
      <c r="P990" s="41" t="str">
        <f t="shared" si="130"/>
        <v>🟡</v>
      </c>
      <c r="Q990" s="41"/>
    </row>
    <row r="991" spans="1:17" ht="18" hidden="1" customHeight="1" x14ac:dyDescent="0.4">
      <c r="A991" s="41">
        <f t="shared" si="132"/>
        <v>990</v>
      </c>
      <c r="B991" s="41" t="str">
        <f t="shared" si="133"/>
        <v/>
      </c>
      <c r="C991" s="41"/>
      <c r="D991" s="41"/>
      <c r="E991" s="41">
        <f t="shared" si="131"/>
        <v>0</v>
      </c>
      <c r="F991" s="41"/>
      <c r="G991" s="41"/>
      <c r="H991" s="41"/>
      <c r="I991" s="41"/>
      <c r="J991" s="42"/>
      <c r="K991" s="41"/>
      <c r="L991" s="41"/>
      <c r="M991" s="41"/>
      <c r="N991" s="41"/>
      <c r="O991" s="41" t="str">
        <f t="shared" si="134"/>
        <v>NO</v>
      </c>
      <c r="P991" s="41" t="str">
        <f t="shared" ref="P991:P1054" si="135">IF(UPPER($J991)="SI","🟢",IF(UPPER($J991)="NO","🔴","🟡"))</f>
        <v>🟡</v>
      </c>
      <c r="Q991" s="41"/>
    </row>
    <row r="992" spans="1:17" ht="18" hidden="1" customHeight="1" x14ac:dyDescent="0.4">
      <c r="A992" s="41">
        <f t="shared" si="132"/>
        <v>991</v>
      </c>
      <c r="B992" s="41" t="str">
        <f t="shared" si="133"/>
        <v/>
      </c>
      <c r="C992" s="41"/>
      <c r="D992" s="41"/>
      <c r="E992" s="41">
        <f t="shared" si="131"/>
        <v>0</v>
      </c>
      <c r="F992" s="41"/>
      <c r="G992" s="41"/>
      <c r="H992" s="41"/>
      <c r="I992" s="41"/>
      <c r="J992" s="42"/>
      <c r="K992" s="41"/>
      <c r="L992" s="41"/>
      <c r="M992" s="41"/>
      <c r="N992" s="41"/>
      <c r="O992" s="41" t="str">
        <f t="shared" si="134"/>
        <v>NO</v>
      </c>
      <c r="P992" s="41" t="str">
        <f t="shared" si="135"/>
        <v>🟡</v>
      </c>
      <c r="Q992" s="41"/>
    </row>
    <row r="993" spans="1:17" ht="18" hidden="1" customHeight="1" x14ac:dyDescent="0.4">
      <c r="A993" s="41">
        <f t="shared" si="132"/>
        <v>992</v>
      </c>
      <c r="B993" s="41" t="str">
        <f t="shared" si="133"/>
        <v/>
      </c>
      <c r="C993" s="41"/>
      <c r="D993" s="41"/>
      <c r="E993" s="41">
        <f t="shared" si="131"/>
        <v>0</v>
      </c>
      <c r="F993" s="41"/>
      <c r="G993" s="41"/>
      <c r="H993" s="41"/>
      <c r="I993" s="41"/>
      <c r="J993" s="42"/>
      <c r="K993" s="41"/>
      <c r="L993" s="41"/>
      <c r="M993" s="41"/>
      <c r="N993" s="41"/>
      <c r="O993" s="41" t="str">
        <f t="shared" si="134"/>
        <v>NO</v>
      </c>
      <c r="P993" s="41" t="str">
        <f t="shared" si="135"/>
        <v>🟡</v>
      </c>
      <c r="Q993" s="41"/>
    </row>
    <row r="994" spans="1:17" ht="18" hidden="1" customHeight="1" x14ac:dyDescent="0.4">
      <c r="A994" s="41">
        <f t="shared" si="132"/>
        <v>993</v>
      </c>
      <c r="B994" s="41" t="str">
        <f t="shared" si="133"/>
        <v/>
      </c>
      <c r="C994" s="41"/>
      <c r="D994" s="41"/>
      <c r="E994" s="41">
        <f t="shared" si="131"/>
        <v>0</v>
      </c>
      <c r="F994" s="41"/>
      <c r="G994" s="41"/>
      <c r="H994" s="41"/>
      <c r="I994" s="41"/>
      <c r="J994" s="42"/>
      <c r="K994" s="41"/>
      <c r="L994" s="41"/>
      <c r="M994" s="41"/>
      <c r="N994" s="41"/>
      <c r="O994" s="41" t="str">
        <f t="shared" si="134"/>
        <v>NO</v>
      </c>
      <c r="P994" s="41" t="str">
        <f t="shared" si="135"/>
        <v>🟡</v>
      </c>
      <c r="Q994" s="41"/>
    </row>
    <row r="995" spans="1:17" ht="18" hidden="1" customHeight="1" x14ac:dyDescent="0.4">
      <c r="A995" s="41">
        <f t="shared" si="132"/>
        <v>994</v>
      </c>
      <c r="B995" s="41" t="str">
        <f t="shared" si="133"/>
        <v/>
      </c>
      <c r="C995" s="41"/>
      <c r="D995" s="41"/>
      <c r="E995" s="41">
        <f t="shared" si="131"/>
        <v>0</v>
      </c>
      <c r="F995" s="41"/>
      <c r="G995" s="41"/>
      <c r="H995" s="41"/>
      <c r="I995" s="41"/>
      <c r="J995" s="42"/>
      <c r="K995" s="41"/>
      <c r="L995" s="41"/>
      <c r="M995" s="41"/>
      <c r="N995" s="41"/>
      <c r="O995" s="41" t="str">
        <f t="shared" si="134"/>
        <v>NO</v>
      </c>
      <c r="P995" s="41" t="str">
        <f t="shared" si="135"/>
        <v>🟡</v>
      </c>
      <c r="Q995" s="41"/>
    </row>
    <row r="996" spans="1:17" ht="18" hidden="1" customHeight="1" x14ac:dyDescent="0.4">
      <c r="A996" s="41">
        <f t="shared" si="132"/>
        <v>995</v>
      </c>
      <c r="B996" s="41" t="str">
        <f t="shared" si="133"/>
        <v/>
      </c>
      <c r="C996" s="41"/>
      <c r="D996" s="41"/>
      <c r="E996" s="41">
        <f t="shared" ref="E996:E1059" si="136">IF(UPPER($J996)="NO","",$N996)</f>
        <v>0</v>
      </c>
      <c r="F996" s="41"/>
      <c r="G996" s="41"/>
      <c r="H996" s="41"/>
      <c r="I996" s="41"/>
      <c r="J996" s="42"/>
      <c r="K996" s="41"/>
      <c r="L996" s="41"/>
      <c r="M996" s="41"/>
      <c r="N996" s="41"/>
      <c r="O996" s="41" t="str">
        <f t="shared" si="134"/>
        <v>NO</v>
      </c>
      <c r="P996" s="41" t="str">
        <f t="shared" si="135"/>
        <v>🟡</v>
      </c>
      <c r="Q996" s="41"/>
    </row>
    <row r="997" spans="1:17" ht="18" hidden="1" customHeight="1" x14ac:dyDescent="0.4">
      <c r="A997" s="41">
        <f t="shared" si="132"/>
        <v>996</v>
      </c>
      <c r="B997" s="41" t="str">
        <f t="shared" si="133"/>
        <v/>
      </c>
      <c r="C997" s="41"/>
      <c r="D997" s="41"/>
      <c r="E997" s="41">
        <f t="shared" si="136"/>
        <v>0</v>
      </c>
      <c r="F997" s="41"/>
      <c r="G997" s="41"/>
      <c r="H997" s="41"/>
      <c r="I997" s="41"/>
      <c r="J997" s="42"/>
      <c r="K997" s="41"/>
      <c r="L997" s="41"/>
      <c r="M997" s="41"/>
      <c r="N997" s="41"/>
      <c r="O997" s="41" t="str">
        <f t="shared" si="134"/>
        <v>NO</v>
      </c>
      <c r="P997" s="41" t="str">
        <f t="shared" si="135"/>
        <v>🟡</v>
      </c>
      <c r="Q997" s="41"/>
    </row>
    <row r="998" spans="1:17" ht="18" hidden="1" customHeight="1" x14ac:dyDescent="0.4">
      <c r="A998" s="41">
        <f t="shared" si="132"/>
        <v>997</v>
      </c>
      <c r="B998" s="41" t="str">
        <f t="shared" si="133"/>
        <v/>
      </c>
      <c r="C998" s="41"/>
      <c r="D998" s="41"/>
      <c r="E998" s="41">
        <f t="shared" si="136"/>
        <v>0</v>
      </c>
      <c r="F998" s="41"/>
      <c r="G998" s="41"/>
      <c r="H998" s="41"/>
      <c r="I998" s="41"/>
      <c r="J998" s="42"/>
      <c r="K998" s="41"/>
      <c r="L998" s="41"/>
      <c r="M998" s="41"/>
      <c r="N998" s="41"/>
      <c r="O998" s="41" t="str">
        <f t="shared" si="134"/>
        <v>NO</v>
      </c>
      <c r="P998" s="41" t="str">
        <f t="shared" si="135"/>
        <v>🟡</v>
      </c>
      <c r="Q998" s="41"/>
    </row>
    <row r="999" spans="1:17" ht="18" hidden="1" customHeight="1" x14ac:dyDescent="0.4">
      <c r="A999" s="41">
        <f t="shared" si="132"/>
        <v>998</v>
      </c>
      <c r="B999" s="41" t="str">
        <f t="shared" si="133"/>
        <v/>
      </c>
      <c r="C999" s="41"/>
      <c r="D999" s="41"/>
      <c r="E999" s="41">
        <f t="shared" si="136"/>
        <v>0</v>
      </c>
      <c r="F999" s="41"/>
      <c r="G999" s="41"/>
      <c r="H999" s="41"/>
      <c r="I999" s="41"/>
      <c r="J999" s="42"/>
      <c r="K999" s="41"/>
      <c r="L999" s="41"/>
      <c r="M999" s="41"/>
      <c r="N999" s="41"/>
      <c r="O999" s="41" t="str">
        <f t="shared" si="134"/>
        <v>NO</v>
      </c>
      <c r="P999" s="41" t="str">
        <f t="shared" si="135"/>
        <v>🟡</v>
      </c>
      <c r="Q999" s="41"/>
    </row>
    <row r="1000" spans="1:17" ht="18" hidden="1" customHeight="1" x14ac:dyDescent="0.4">
      <c r="A1000" s="41">
        <f t="shared" si="132"/>
        <v>999</v>
      </c>
      <c r="B1000" s="41" t="str">
        <f t="shared" si="133"/>
        <v/>
      </c>
      <c r="C1000" s="41"/>
      <c r="D1000" s="41"/>
      <c r="E1000" s="41">
        <f t="shared" si="136"/>
        <v>0</v>
      </c>
      <c r="F1000" s="41"/>
      <c r="G1000" s="41"/>
      <c r="H1000" s="41"/>
      <c r="I1000" s="41"/>
      <c r="J1000" s="42"/>
      <c r="K1000" s="41"/>
      <c r="L1000" s="41"/>
      <c r="M1000" s="41"/>
      <c r="N1000" s="41"/>
      <c r="O1000" s="41" t="str">
        <f t="shared" si="134"/>
        <v>NO</v>
      </c>
      <c r="P1000" s="41" t="str">
        <f t="shared" si="135"/>
        <v>🟡</v>
      </c>
      <c r="Q1000" s="41"/>
    </row>
    <row r="1001" spans="1:17" ht="18" hidden="1" customHeight="1" x14ac:dyDescent="0.4">
      <c r="A1001" s="41">
        <f t="shared" si="132"/>
        <v>1000</v>
      </c>
      <c r="B1001" s="41" t="str">
        <f t="shared" si="133"/>
        <v/>
      </c>
      <c r="C1001" s="41"/>
      <c r="D1001" s="41"/>
      <c r="E1001" s="41">
        <f t="shared" si="136"/>
        <v>0</v>
      </c>
      <c r="F1001" s="41"/>
      <c r="G1001" s="41"/>
      <c r="H1001" s="41"/>
      <c r="I1001" s="41"/>
      <c r="J1001" s="42"/>
      <c r="K1001" s="41"/>
      <c r="L1001" s="41"/>
      <c r="M1001" s="41"/>
      <c r="N1001" s="41"/>
      <c r="O1001" s="41" t="str">
        <f t="shared" si="134"/>
        <v>NO</v>
      </c>
      <c r="P1001" s="41" t="str">
        <f t="shared" si="135"/>
        <v>🟡</v>
      </c>
      <c r="Q1001" s="41"/>
    </row>
    <row r="1002" spans="1:17" ht="18" hidden="1" customHeight="1" x14ac:dyDescent="0.4">
      <c r="A1002" s="41">
        <f t="shared" si="132"/>
        <v>1001</v>
      </c>
      <c r="B1002" s="41" t="str">
        <f t="shared" si="133"/>
        <v/>
      </c>
      <c r="C1002" s="41"/>
      <c r="D1002" s="41"/>
      <c r="E1002" s="41">
        <f t="shared" si="136"/>
        <v>0</v>
      </c>
      <c r="F1002" s="41"/>
      <c r="G1002" s="41"/>
      <c r="H1002" s="41"/>
      <c r="I1002" s="41"/>
      <c r="J1002" s="42"/>
      <c r="K1002" s="41"/>
      <c r="L1002" s="41"/>
      <c r="M1002" s="41"/>
      <c r="N1002" s="41"/>
      <c r="O1002" s="41" t="str">
        <f t="shared" si="134"/>
        <v>NO</v>
      </c>
      <c r="P1002" s="41" t="str">
        <f t="shared" si="135"/>
        <v>🟡</v>
      </c>
      <c r="Q1002" s="41"/>
    </row>
    <row r="1003" spans="1:17" ht="18" hidden="1" customHeight="1" x14ac:dyDescent="0.4">
      <c r="A1003" s="41">
        <f t="shared" si="132"/>
        <v>1002</v>
      </c>
      <c r="B1003" s="41" t="str">
        <f t="shared" si="133"/>
        <v/>
      </c>
      <c r="C1003" s="41"/>
      <c r="D1003" s="41"/>
      <c r="E1003" s="41">
        <f t="shared" si="136"/>
        <v>0</v>
      </c>
      <c r="F1003" s="41"/>
      <c r="G1003" s="41"/>
      <c r="H1003" s="41"/>
      <c r="I1003" s="41"/>
      <c r="J1003" s="42"/>
      <c r="K1003" s="41"/>
      <c r="L1003" s="41"/>
      <c r="M1003" s="41"/>
      <c r="N1003" s="41"/>
      <c r="O1003" s="41" t="str">
        <f t="shared" si="134"/>
        <v>NO</v>
      </c>
      <c r="P1003" s="41" t="str">
        <f t="shared" si="135"/>
        <v>🟡</v>
      </c>
      <c r="Q1003" s="41"/>
    </row>
    <row r="1004" spans="1:17" ht="18" hidden="1" customHeight="1" x14ac:dyDescent="0.4">
      <c r="A1004" s="41">
        <f t="shared" si="132"/>
        <v>1003</v>
      </c>
      <c r="B1004" s="41" t="str">
        <f t="shared" si="133"/>
        <v/>
      </c>
      <c r="C1004" s="41"/>
      <c r="D1004" s="41"/>
      <c r="E1004" s="41">
        <f t="shared" si="136"/>
        <v>0</v>
      </c>
      <c r="F1004" s="41"/>
      <c r="G1004" s="41"/>
      <c r="H1004" s="41"/>
      <c r="I1004" s="41"/>
      <c r="J1004" s="42"/>
      <c r="K1004" s="41"/>
      <c r="L1004" s="41"/>
      <c r="M1004" s="41"/>
      <c r="N1004" s="41"/>
      <c r="O1004" s="41" t="str">
        <f t="shared" si="134"/>
        <v>NO</v>
      </c>
      <c r="P1004" s="41" t="str">
        <f t="shared" si="135"/>
        <v>🟡</v>
      </c>
      <c r="Q1004" s="41"/>
    </row>
    <row r="1005" spans="1:17" ht="18" hidden="1" customHeight="1" x14ac:dyDescent="0.4">
      <c r="A1005" s="41">
        <f t="shared" si="132"/>
        <v>1004</v>
      </c>
      <c r="B1005" s="41" t="str">
        <f t="shared" si="133"/>
        <v/>
      </c>
      <c r="C1005" s="41"/>
      <c r="D1005" s="41"/>
      <c r="E1005" s="41">
        <f t="shared" si="136"/>
        <v>0</v>
      </c>
      <c r="F1005" s="41"/>
      <c r="G1005" s="41"/>
      <c r="H1005" s="41"/>
      <c r="I1005" s="41"/>
      <c r="J1005" s="42"/>
      <c r="K1005" s="41"/>
      <c r="L1005" s="41"/>
      <c r="M1005" s="41"/>
      <c r="N1005" s="41"/>
      <c r="O1005" s="41" t="str">
        <f t="shared" si="134"/>
        <v>NO</v>
      </c>
      <c r="P1005" s="41" t="str">
        <f t="shared" si="135"/>
        <v>🟡</v>
      </c>
      <c r="Q1005" s="41"/>
    </row>
    <row r="1006" spans="1:17" ht="18" hidden="1" customHeight="1" x14ac:dyDescent="0.4">
      <c r="A1006" s="41">
        <f t="shared" si="132"/>
        <v>1005</v>
      </c>
      <c r="B1006" s="41" t="str">
        <f t="shared" si="133"/>
        <v/>
      </c>
      <c r="C1006" s="41"/>
      <c r="D1006" s="41"/>
      <c r="E1006" s="41">
        <f t="shared" si="136"/>
        <v>0</v>
      </c>
      <c r="F1006" s="41"/>
      <c r="G1006" s="41"/>
      <c r="H1006" s="41"/>
      <c r="I1006" s="41"/>
      <c r="J1006" s="42"/>
      <c r="K1006" s="41"/>
      <c r="L1006" s="41"/>
      <c r="M1006" s="41"/>
      <c r="N1006" s="41"/>
      <c r="O1006" s="41" t="str">
        <f t="shared" si="134"/>
        <v>NO</v>
      </c>
      <c r="P1006" s="41" t="str">
        <f t="shared" si="135"/>
        <v>🟡</v>
      </c>
      <c r="Q1006" s="41"/>
    </row>
    <row r="1007" spans="1:17" ht="18" hidden="1" customHeight="1" x14ac:dyDescent="0.4">
      <c r="A1007" s="41">
        <f t="shared" si="132"/>
        <v>1006</v>
      </c>
      <c r="B1007" s="41" t="str">
        <f t="shared" si="133"/>
        <v/>
      </c>
      <c r="C1007" s="41"/>
      <c r="D1007" s="41"/>
      <c r="E1007" s="41">
        <f t="shared" si="136"/>
        <v>0</v>
      </c>
      <c r="F1007" s="41"/>
      <c r="G1007" s="41"/>
      <c r="H1007" s="41"/>
      <c r="I1007" s="41"/>
      <c r="J1007" s="42"/>
      <c r="K1007" s="41"/>
      <c r="L1007" s="41"/>
      <c r="M1007" s="41"/>
      <c r="N1007" s="41"/>
      <c r="O1007" s="41" t="str">
        <f t="shared" si="134"/>
        <v>NO</v>
      </c>
      <c r="P1007" s="41" t="str">
        <f t="shared" si="135"/>
        <v>🟡</v>
      </c>
      <c r="Q1007" s="41"/>
    </row>
    <row r="1008" spans="1:17" ht="18" hidden="1" customHeight="1" x14ac:dyDescent="0.4">
      <c r="A1008" s="41">
        <f t="shared" si="132"/>
        <v>1007</v>
      </c>
      <c r="B1008" s="41" t="str">
        <f t="shared" si="133"/>
        <v/>
      </c>
      <c r="C1008" s="41"/>
      <c r="D1008" s="41"/>
      <c r="E1008" s="41">
        <f t="shared" si="136"/>
        <v>0</v>
      </c>
      <c r="F1008" s="41"/>
      <c r="G1008" s="41"/>
      <c r="H1008" s="41"/>
      <c r="I1008" s="41"/>
      <c r="J1008" s="42"/>
      <c r="K1008" s="41"/>
      <c r="L1008" s="41"/>
      <c r="M1008" s="41"/>
      <c r="N1008" s="41"/>
      <c r="O1008" s="41" t="str">
        <f t="shared" si="134"/>
        <v>NO</v>
      </c>
      <c r="P1008" s="41" t="str">
        <f t="shared" si="135"/>
        <v>🟡</v>
      </c>
      <c r="Q1008" s="41"/>
    </row>
    <row r="1009" spans="1:17" ht="18" hidden="1" customHeight="1" x14ac:dyDescent="0.4">
      <c r="A1009" s="41">
        <f t="shared" si="132"/>
        <v>1008</v>
      </c>
      <c r="B1009" s="41" t="str">
        <f t="shared" si="133"/>
        <v/>
      </c>
      <c r="C1009" s="41"/>
      <c r="D1009" s="41"/>
      <c r="E1009" s="41">
        <f t="shared" si="136"/>
        <v>0</v>
      </c>
      <c r="F1009" s="41"/>
      <c r="G1009" s="41"/>
      <c r="H1009" s="41"/>
      <c r="I1009" s="41"/>
      <c r="J1009" s="42"/>
      <c r="K1009" s="41"/>
      <c r="L1009" s="41"/>
      <c r="M1009" s="41"/>
      <c r="N1009" s="41"/>
      <c r="O1009" s="41" t="str">
        <f t="shared" si="134"/>
        <v>NO</v>
      </c>
      <c r="P1009" s="41" t="str">
        <f t="shared" si="135"/>
        <v>🟡</v>
      </c>
      <c r="Q1009" s="41"/>
    </row>
    <row r="1010" spans="1:17" ht="18" hidden="1" customHeight="1" x14ac:dyDescent="0.4">
      <c r="A1010" s="41">
        <f t="shared" si="132"/>
        <v>1009</v>
      </c>
      <c r="B1010" s="41" t="str">
        <f t="shared" si="133"/>
        <v/>
      </c>
      <c r="C1010" s="41"/>
      <c r="D1010" s="41"/>
      <c r="E1010" s="41">
        <f t="shared" si="136"/>
        <v>0</v>
      </c>
      <c r="F1010" s="41"/>
      <c r="G1010" s="41"/>
      <c r="H1010" s="41"/>
      <c r="I1010" s="41"/>
      <c r="J1010" s="42"/>
      <c r="K1010" s="41"/>
      <c r="L1010" s="41"/>
      <c r="M1010" s="41"/>
      <c r="N1010" s="41"/>
      <c r="O1010" s="41" t="str">
        <f t="shared" si="134"/>
        <v>NO</v>
      </c>
      <c r="P1010" s="41" t="str">
        <f t="shared" si="135"/>
        <v>🟡</v>
      </c>
      <c r="Q1010" s="41"/>
    </row>
    <row r="1011" spans="1:17" ht="18" hidden="1" customHeight="1" x14ac:dyDescent="0.4">
      <c r="A1011" s="41">
        <f t="shared" si="132"/>
        <v>1010</v>
      </c>
      <c r="B1011" s="41" t="str">
        <f t="shared" si="133"/>
        <v/>
      </c>
      <c r="C1011" s="41"/>
      <c r="D1011" s="41"/>
      <c r="E1011" s="41">
        <f t="shared" si="136"/>
        <v>0</v>
      </c>
      <c r="F1011" s="41"/>
      <c r="G1011" s="41"/>
      <c r="H1011" s="41"/>
      <c r="I1011" s="41"/>
      <c r="J1011" s="42"/>
      <c r="K1011" s="41"/>
      <c r="L1011" s="41"/>
      <c r="M1011" s="41"/>
      <c r="N1011" s="41"/>
      <c r="O1011" s="41" t="str">
        <f t="shared" si="134"/>
        <v>NO</v>
      </c>
      <c r="P1011" s="41" t="str">
        <f t="shared" si="135"/>
        <v>🟡</v>
      </c>
      <c r="Q1011" s="41"/>
    </row>
    <row r="1012" spans="1:17" ht="18" hidden="1" customHeight="1" x14ac:dyDescent="0.4">
      <c r="A1012" s="41">
        <f t="shared" si="132"/>
        <v>1011</v>
      </c>
      <c r="B1012" s="41" t="str">
        <f t="shared" si="133"/>
        <v/>
      </c>
      <c r="C1012" s="41"/>
      <c r="D1012" s="41"/>
      <c r="E1012" s="41">
        <f t="shared" si="136"/>
        <v>0</v>
      </c>
      <c r="F1012" s="41"/>
      <c r="G1012" s="41"/>
      <c r="H1012" s="41"/>
      <c r="I1012" s="41"/>
      <c r="J1012" s="42"/>
      <c r="K1012" s="41"/>
      <c r="L1012" s="41"/>
      <c r="M1012" s="41"/>
      <c r="N1012" s="41"/>
      <c r="O1012" s="41" t="str">
        <f t="shared" si="134"/>
        <v>NO</v>
      </c>
      <c r="P1012" s="41" t="str">
        <f t="shared" si="135"/>
        <v>🟡</v>
      </c>
      <c r="Q1012" s="41"/>
    </row>
    <row r="1013" spans="1:17" ht="18" hidden="1" customHeight="1" x14ac:dyDescent="0.4">
      <c r="A1013" s="41">
        <f t="shared" si="132"/>
        <v>1012</v>
      </c>
      <c r="B1013" s="41" t="str">
        <f t="shared" si="133"/>
        <v/>
      </c>
      <c r="C1013" s="41"/>
      <c r="D1013" s="41"/>
      <c r="E1013" s="41">
        <f t="shared" si="136"/>
        <v>0</v>
      </c>
      <c r="F1013" s="41"/>
      <c r="G1013" s="41"/>
      <c r="H1013" s="41"/>
      <c r="I1013" s="41"/>
      <c r="J1013" s="42"/>
      <c r="K1013" s="41"/>
      <c r="L1013" s="41"/>
      <c r="M1013" s="41"/>
      <c r="N1013" s="41"/>
      <c r="O1013" s="41" t="str">
        <f t="shared" si="134"/>
        <v>NO</v>
      </c>
      <c r="P1013" s="41" t="str">
        <f t="shared" si="135"/>
        <v>🟡</v>
      </c>
      <c r="Q1013" s="41"/>
    </row>
    <row r="1014" spans="1:17" ht="18" hidden="1" customHeight="1" x14ac:dyDescent="0.4">
      <c r="A1014" s="41">
        <f t="shared" si="132"/>
        <v>1013</v>
      </c>
      <c r="B1014" s="41" t="str">
        <f t="shared" si="133"/>
        <v/>
      </c>
      <c r="C1014" s="41"/>
      <c r="D1014" s="41"/>
      <c r="E1014" s="41">
        <f t="shared" si="136"/>
        <v>0</v>
      </c>
      <c r="F1014" s="41"/>
      <c r="G1014" s="41"/>
      <c r="H1014" s="41"/>
      <c r="I1014" s="41"/>
      <c r="J1014" s="42"/>
      <c r="K1014" s="41"/>
      <c r="L1014" s="41"/>
      <c r="M1014" s="41"/>
      <c r="N1014" s="41"/>
      <c r="O1014" s="41" t="str">
        <f t="shared" si="134"/>
        <v>NO</v>
      </c>
      <c r="P1014" s="41" t="str">
        <f t="shared" si="135"/>
        <v>🟡</v>
      </c>
      <c r="Q1014" s="41"/>
    </row>
    <row r="1015" spans="1:17" ht="18" hidden="1" customHeight="1" x14ac:dyDescent="0.4">
      <c r="A1015" s="41">
        <f t="shared" si="132"/>
        <v>1014</v>
      </c>
      <c r="B1015" s="41" t="str">
        <f t="shared" si="133"/>
        <v/>
      </c>
      <c r="C1015" s="41"/>
      <c r="D1015" s="41"/>
      <c r="E1015" s="41">
        <f t="shared" si="136"/>
        <v>0</v>
      </c>
      <c r="F1015" s="41"/>
      <c r="G1015" s="41"/>
      <c r="H1015" s="41"/>
      <c r="I1015" s="41"/>
      <c r="J1015" s="42"/>
      <c r="K1015" s="41"/>
      <c r="L1015" s="41"/>
      <c r="M1015" s="41"/>
      <c r="N1015" s="41"/>
      <c r="O1015" s="41" t="str">
        <f t="shared" si="134"/>
        <v>NO</v>
      </c>
      <c r="P1015" s="41" t="str">
        <f t="shared" si="135"/>
        <v>🟡</v>
      </c>
      <c r="Q1015" s="41"/>
    </row>
    <row r="1016" spans="1:17" ht="18" hidden="1" customHeight="1" x14ac:dyDescent="0.4">
      <c r="A1016" s="41">
        <f t="shared" si="132"/>
        <v>1015</v>
      </c>
      <c r="B1016" s="41" t="str">
        <f t="shared" si="133"/>
        <v/>
      </c>
      <c r="C1016" s="41"/>
      <c r="D1016" s="41"/>
      <c r="E1016" s="41">
        <f t="shared" si="136"/>
        <v>0</v>
      </c>
      <c r="F1016" s="41"/>
      <c r="G1016" s="41"/>
      <c r="H1016" s="41"/>
      <c r="I1016" s="41"/>
      <c r="J1016" s="42"/>
      <c r="K1016" s="41"/>
      <c r="L1016" s="41"/>
      <c r="M1016" s="41"/>
      <c r="N1016" s="41"/>
      <c r="O1016" s="41" t="str">
        <f t="shared" si="134"/>
        <v>NO</v>
      </c>
      <c r="P1016" s="41" t="str">
        <f t="shared" si="135"/>
        <v>🟡</v>
      </c>
      <c r="Q1016" s="41"/>
    </row>
    <row r="1017" spans="1:17" ht="18" hidden="1" customHeight="1" x14ac:dyDescent="0.4">
      <c r="A1017" s="41">
        <f t="shared" si="132"/>
        <v>1016</v>
      </c>
      <c r="B1017" s="41" t="str">
        <f t="shared" si="133"/>
        <v/>
      </c>
      <c r="C1017" s="41"/>
      <c r="D1017" s="41"/>
      <c r="E1017" s="41">
        <f t="shared" si="136"/>
        <v>0</v>
      </c>
      <c r="F1017" s="41"/>
      <c r="G1017" s="41"/>
      <c r="H1017" s="41"/>
      <c r="I1017" s="41"/>
      <c r="J1017" s="42"/>
      <c r="K1017" s="41"/>
      <c r="L1017" s="41"/>
      <c r="M1017" s="41"/>
      <c r="N1017" s="41"/>
      <c r="O1017" s="41" t="str">
        <f t="shared" si="134"/>
        <v>NO</v>
      </c>
      <c r="P1017" s="41" t="str">
        <f t="shared" si="135"/>
        <v>🟡</v>
      </c>
      <c r="Q1017" s="41"/>
    </row>
    <row r="1018" spans="1:17" ht="18" hidden="1" customHeight="1" x14ac:dyDescent="0.4">
      <c r="A1018" s="41">
        <f t="shared" si="132"/>
        <v>1017</v>
      </c>
      <c r="B1018" s="41" t="str">
        <f t="shared" si="133"/>
        <v/>
      </c>
      <c r="C1018" s="41"/>
      <c r="D1018" s="41"/>
      <c r="E1018" s="41">
        <f t="shared" si="136"/>
        <v>0</v>
      </c>
      <c r="F1018" s="41"/>
      <c r="G1018" s="41"/>
      <c r="H1018" s="41"/>
      <c r="I1018" s="41"/>
      <c r="J1018" s="42"/>
      <c r="K1018" s="41"/>
      <c r="L1018" s="41"/>
      <c r="M1018" s="41"/>
      <c r="N1018" s="41"/>
      <c r="O1018" s="41" t="str">
        <f t="shared" si="134"/>
        <v>NO</v>
      </c>
      <c r="P1018" s="41" t="str">
        <f t="shared" si="135"/>
        <v>🟡</v>
      </c>
      <c r="Q1018" s="41"/>
    </row>
    <row r="1019" spans="1:17" ht="18" hidden="1" customHeight="1" x14ac:dyDescent="0.4">
      <c r="A1019" s="41">
        <f t="shared" si="132"/>
        <v>1018</v>
      </c>
      <c r="B1019" s="41" t="str">
        <f t="shared" si="133"/>
        <v/>
      </c>
      <c r="C1019" s="41"/>
      <c r="D1019" s="41"/>
      <c r="E1019" s="41">
        <f t="shared" si="136"/>
        <v>0</v>
      </c>
      <c r="F1019" s="41"/>
      <c r="G1019" s="41"/>
      <c r="H1019" s="41"/>
      <c r="I1019" s="41"/>
      <c r="J1019" s="42"/>
      <c r="K1019" s="41"/>
      <c r="L1019" s="41"/>
      <c r="M1019" s="41"/>
      <c r="N1019" s="41"/>
      <c r="O1019" s="41" t="str">
        <f t="shared" si="134"/>
        <v>NO</v>
      </c>
      <c r="P1019" s="41" t="str">
        <f t="shared" si="135"/>
        <v>🟡</v>
      </c>
      <c r="Q1019" s="41"/>
    </row>
    <row r="1020" spans="1:17" ht="18" hidden="1" customHeight="1" x14ac:dyDescent="0.4">
      <c r="A1020" s="41">
        <f t="shared" si="132"/>
        <v>1019</v>
      </c>
      <c r="B1020" s="41" t="str">
        <f t="shared" si="133"/>
        <v/>
      </c>
      <c r="C1020" s="41"/>
      <c r="D1020" s="41"/>
      <c r="E1020" s="41">
        <f t="shared" si="136"/>
        <v>0</v>
      </c>
      <c r="F1020" s="41"/>
      <c r="G1020" s="41"/>
      <c r="H1020" s="41"/>
      <c r="I1020" s="41"/>
      <c r="J1020" s="42"/>
      <c r="K1020" s="41"/>
      <c r="L1020" s="41"/>
      <c r="M1020" s="41"/>
      <c r="N1020" s="41"/>
      <c r="O1020" s="41" t="str">
        <f t="shared" si="134"/>
        <v>NO</v>
      </c>
      <c r="P1020" s="41" t="str">
        <f t="shared" si="135"/>
        <v>🟡</v>
      </c>
      <c r="Q1020" s="41"/>
    </row>
    <row r="1021" spans="1:17" ht="18" hidden="1" customHeight="1" x14ac:dyDescent="0.4">
      <c r="A1021" s="41">
        <f t="shared" si="132"/>
        <v>1020</v>
      </c>
      <c r="B1021" s="41" t="str">
        <f t="shared" si="133"/>
        <v/>
      </c>
      <c r="C1021" s="41"/>
      <c r="D1021" s="41"/>
      <c r="E1021" s="41">
        <f t="shared" si="136"/>
        <v>0</v>
      </c>
      <c r="F1021" s="41"/>
      <c r="G1021" s="41"/>
      <c r="H1021" s="41"/>
      <c r="I1021" s="41"/>
      <c r="J1021" s="42"/>
      <c r="K1021" s="41"/>
      <c r="L1021" s="41"/>
      <c r="M1021" s="41"/>
      <c r="N1021" s="41"/>
      <c r="O1021" s="41" t="str">
        <f t="shared" si="134"/>
        <v>NO</v>
      </c>
      <c r="P1021" s="41" t="str">
        <f t="shared" si="135"/>
        <v>🟡</v>
      </c>
      <c r="Q1021" s="41"/>
    </row>
    <row r="1022" spans="1:17" ht="18" hidden="1" customHeight="1" x14ac:dyDescent="0.4">
      <c r="A1022" s="41">
        <f t="shared" si="132"/>
        <v>1021</v>
      </c>
      <c r="B1022" s="41" t="str">
        <f t="shared" si="133"/>
        <v/>
      </c>
      <c r="C1022" s="41"/>
      <c r="D1022" s="41"/>
      <c r="E1022" s="41">
        <f t="shared" si="136"/>
        <v>0</v>
      </c>
      <c r="F1022" s="41"/>
      <c r="G1022" s="41"/>
      <c r="H1022" s="41"/>
      <c r="I1022" s="41"/>
      <c r="J1022" s="42"/>
      <c r="K1022" s="41"/>
      <c r="L1022" s="41"/>
      <c r="M1022" s="41"/>
      <c r="N1022" s="41"/>
      <c r="O1022" s="41" t="str">
        <f t="shared" si="134"/>
        <v>NO</v>
      </c>
      <c r="P1022" s="41" t="str">
        <f t="shared" si="135"/>
        <v>🟡</v>
      </c>
      <c r="Q1022" s="41"/>
    </row>
    <row r="1023" spans="1:17" ht="18" hidden="1" customHeight="1" x14ac:dyDescent="0.4">
      <c r="A1023" s="41">
        <f t="shared" si="132"/>
        <v>1022</v>
      </c>
      <c r="B1023" s="41" t="str">
        <f t="shared" si="133"/>
        <v/>
      </c>
      <c r="C1023" s="41"/>
      <c r="D1023" s="41"/>
      <c r="E1023" s="41">
        <f t="shared" si="136"/>
        <v>0</v>
      </c>
      <c r="F1023" s="41"/>
      <c r="G1023" s="41"/>
      <c r="H1023" s="41"/>
      <c r="I1023" s="41"/>
      <c r="J1023" s="42"/>
      <c r="K1023" s="41"/>
      <c r="L1023" s="41"/>
      <c r="M1023" s="41"/>
      <c r="N1023" s="41"/>
      <c r="O1023" s="41" t="str">
        <f t="shared" si="134"/>
        <v>NO</v>
      </c>
      <c r="P1023" s="41" t="str">
        <f t="shared" si="135"/>
        <v>🟡</v>
      </c>
      <c r="Q1023" s="41"/>
    </row>
    <row r="1024" spans="1:17" ht="18" hidden="1" customHeight="1" x14ac:dyDescent="0.4">
      <c r="A1024" s="41">
        <f t="shared" si="132"/>
        <v>1023</v>
      </c>
      <c r="B1024" s="41" t="str">
        <f t="shared" si="133"/>
        <v/>
      </c>
      <c r="C1024" s="41"/>
      <c r="D1024" s="41"/>
      <c r="E1024" s="41">
        <f t="shared" si="136"/>
        <v>0</v>
      </c>
      <c r="F1024" s="41"/>
      <c r="G1024" s="41"/>
      <c r="H1024" s="41"/>
      <c r="I1024" s="41"/>
      <c r="J1024" s="42"/>
      <c r="K1024" s="41"/>
      <c r="L1024" s="41"/>
      <c r="M1024" s="41"/>
      <c r="N1024" s="41"/>
      <c r="O1024" s="41" t="str">
        <f t="shared" si="134"/>
        <v>NO</v>
      </c>
      <c r="P1024" s="41" t="str">
        <f t="shared" si="135"/>
        <v>🟡</v>
      </c>
      <c r="Q1024" s="41"/>
    </row>
    <row r="1025" spans="1:17" ht="18" hidden="1" customHeight="1" x14ac:dyDescent="0.4">
      <c r="A1025" s="41">
        <f t="shared" si="132"/>
        <v>1024</v>
      </c>
      <c r="B1025" s="41" t="str">
        <f t="shared" si="133"/>
        <v/>
      </c>
      <c r="C1025" s="41"/>
      <c r="D1025" s="41"/>
      <c r="E1025" s="41">
        <f t="shared" si="136"/>
        <v>0</v>
      </c>
      <c r="F1025" s="41"/>
      <c r="G1025" s="41"/>
      <c r="H1025" s="41"/>
      <c r="I1025" s="41"/>
      <c r="J1025" s="42"/>
      <c r="K1025" s="41"/>
      <c r="L1025" s="41"/>
      <c r="M1025" s="41"/>
      <c r="N1025" s="41"/>
      <c r="O1025" s="41" t="str">
        <f t="shared" si="134"/>
        <v>NO</v>
      </c>
      <c r="P1025" s="41" t="str">
        <f t="shared" si="135"/>
        <v>🟡</v>
      </c>
      <c r="Q1025" s="41"/>
    </row>
    <row r="1026" spans="1:17" ht="18" hidden="1" customHeight="1" x14ac:dyDescent="0.4">
      <c r="A1026" s="41">
        <f t="shared" si="132"/>
        <v>1025</v>
      </c>
      <c r="B1026" s="41" t="str">
        <f t="shared" si="133"/>
        <v/>
      </c>
      <c r="C1026" s="41"/>
      <c r="D1026" s="41"/>
      <c r="E1026" s="41">
        <f t="shared" si="136"/>
        <v>0</v>
      </c>
      <c r="F1026" s="41"/>
      <c r="G1026" s="41"/>
      <c r="H1026" s="41"/>
      <c r="I1026" s="41"/>
      <c r="J1026" s="42"/>
      <c r="K1026" s="41"/>
      <c r="L1026" s="41"/>
      <c r="M1026" s="41"/>
      <c r="N1026" s="41"/>
      <c r="O1026" s="41" t="str">
        <f t="shared" si="134"/>
        <v>NO</v>
      </c>
      <c r="P1026" s="41" t="str">
        <f t="shared" si="135"/>
        <v>🟡</v>
      </c>
      <c r="Q1026" s="41"/>
    </row>
    <row r="1027" spans="1:17" ht="18" hidden="1" customHeight="1" x14ac:dyDescent="0.4">
      <c r="A1027" s="41">
        <f t="shared" si="132"/>
        <v>1026</v>
      </c>
      <c r="B1027" s="41" t="str">
        <f t="shared" si="133"/>
        <v/>
      </c>
      <c r="C1027" s="41"/>
      <c r="D1027" s="41"/>
      <c r="E1027" s="41">
        <f t="shared" si="136"/>
        <v>0</v>
      </c>
      <c r="F1027" s="41"/>
      <c r="G1027" s="41"/>
      <c r="H1027" s="41"/>
      <c r="I1027" s="41"/>
      <c r="J1027" s="42"/>
      <c r="K1027" s="41"/>
      <c r="L1027" s="41"/>
      <c r="M1027" s="41"/>
      <c r="N1027" s="41"/>
      <c r="O1027" s="41" t="str">
        <f t="shared" si="134"/>
        <v>NO</v>
      </c>
      <c r="P1027" s="41" t="str">
        <f t="shared" si="135"/>
        <v>🟡</v>
      </c>
      <c r="Q1027" s="41"/>
    </row>
    <row r="1028" spans="1:17" ht="18" hidden="1" customHeight="1" x14ac:dyDescent="0.4">
      <c r="A1028" s="41">
        <f t="shared" si="132"/>
        <v>1027</v>
      </c>
      <c r="B1028" s="41" t="str">
        <f t="shared" si="133"/>
        <v/>
      </c>
      <c r="C1028" s="41"/>
      <c r="D1028" s="41"/>
      <c r="E1028" s="41">
        <f t="shared" si="136"/>
        <v>0</v>
      </c>
      <c r="F1028" s="41"/>
      <c r="G1028" s="41"/>
      <c r="H1028" s="41"/>
      <c r="I1028" s="41"/>
      <c r="J1028" s="42"/>
      <c r="K1028" s="41"/>
      <c r="L1028" s="41"/>
      <c r="M1028" s="41"/>
      <c r="N1028" s="41"/>
      <c r="O1028" s="41" t="str">
        <f t="shared" si="134"/>
        <v>NO</v>
      </c>
      <c r="P1028" s="41" t="str">
        <f t="shared" si="135"/>
        <v>🟡</v>
      </c>
      <c r="Q1028" s="41"/>
    </row>
    <row r="1029" spans="1:17" ht="18" hidden="1" customHeight="1" x14ac:dyDescent="0.4">
      <c r="A1029" s="41">
        <f t="shared" si="132"/>
        <v>1028</v>
      </c>
      <c r="B1029" s="41" t="str">
        <f t="shared" si="133"/>
        <v/>
      </c>
      <c r="C1029" s="41"/>
      <c r="D1029" s="41"/>
      <c r="E1029" s="41">
        <f t="shared" si="136"/>
        <v>0</v>
      </c>
      <c r="F1029" s="41"/>
      <c r="G1029" s="41"/>
      <c r="H1029" s="41"/>
      <c r="I1029" s="41"/>
      <c r="J1029" s="42"/>
      <c r="K1029" s="41"/>
      <c r="L1029" s="41"/>
      <c r="M1029" s="41"/>
      <c r="N1029" s="41"/>
      <c r="O1029" s="41" t="str">
        <f t="shared" si="134"/>
        <v>NO</v>
      </c>
      <c r="P1029" s="41" t="str">
        <f t="shared" si="135"/>
        <v>🟡</v>
      </c>
      <c r="Q1029" s="41"/>
    </row>
    <row r="1030" spans="1:17" ht="18" hidden="1" customHeight="1" x14ac:dyDescent="0.4">
      <c r="A1030" s="41">
        <f t="shared" si="132"/>
        <v>1029</v>
      </c>
      <c r="B1030" s="41" t="str">
        <f t="shared" si="133"/>
        <v/>
      </c>
      <c r="C1030" s="41"/>
      <c r="D1030" s="41"/>
      <c r="E1030" s="41">
        <f t="shared" si="136"/>
        <v>0</v>
      </c>
      <c r="F1030" s="41"/>
      <c r="G1030" s="41"/>
      <c r="H1030" s="41"/>
      <c r="I1030" s="41"/>
      <c r="J1030" s="42"/>
      <c r="K1030" s="41"/>
      <c r="L1030" s="41"/>
      <c r="M1030" s="41"/>
      <c r="N1030" s="41"/>
      <c r="O1030" s="41" t="str">
        <f t="shared" si="134"/>
        <v>NO</v>
      </c>
      <c r="P1030" s="41" t="str">
        <f t="shared" si="135"/>
        <v>🟡</v>
      </c>
      <c r="Q1030" s="41"/>
    </row>
    <row r="1031" spans="1:17" ht="18" hidden="1" customHeight="1" x14ac:dyDescent="0.4">
      <c r="A1031" s="41">
        <f t="shared" si="132"/>
        <v>1030</v>
      </c>
      <c r="B1031" s="41" t="str">
        <f t="shared" si="133"/>
        <v/>
      </c>
      <c r="C1031" s="41"/>
      <c r="D1031" s="41"/>
      <c r="E1031" s="41">
        <f t="shared" si="136"/>
        <v>0</v>
      </c>
      <c r="F1031" s="41"/>
      <c r="G1031" s="41"/>
      <c r="H1031" s="41"/>
      <c r="I1031" s="41"/>
      <c r="J1031" s="42"/>
      <c r="K1031" s="41"/>
      <c r="L1031" s="41"/>
      <c r="M1031" s="41"/>
      <c r="N1031" s="41"/>
      <c r="O1031" s="41" t="str">
        <f t="shared" si="134"/>
        <v>NO</v>
      </c>
      <c r="P1031" s="41" t="str">
        <f t="shared" si="135"/>
        <v>🟡</v>
      </c>
      <c r="Q1031" s="41"/>
    </row>
    <row r="1032" spans="1:17" ht="18" hidden="1" customHeight="1" x14ac:dyDescent="0.4">
      <c r="A1032" s="41">
        <f t="shared" si="132"/>
        <v>1031</v>
      </c>
      <c r="B1032" s="41" t="str">
        <f t="shared" si="133"/>
        <v/>
      </c>
      <c r="C1032" s="41"/>
      <c r="D1032" s="41"/>
      <c r="E1032" s="41">
        <f t="shared" si="136"/>
        <v>0</v>
      </c>
      <c r="F1032" s="41"/>
      <c r="G1032" s="41"/>
      <c r="H1032" s="41"/>
      <c r="I1032" s="41"/>
      <c r="J1032" s="42"/>
      <c r="K1032" s="41"/>
      <c r="L1032" s="41"/>
      <c r="M1032" s="41"/>
      <c r="N1032" s="41"/>
      <c r="O1032" s="41" t="str">
        <f t="shared" si="134"/>
        <v>NO</v>
      </c>
      <c r="P1032" s="41" t="str">
        <f t="shared" si="135"/>
        <v>🟡</v>
      </c>
      <c r="Q1032" s="41"/>
    </row>
    <row r="1033" spans="1:17" ht="18" hidden="1" customHeight="1" x14ac:dyDescent="0.4">
      <c r="A1033" s="41">
        <f t="shared" si="132"/>
        <v>1032</v>
      </c>
      <c r="B1033" s="41" t="str">
        <f t="shared" si="133"/>
        <v/>
      </c>
      <c r="C1033" s="41"/>
      <c r="D1033" s="41"/>
      <c r="E1033" s="41">
        <f t="shared" si="136"/>
        <v>0</v>
      </c>
      <c r="F1033" s="41"/>
      <c r="G1033" s="41"/>
      <c r="H1033" s="41"/>
      <c r="I1033" s="41"/>
      <c r="J1033" s="42"/>
      <c r="K1033" s="41"/>
      <c r="L1033" s="41"/>
      <c r="M1033" s="41"/>
      <c r="N1033" s="41"/>
      <c r="O1033" s="41" t="str">
        <f t="shared" si="134"/>
        <v>NO</v>
      </c>
      <c r="P1033" s="41" t="str">
        <f t="shared" si="135"/>
        <v>🟡</v>
      </c>
      <c r="Q1033" s="41"/>
    </row>
    <row r="1034" spans="1:17" ht="18" hidden="1" customHeight="1" x14ac:dyDescent="0.4">
      <c r="A1034" s="41">
        <f t="shared" si="132"/>
        <v>1033</v>
      </c>
      <c r="B1034" s="41" t="str">
        <f t="shared" si="133"/>
        <v/>
      </c>
      <c r="C1034" s="41"/>
      <c r="D1034" s="41"/>
      <c r="E1034" s="41">
        <f t="shared" si="136"/>
        <v>0</v>
      </c>
      <c r="F1034" s="41"/>
      <c r="G1034" s="41"/>
      <c r="H1034" s="41"/>
      <c r="I1034" s="41"/>
      <c r="J1034" s="42"/>
      <c r="K1034" s="41"/>
      <c r="L1034" s="41"/>
      <c r="M1034" s="41"/>
      <c r="N1034" s="41"/>
      <c r="O1034" s="41" t="str">
        <f t="shared" si="134"/>
        <v>NO</v>
      </c>
      <c r="P1034" s="41" t="str">
        <f t="shared" si="135"/>
        <v>🟡</v>
      </c>
      <c r="Q1034" s="41"/>
    </row>
    <row r="1035" spans="1:17" ht="18" hidden="1" customHeight="1" x14ac:dyDescent="0.4">
      <c r="A1035" s="41">
        <f t="shared" si="132"/>
        <v>1034</v>
      </c>
      <c r="B1035" s="41" t="str">
        <f t="shared" si="133"/>
        <v/>
      </c>
      <c r="C1035" s="41"/>
      <c r="D1035" s="41"/>
      <c r="E1035" s="41">
        <f t="shared" si="136"/>
        <v>0</v>
      </c>
      <c r="F1035" s="41"/>
      <c r="G1035" s="41"/>
      <c r="H1035" s="41"/>
      <c r="I1035" s="41"/>
      <c r="J1035" s="42"/>
      <c r="K1035" s="41"/>
      <c r="L1035" s="41"/>
      <c r="M1035" s="41"/>
      <c r="N1035" s="41"/>
      <c r="O1035" s="41" t="str">
        <f t="shared" si="134"/>
        <v>NO</v>
      </c>
      <c r="P1035" s="41" t="str">
        <f t="shared" si="135"/>
        <v>🟡</v>
      </c>
      <c r="Q1035" s="41"/>
    </row>
    <row r="1036" spans="1:17" ht="18" hidden="1" customHeight="1" x14ac:dyDescent="0.4">
      <c r="A1036" s="41">
        <f t="shared" si="132"/>
        <v>1035</v>
      </c>
      <c r="B1036" s="41" t="str">
        <f t="shared" si="133"/>
        <v/>
      </c>
      <c r="C1036" s="41"/>
      <c r="D1036" s="41"/>
      <c r="E1036" s="41">
        <f t="shared" si="136"/>
        <v>0</v>
      </c>
      <c r="F1036" s="41"/>
      <c r="G1036" s="41"/>
      <c r="H1036" s="41"/>
      <c r="I1036" s="41"/>
      <c r="J1036" s="42"/>
      <c r="K1036" s="41"/>
      <c r="L1036" s="41"/>
      <c r="M1036" s="41"/>
      <c r="N1036" s="41"/>
      <c r="O1036" s="41" t="str">
        <f t="shared" si="134"/>
        <v>NO</v>
      </c>
      <c r="P1036" s="41" t="str">
        <f t="shared" si="135"/>
        <v>🟡</v>
      </c>
      <c r="Q1036" s="41"/>
    </row>
    <row r="1037" spans="1:17" ht="18" hidden="1" customHeight="1" x14ac:dyDescent="0.4">
      <c r="A1037" s="41">
        <f t="shared" si="132"/>
        <v>1036</v>
      </c>
      <c r="B1037" s="41" t="str">
        <f t="shared" si="133"/>
        <v/>
      </c>
      <c r="C1037" s="41"/>
      <c r="D1037" s="41"/>
      <c r="E1037" s="41">
        <f t="shared" si="136"/>
        <v>0</v>
      </c>
      <c r="F1037" s="41"/>
      <c r="G1037" s="41"/>
      <c r="H1037" s="41"/>
      <c r="I1037" s="41"/>
      <c r="J1037" s="42"/>
      <c r="K1037" s="41"/>
      <c r="L1037" s="41"/>
      <c r="M1037" s="41"/>
      <c r="N1037" s="41"/>
      <c r="O1037" s="41" t="str">
        <f t="shared" si="134"/>
        <v>NO</v>
      </c>
      <c r="P1037" s="41" t="str">
        <f t="shared" si="135"/>
        <v>🟡</v>
      </c>
      <c r="Q1037" s="41"/>
    </row>
    <row r="1038" spans="1:17" ht="18" hidden="1" customHeight="1" x14ac:dyDescent="0.4">
      <c r="A1038" s="41">
        <f t="shared" si="132"/>
        <v>1037</v>
      </c>
      <c r="B1038" s="41" t="str">
        <f t="shared" si="133"/>
        <v/>
      </c>
      <c r="C1038" s="41"/>
      <c r="D1038" s="41"/>
      <c r="E1038" s="41">
        <f t="shared" si="136"/>
        <v>0</v>
      </c>
      <c r="F1038" s="41"/>
      <c r="G1038" s="41"/>
      <c r="H1038" s="41"/>
      <c r="I1038" s="41"/>
      <c r="J1038" s="42"/>
      <c r="K1038" s="41"/>
      <c r="L1038" s="41"/>
      <c r="M1038" s="41"/>
      <c r="N1038" s="41"/>
      <c r="O1038" s="41" t="str">
        <f t="shared" si="134"/>
        <v>NO</v>
      </c>
      <c r="P1038" s="41" t="str">
        <f t="shared" si="135"/>
        <v>🟡</v>
      </c>
      <c r="Q1038" s="41"/>
    </row>
    <row r="1039" spans="1:17" ht="18" hidden="1" customHeight="1" x14ac:dyDescent="0.4">
      <c r="A1039" s="41">
        <f t="shared" si="132"/>
        <v>1038</v>
      </c>
      <c r="B1039" s="41" t="str">
        <f t="shared" si="133"/>
        <v/>
      </c>
      <c r="C1039" s="41"/>
      <c r="D1039" s="41"/>
      <c r="E1039" s="41">
        <f t="shared" si="136"/>
        <v>0</v>
      </c>
      <c r="F1039" s="41"/>
      <c r="G1039" s="41"/>
      <c r="H1039" s="41"/>
      <c r="I1039" s="41"/>
      <c r="J1039" s="42"/>
      <c r="K1039" s="41"/>
      <c r="L1039" s="41"/>
      <c r="M1039" s="41"/>
      <c r="N1039" s="41"/>
      <c r="O1039" s="41" t="str">
        <f t="shared" si="134"/>
        <v>NO</v>
      </c>
      <c r="P1039" s="41" t="str">
        <f t="shared" si="135"/>
        <v>🟡</v>
      </c>
      <c r="Q1039" s="41"/>
    </row>
    <row r="1040" spans="1:17" ht="18" hidden="1" customHeight="1" x14ac:dyDescent="0.4">
      <c r="A1040" s="41">
        <f t="shared" si="132"/>
        <v>1039</v>
      </c>
      <c r="B1040" s="41" t="str">
        <f t="shared" si="133"/>
        <v/>
      </c>
      <c r="C1040" s="41"/>
      <c r="D1040" s="41"/>
      <c r="E1040" s="41">
        <f t="shared" si="136"/>
        <v>0</v>
      </c>
      <c r="F1040" s="41"/>
      <c r="G1040" s="41"/>
      <c r="H1040" s="41"/>
      <c r="I1040" s="41"/>
      <c r="J1040" s="42"/>
      <c r="K1040" s="41"/>
      <c r="L1040" s="41"/>
      <c r="M1040" s="41"/>
      <c r="N1040" s="41"/>
      <c r="O1040" s="41" t="str">
        <f t="shared" si="134"/>
        <v>NO</v>
      </c>
      <c r="P1040" s="41" t="str">
        <f t="shared" si="135"/>
        <v>🟡</v>
      </c>
      <c r="Q1040" s="41"/>
    </row>
    <row r="1041" spans="1:17" ht="18" hidden="1" customHeight="1" x14ac:dyDescent="0.4">
      <c r="A1041" s="41">
        <f t="shared" si="132"/>
        <v>1040</v>
      </c>
      <c r="B1041" s="41" t="str">
        <f t="shared" si="133"/>
        <v/>
      </c>
      <c r="C1041" s="41"/>
      <c r="D1041" s="41"/>
      <c r="E1041" s="41">
        <f t="shared" si="136"/>
        <v>0</v>
      </c>
      <c r="F1041" s="41"/>
      <c r="G1041" s="41"/>
      <c r="H1041" s="41"/>
      <c r="I1041" s="41"/>
      <c r="J1041" s="42"/>
      <c r="K1041" s="41"/>
      <c r="L1041" s="41"/>
      <c r="M1041" s="41"/>
      <c r="N1041" s="41"/>
      <c r="O1041" s="41" t="str">
        <f t="shared" si="134"/>
        <v>NO</v>
      </c>
      <c r="P1041" s="41" t="str">
        <f t="shared" si="135"/>
        <v>🟡</v>
      </c>
      <c r="Q1041" s="41"/>
    </row>
    <row r="1042" spans="1:17" ht="18" hidden="1" customHeight="1" x14ac:dyDescent="0.4">
      <c r="A1042" s="41">
        <f t="shared" si="132"/>
        <v>1041</v>
      </c>
      <c r="B1042" s="41" t="str">
        <f t="shared" si="133"/>
        <v/>
      </c>
      <c r="C1042" s="41"/>
      <c r="D1042" s="41"/>
      <c r="E1042" s="41">
        <f t="shared" si="136"/>
        <v>0</v>
      </c>
      <c r="F1042" s="41"/>
      <c r="G1042" s="41"/>
      <c r="H1042" s="41"/>
      <c r="I1042" s="41"/>
      <c r="J1042" s="42"/>
      <c r="K1042" s="41"/>
      <c r="L1042" s="41"/>
      <c r="M1042" s="41"/>
      <c r="N1042" s="41"/>
      <c r="O1042" s="41" t="str">
        <f t="shared" si="134"/>
        <v>NO</v>
      </c>
      <c r="P1042" s="41" t="str">
        <f t="shared" si="135"/>
        <v>🟡</v>
      </c>
      <c r="Q1042" s="41"/>
    </row>
    <row r="1043" spans="1:17" ht="18" hidden="1" customHeight="1" x14ac:dyDescent="0.4">
      <c r="A1043" s="41">
        <f t="shared" si="132"/>
        <v>1042</v>
      </c>
      <c r="B1043" s="41" t="str">
        <f t="shared" si="133"/>
        <v/>
      </c>
      <c r="C1043" s="41"/>
      <c r="D1043" s="41"/>
      <c r="E1043" s="41">
        <f t="shared" si="136"/>
        <v>0</v>
      </c>
      <c r="F1043" s="41"/>
      <c r="G1043" s="41"/>
      <c r="H1043" s="41"/>
      <c r="I1043" s="41"/>
      <c r="J1043" s="42"/>
      <c r="K1043" s="41"/>
      <c r="L1043" s="41"/>
      <c r="M1043" s="41"/>
      <c r="N1043" s="41"/>
      <c r="O1043" s="41" t="str">
        <f t="shared" si="134"/>
        <v>NO</v>
      </c>
      <c r="P1043" s="41" t="str">
        <f t="shared" si="135"/>
        <v>🟡</v>
      </c>
      <c r="Q1043" s="41"/>
    </row>
    <row r="1044" spans="1:17" ht="18" hidden="1" customHeight="1" x14ac:dyDescent="0.4">
      <c r="A1044" s="41">
        <f t="shared" si="132"/>
        <v>1043</v>
      </c>
      <c r="B1044" s="41" t="str">
        <f t="shared" si="133"/>
        <v/>
      </c>
      <c r="C1044" s="41"/>
      <c r="D1044" s="41"/>
      <c r="E1044" s="41">
        <f t="shared" si="136"/>
        <v>0</v>
      </c>
      <c r="F1044" s="41"/>
      <c r="G1044" s="41"/>
      <c r="H1044" s="41"/>
      <c r="I1044" s="41"/>
      <c r="J1044" s="42"/>
      <c r="K1044" s="41"/>
      <c r="L1044" s="41"/>
      <c r="M1044" s="41"/>
      <c r="N1044" s="41"/>
      <c r="O1044" s="41" t="str">
        <f t="shared" si="134"/>
        <v>NO</v>
      </c>
      <c r="P1044" s="41" t="str">
        <f t="shared" si="135"/>
        <v>🟡</v>
      </c>
      <c r="Q1044" s="41"/>
    </row>
    <row r="1045" spans="1:17" ht="18" hidden="1" customHeight="1" x14ac:dyDescent="0.4">
      <c r="A1045" s="41">
        <f t="shared" si="132"/>
        <v>1044</v>
      </c>
      <c r="B1045" s="41" t="str">
        <f t="shared" si="133"/>
        <v/>
      </c>
      <c r="C1045" s="41"/>
      <c r="D1045" s="41"/>
      <c r="E1045" s="41">
        <f t="shared" si="136"/>
        <v>0</v>
      </c>
      <c r="F1045" s="41"/>
      <c r="G1045" s="41"/>
      <c r="H1045" s="41"/>
      <c r="I1045" s="41"/>
      <c r="J1045" s="42"/>
      <c r="K1045" s="41"/>
      <c r="L1045" s="41"/>
      <c r="M1045" s="41"/>
      <c r="N1045" s="41"/>
      <c r="O1045" s="41" t="str">
        <f t="shared" si="134"/>
        <v>NO</v>
      </c>
      <c r="P1045" s="41" t="str">
        <f t="shared" si="135"/>
        <v>🟡</v>
      </c>
      <c r="Q1045" s="41"/>
    </row>
    <row r="1046" spans="1:17" ht="18" hidden="1" customHeight="1" x14ac:dyDescent="0.4">
      <c r="A1046" s="41">
        <f t="shared" si="132"/>
        <v>1045</v>
      </c>
      <c r="B1046" s="41" t="str">
        <f t="shared" si="133"/>
        <v/>
      </c>
      <c r="C1046" s="41"/>
      <c r="D1046" s="41"/>
      <c r="E1046" s="41">
        <f t="shared" si="136"/>
        <v>0</v>
      </c>
      <c r="F1046" s="41"/>
      <c r="G1046" s="41"/>
      <c r="H1046" s="41"/>
      <c r="I1046" s="41"/>
      <c r="J1046" s="42"/>
      <c r="K1046" s="41"/>
      <c r="L1046" s="41"/>
      <c r="M1046" s="41"/>
      <c r="N1046" s="41"/>
      <c r="O1046" s="41" t="str">
        <f t="shared" si="134"/>
        <v>NO</v>
      </c>
      <c r="P1046" s="41" t="str">
        <f t="shared" si="135"/>
        <v>🟡</v>
      </c>
      <c r="Q1046" s="41"/>
    </row>
    <row r="1047" spans="1:17" ht="18" hidden="1" customHeight="1" x14ac:dyDescent="0.4">
      <c r="A1047" s="41">
        <f t="shared" si="132"/>
        <v>1046</v>
      </c>
      <c r="B1047" s="41" t="str">
        <f t="shared" si="133"/>
        <v/>
      </c>
      <c r="C1047" s="41"/>
      <c r="D1047" s="41"/>
      <c r="E1047" s="41">
        <f t="shared" si="136"/>
        <v>0</v>
      </c>
      <c r="F1047" s="41"/>
      <c r="G1047" s="41"/>
      <c r="H1047" s="41"/>
      <c r="I1047" s="41"/>
      <c r="J1047" s="42"/>
      <c r="K1047" s="41"/>
      <c r="L1047" s="41"/>
      <c r="M1047" s="41"/>
      <c r="N1047" s="41"/>
      <c r="O1047" s="41" t="str">
        <f t="shared" si="134"/>
        <v>NO</v>
      </c>
      <c r="P1047" s="41" t="str">
        <f t="shared" si="135"/>
        <v>🟡</v>
      </c>
      <c r="Q1047" s="41"/>
    </row>
    <row r="1048" spans="1:17" ht="18" hidden="1" customHeight="1" x14ac:dyDescent="0.4">
      <c r="A1048" s="41">
        <f t="shared" si="132"/>
        <v>1047</v>
      </c>
      <c r="B1048" s="41" t="str">
        <f t="shared" si="133"/>
        <v/>
      </c>
      <c r="C1048" s="41"/>
      <c r="D1048" s="41"/>
      <c r="E1048" s="41">
        <f t="shared" si="136"/>
        <v>0</v>
      </c>
      <c r="F1048" s="41"/>
      <c r="G1048" s="41"/>
      <c r="H1048" s="41"/>
      <c r="I1048" s="41"/>
      <c r="J1048" s="42"/>
      <c r="K1048" s="41"/>
      <c r="L1048" s="41"/>
      <c r="M1048" s="41"/>
      <c r="N1048" s="41"/>
      <c r="O1048" s="41" t="str">
        <f t="shared" si="134"/>
        <v>NO</v>
      </c>
      <c r="P1048" s="41" t="str">
        <f t="shared" si="135"/>
        <v>🟡</v>
      </c>
      <c r="Q1048" s="41"/>
    </row>
    <row r="1049" spans="1:17" ht="18" hidden="1" customHeight="1" x14ac:dyDescent="0.4">
      <c r="A1049" s="41">
        <f t="shared" si="132"/>
        <v>1048</v>
      </c>
      <c r="B1049" s="41" t="str">
        <f t="shared" si="133"/>
        <v/>
      </c>
      <c r="C1049" s="41"/>
      <c r="D1049" s="41"/>
      <c r="E1049" s="41">
        <f t="shared" si="136"/>
        <v>0</v>
      </c>
      <c r="F1049" s="41"/>
      <c r="G1049" s="41"/>
      <c r="H1049" s="41"/>
      <c r="I1049" s="41"/>
      <c r="J1049" s="42"/>
      <c r="K1049" s="41"/>
      <c r="L1049" s="41"/>
      <c r="M1049" s="41"/>
      <c r="N1049" s="41"/>
      <c r="O1049" s="41" t="str">
        <f t="shared" si="134"/>
        <v>NO</v>
      </c>
      <c r="P1049" s="41" t="str">
        <f t="shared" si="135"/>
        <v>🟡</v>
      </c>
      <c r="Q1049" s="41"/>
    </row>
    <row r="1050" spans="1:17" ht="18" hidden="1" customHeight="1" x14ac:dyDescent="0.4">
      <c r="A1050" s="41">
        <f t="shared" si="132"/>
        <v>1049</v>
      </c>
      <c r="B1050" s="41" t="str">
        <f t="shared" si="133"/>
        <v/>
      </c>
      <c r="C1050" s="41"/>
      <c r="D1050" s="41"/>
      <c r="E1050" s="41">
        <f t="shared" si="136"/>
        <v>0</v>
      </c>
      <c r="F1050" s="41"/>
      <c r="G1050" s="41"/>
      <c r="H1050" s="41"/>
      <c r="I1050" s="41"/>
      <c r="J1050" s="42"/>
      <c r="K1050" s="41"/>
      <c r="L1050" s="41"/>
      <c r="M1050" s="41"/>
      <c r="N1050" s="41"/>
      <c r="O1050" s="41" t="str">
        <f t="shared" si="134"/>
        <v>NO</v>
      </c>
      <c r="P1050" s="41" t="str">
        <f t="shared" si="135"/>
        <v>🟡</v>
      </c>
      <c r="Q1050" s="41"/>
    </row>
    <row r="1051" spans="1:17" ht="18" hidden="1" customHeight="1" x14ac:dyDescent="0.4">
      <c r="A1051" s="41">
        <f t="shared" si="132"/>
        <v>1050</v>
      </c>
      <c r="B1051" s="41" t="str">
        <f t="shared" si="133"/>
        <v/>
      </c>
      <c r="C1051" s="41"/>
      <c r="D1051" s="41"/>
      <c r="E1051" s="41">
        <f t="shared" si="136"/>
        <v>0</v>
      </c>
      <c r="F1051" s="41"/>
      <c r="G1051" s="41"/>
      <c r="H1051" s="41"/>
      <c r="I1051" s="41"/>
      <c r="J1051" s="42"/>
      <c r="K1051" s="41"/>
      <c r="L1051" s="41"/>
      <c r="M1051" s="41"/>
      <c r="N1051" s="41"/>
      <c r="O1051" s="41" t="str">
        <f t="shared" si="134"/>
        <v>NO</v>
      </c>
      <c r="P1051" s="41" t="str">
        <f t="shared" si="135"/>
        <v>🟡</v>
      </c>
      <c r="Q1051" s="41"/>
    </row>
    <row r="1052" spans="1:17" ht="18" hidden="1" customHeight="1" x14ac:dyDescent="0.4">
      <c r="A1052" s="41">
        <f t="shared" si="132"/>
        <v>1051</v>
      </c>
      <c r="B1052" s="41" t="str">
        <f t="shared" si="133"/>
        <v/>
      </c>
      <c r="C1052" s="41"/>
      <c r="D1052" s="41"/>
      <c r="E1052" s="41">
        <f t="shared" si="136"/>
        <v>0</v>
      </c>
      <c r="F1052" s="41"/>
      <c r="G1052" s="41"/>
      <c r="H1052" s="41"/>
      <c r="I1052" s="41"/>
      <c r="J1052" s="42"/>
      <c r="K1052" s="41"/>
      <c r="L1052" s="41"/>
      <c r="M1052" s="41"/>
      <c r="N1052" s="41"/>
      <c r="O1052" s="41" t="str">
        <f t="shared" si="134"/>
        <v>NO</v>
      </c>
      <c r="P1052" s="41" t="str">
        <f t="shared" si="135"/>
        <v>🟡</v>
      </c>
      <c r="Q1052" s="41"/>
    </row>
    <row r="1053" spans="1:17" ht="18" hidden="1" customHeight="1" x14ac:dyDescent="0.4">
      <c r="A1053" s="41">
        <f t="shared" ref="A1053:A1116" si="137">IF(COUNTA(C1053:K1053)=0,"",ROW()-1)</f>
        <v>1052</v>
      </c>
      <c r="B1053" s="41" t="str">
        <f t="shared" ref="B1053:B1116" si="138">IF($F1053&lt;&gt;"",$A1053,"")</f>
        <v/>
      </c>
      <c r="C1053" s="41"/>
      <c r="D1053" s="41"/>
      <c r="E1053" s="41">
        <f t="shared" si="136"/>
        <v>0</v>
      </c>
      <c r="F1053" s="41"/>
      <c r="G1053" s="41"/>
      <c r="H1053" s="41"/>
      <c r="I1053" s="41"/>
      <c r="J1053" s="42"/>
      <c r="K1053" s="41"/>
      <c r="L1053" s="41"/>
      <c r="M1053" s="41"/>
      <c r="N1053" s="41"/>
      <c r="O1053" s="41" t="str">
        <f t="shared" ref="O1053:O1116" si="139">IF(AND(UPPER($N1053)="VIP",UPPER($J1053)&lt;&gt;"NO",$F1053&lt;&gt;""),"SI","NO")</f>
        <v>NO</v>
      </c>
      <c r="P1053" s="41" t="str">
        <f t="shared" si="135"/>
        <v>🟡</v>
      </c>
      <c r="Q1053" s="41"/>
    </row>
    <row r="1054" spans="1:17" ht="18" hidden="1" customHeight="1" x14ac:dyDescent="0.4">
      <c r="A1054" s="41">
        <f t="shared" si="137"/>
        <v>1053</v>
      </c>
      <c r="B1054" s="41" t="str">
        <f t="shared" si="138"/>
        <v/>
      </c>
      <c r="C1054" s="41"/>
      <c r="D1054" s="41"/>
      <c r="E1054" s="41">
        <f t="shared" si="136"/>
        <v>0</v>
      </c>
      <c r="F1054" s="41"/>
      <c r="G1054" s="41"/>
      <c r="H1054" s="41"/>
      <c r="I1054" s="41"/>
      <c r="J1054" s="42"/>
      <c r="K1054" s="41"/>
      <c r="L1054" s="41"/>
      <c r="M1054" s="41"/>
      <c r="N1054" s="41"/>
      <c r="O1054" s="41" t="str">
        <f t="shared" si="139"/>
        <v>NO</v>
      </c>
      <c r="P1054" s="41" t="str">
        <f t="shared" si="135"/>
        <v>🟡</v>
      </c>
      <c r="Q1054" s="41"/>
    </row>
    <row r="1055" spans="1:17" ht="18" hidden="1" customHeight="1" x14ac:dyDescent="0.4">
      <c r="A1055" s="41">
        <f t="shared" si="137"/>
        <v>1054</v>
      </c>
      <c r="B1055" s="41" t="str">
        <f t="shared" si="138"/>
        <v/>
      </c>
      <c r="C1055" s="41"/>
      <c r="D1055" s="41"/>
      <c r="E1055" s="41">
        <f t="shared" si="136"/>
        <v>0</v>
      </c>
      <c r="F1055" s="41"/>
      <c r="G1055" s="41"/>
      <c r="H1055" s="41"/>
      <c r="I1055" s="41"/>
      <c r="J1055" s="42"/>
      <c r="K1055" s="41"/>
      <c r="L1055" s="41"/>
      <c r="M1055" s="41"/>
      <c r="N1055" s="41"/>
      <c r="O1055" s="41" t="str">
        <f t="shared" si="139"/>
        <v>NO</v>
      </c>
      <c r="P1055" s="41" t="str">
        <f t="shared" ref="P1055:P1118" si="140">IF(UPPER($J1055)="SI","🟢",IF(UPPER($J1055)="NO","🔴","🟡"))</f>
        <v>🟡</v>
      </c>
      <c r="Q1055" s="41"/>
    </row>
    <row r="1056" spans="1:17" ht="18" hidden="1" customHeight="1" x14ac:dyDescent="0.4">
      <c r="A1056" s="41">
        <f t="shared" si="137"/>
        <v>1055</v>
      </c>
      <c r="B1056" s="41" t="str">
        <f t="shared" si="138"/>
        <v/>
      </c>
      <c r="C1056" s="41"/>
      <c r="D1056" s="41"/>
      <c r="E1056" s="41">
        <f t="shared" si="136"/>
        <v>0</v>
      </c>
      <c r="F1056" s="41"/>
      <c r="G1056" s="41"/>
      <c r="H1056" s="41"/>
      <c r="I1056" s="41"/>
      <c r="J1056" s="42"/>
      <c r="K1056" s="41"/>
      <c r="L1056" s="41"/>
      <c r="M1056" s="41"/>
      <c r="N1056" s="41"/>
      <c r="O1056" s="41" t="str">
        <f t="shared" si="139"/>
        <v>NO</v>
      </c>
      <c r="P1056" s="41" t="str">
        <f t="shared" si="140"/>
        <v>🟡</v>
      </c>
      <c r="Q1056" s="41"/>
    </row>
    <row r="1057" spans="1:17" ht="18" hidden="1" customHeight="1" x14ac:dyDescent="0.4">
      <c r="A1057" s="41">
        <f t="shared" si="137"/>
        <v>1056</v>
      </c>
      <c r="B1057" s="41" t="str">
        <f t="shared" si="138"/>
        <v/>
      </c>
      <c r="C1057" s="41"/>
      <c r="D1057" s="41"/>
      <c r="E1057" s="41">
        <f t="shared" si="136"/>
        <v>0</v>
      </c>
      <c r="F1057" s="41"/>
      <c r="G1057" s="41"/>
      <c r="H1057" s="41"/>
      <c r="I1057" s="41"/>
      <c r="J1057" s="42"/>
      <c r="K1057" s="41"/>
      <c r="L1057" s="41"/>
      <c r="M1057" s="41"/>
      <c r="N1057" s="41"/>
      <c r="O1057" s="41" t="str">
        <f t="shared" si="139"/>
        <v>NO</v>
      </c>
      <c r="P1057" s="41" t="str">
        <f t="shared" si="140"/>
        <v>🟡</v>
      </c>
      <c r="Q1057" s="41"/>
    </row>
    <row r="1058" spans="1:17" ht="18" hidden="1" customHeight="1" x14ac:dyDescent="0.4">
      <c r="A1058" s="41">
        <f t="shared" si="137"/>
        <v>1057</v>
      </c>
      <c r="B1058" s="41" t="str">
        <f t="shared" si="138"/>
        <v/>
      </c>
      <c r="C1058" s="41"/>
      <c r="D1058" s="41"/>
      <c r="E1058" s="41">
        <f t="shared" si="136"/>
        <v>0</v>
      </c>
      <c r="F1058" s="41"/>
      <c r="G1058" s="41"/>
      <c r="H1058" s="41"/>
      <c r="I1058" s="41"/>
      <c r="J1058" s="42"/>
      <c r="K1058" s="41"/>
      <c r="L1058" s="41"/>
      <c r="M1058" s="41"/>
      <c r="N1058" s="41"/>
      <c r="O1058" s="41" t="str">
        <f t="shared" si="139"/>
        <v>NO</v>
      </c>
      <c r="P1058" s="41" t="str">
        <f t="shared" si="140"/>
        <v>🟡</v>
      </c>
      <c r="Q1058" s="41"/>
    </row>
    <row r="1059" spans="1:17" ht="18" hidden="1" customHeight="1" x14ac:dyDescent="0.4">
      <c r="A1059" s="41">
        <f t="shared" si="137"/>
        <v>1058</v>
      </c>
      <c r="B1059" s="41" t="str">
        <f t="shared" si="138"/>
        <v/>
      </c>
      <c r="C1059" s="41"/>
      <c r="D1059" s="41"/>
      <c r="E1059" s="41">
        <f t="shared" si="136"/>
        <v>0</v>
      </c>
      <c r="F1059" s="41"/>
      <c r="G1059" s="41"/>
      <c r="H1059" s="41"/>
      <c r="I1059" s="41"/>
      <c r="J1059" s="42"/>
      <c r="K1059" s="41"/>
      <c r="L1059" s="41"/>
      <c r="M1059" s="41"/>
      <c r="N1059" s="41"/>
      <c r="O1059" s="41" t="str">
        <f t="shared" si="139"/>
        <v>NO</v>
      </c>
      <c r="P1059" s="41" t="str">
        <f t="shared" si="140"/>
        <v>🟡</v>
      </c>
      <c r="Q1059" s="41"/>
    </row>
    <row r="1060" spans="1:17" ht="18" hidden="1" customHeight="1" x14ac:dyDescent="0.4">
      <c r="A1060" s="41">
        <f t="shared" si="137"/>
        <v>1059</v>
      </c>
      <c r="B1060" s="41" t="str">
        <f t="shared" si="138"/>
        <v/>
      </c>
      <c r="C1060" s="41"/>
      <c r="D1060" s="41"/>
      <c r="E1060" s="41">
        <f t="shared" ref="E1060:E1123" si="141">IF(UPPER($J1060)="NO","",$N1060)</f>
        <v>0</v>
      </c>
      <c r="F1060" s="41"/>
      <c r="G1060" s="41"/>
      <c r="H1060" s="41"/>
      <c r="I1060" s="41"/>
      <c r="J1060" s="42"/>
      <c r="K1060" s="41"/>
      <c r="L1060" s="41"/>
      <c r="M1060" s="41"/>
      <c r="N1060" s="41"/>
      <c r="O1060" s="41" t="str">
        <f t="shared" si="139"/>
        <v>NO</v>
      </c>
      <c r="P1060" s="41" t="str">
        <f t="shared" si="140"/>
        <v>🟡</v>
      </c>
      <c r="Q1060" s="41"/>
    </row>
    <row r="1061" spans="1:17" ht="18" hidden="1" customHeight="1" x14ac:dyDescent="0.4">
      <c r="A1061" s="41">
        <f t="shared" si="137"/>
        <v>1060</v>
      </c>
      <c r="B1061" s="41" t="str">
        <f t="shared" si="138"/>
        <v/>
      </c>
      <c r="C1061" s="41"/>
      <c r="D1061" s="41"/>
      <c r="E1061" s="41">
        <f t="shared" si="141"/>
        <v>0</v>
      </c>
      <c r="F1061" s="41"/>
      <c r="G1061" s="41"/>
      <c r="H1061" s="41"/>
      <c r="I1061" s="41"/>
      <c r="J1061" s="42"/>
      <c r="K1061" s="41"/>
      <c r="L1061" s="41"/>
      <c r="M1061" s="41"/>
      <c r="N1061" s="41"/>
      <c r="O1061" s="41" t="str">
        <f t="shared" si="139"/>
        <v>NO</v>
      </c>
      <c r="P1061" s="41" t="str">
        <f t="shared" si="140"/>
        <v>🟡</v>
      </c>
      <c r="Q1061" s="41"/>
    </row>
    <row r="1062" spans="1:17" ht="18" hidden="1" customHeight="1" x14ac:dyDescent="0.4">
      <c r="A1062" s="41">
        <f t="shared" si="137"/>
        <v>1061</v>
      </c>
      <c r="B1062" s="41" t="str">
        <f t="shared" si="138"/>
        <v/>
      </c>
      <c r="C1062" s="41"/>
      <c r="D1062" s="41"/>
      <c r="E1062" s="41">
        <f t="shared" si="141"/>
        <v>0</v>
      </c>
      <c r="F1062" s="41"/>
      <c r="G1062" s="41"/>
      <c r="H1062" s="41"/>
      <c r="I1062" s="41"/>
      <c r="J1062" s="42"/>
      <c r="K1062" s="41"/>
      <c r="L1062" s="41"/>
      <c r="M1062" s="41"/>
      <c r="N1062" s="41"/>
      <c r="O1062" s="41" t="str">
        <f t="shared" si="139"/>
        <v>NO</v>
      </c>
      <c r="P1062" s="41" t="str">
        <f t="shared" si="140"/>
        <v>🟡</v>
      </c>
      <c r="Q1062" s="41"/>
    </row>
    <row r="1063" spans="1:17" ht="18" hidden="1" customHeight="1" x14ac:dyDescent="0.4">
      <c r="A1063" s="41">
        <f t="shared" si="137"/>
        <v>1062</v>
      </c>
      <c r="B1063" s="41" t="str">
        <f t="shared" si="138"/>
        <v/>
      </c>
      <c r="C1063" s="41"/>
      <c r="D1063" s="41"/>
      <c r="E1063" s="41">
        <f t="shared" si="141"/>
        <v>0</v>
      </c>
      <c r="F1063" s="41"/>
      <c r="G1063" s="41"/>
      <c r="H1063" s="41"/>
      <c r="I1063" s="41"/>
      <c r="J1063" s="42"/>
      <c r="K1063" s="41"/>
      <c r="L1063" s="41"/>
      <c r="M1063" s="41"/>
      <c r="N1063" s="41"/>
      <c r="O1063" s="41" t="str">
        <f t="shared" si="139"/>
        <v>NO</v>
      </c>
      <c r="P1063" s="41" t="str">
        <f t="shared" si="140"/>
        <v>🟡</v>
      </c>
      <c r="Q1063" s="41"/>
    </row>
    <row r="1064" spans="1:17" ht="18" hidden="1" customHeight="1" x14ac:dyDescent="0.4">
      <c r="A1064" s="41">
        <f t="shared" si="137"/>
        <v>1063</v>
      </c>
      <c r="B1064" s="41" t="str">
        <f t="shared" si="138"/>
        <v/>
      </c>
      <c r="C1064" s="41"/>
      <c r="D1064" s="41"/>
      <c r="E1064" s="41">
        <f t="shared" si="141"/>
        <v>0</v>
      </c>
      <c r="F1064" s="41"/>
      <c r="G1064" s="41"/>
      <c r="H1064" s="41"/>
      <c r="I1064" s="41"/>
      <c r="J1064" s="42"/>
      <c r="K1064" s="41"/>
      <c r="L1064" s="41"/>
      <c r="M1064" s="41"/>
      <c r="N1064" s="41"/>
      <c r="O1064" s="41" t="str">
        <f t="shared" si="139"/>
        <v>NO</v>
      </c>
      <c r="P1064" s="41" t="str">
        <f t="shared" si="140"/>
        <v>🟡</v>
      </c>
      <c r="Q1064" s="41"/>
    </row>
    <row r="1065" spans="1:17" ht="18" hidden="1" customHeight="1" x14ac:dyDescent="0.4">
      <c r="A1065" s="41">
        <f t="shared" si="137"/>
        <v>1064</v>
      </c>
      <c r="B1065" s="41" t="str">
        <f t="shared" si="138"/>
        <v/>
      </c>
      <c r="C1065" s="41"/>
      <c r="D1065" s="41"/>
      <c r="E1065" s="41">
        <f t="shared" si="141"/>
        <v>0</v>
      </c>
      <c r="F1065" s="41"/>
      <c r="G1065" s="41"/>
      <c r="H1065" s="41"/>
      <c r="I1065" s="41"/>
      <c r="J1065" s="42"/>
      <c r="K1065" s="41"/>
      <c r="L1065" s="41"/>
      <c r="M1065" s="41"/>
      <c r="N1065" s="41"/>
      <c r="O1065" s="41" t="str">
        <f t="shared" si="139"/>
        <v>NO</v>
      </c>
      <c r="P1065" s="41" t="str">
        <f t="shared" si="140"/>
        <v>🟡</v>
      </c>
      <c r="Q1065" s="41"/>
    </row>
    <row r="1066" spans="1:17" ht="18" hidden="1" customHeight="1" x14ac:dyDescent="0.4">
      <c r="A1066" s="41">
        <f t="shared" si="137"/>
        <v>1065</v>
      </c>
      <c r="B1066" s="41" t="str">
        <f t="shared" si="138"/>
        <v/>
      </c>
      <c r="C1066" s="41"/>
      <c r="D1066" s="41"/>
      <c r="E1066" s="41">
        <f t="shared" si="141"/>
        <v>0</v>
      </c>
      <c r="F1066" s="41"/>
      <c r="G1066" s="41"/>
      <c r="H1066" s="41"/>
      <c r="I1066" s="41"/>
      <c r="J1066" s="42"/>
      <c r="K1066" s="41"/>
      <c r="L1066" s="41"/>
      <c r="M1066" s="41"/>
      <c r="N1066" s="41"/>
      <c r="O1066" s="41" t="str">
        <f t="shared" si="139"/>
        <v>NO</v>
      </c>
      <c r="P1066" s="41" t="str">
        <f t="shared" si="140"/>
        <v>🟡</v>
      </c>
      <c r="Q1066" s="41"/>
    </row>
    <row r="1067" spans="1:17" ht="18" hidden="1" customHeight="1" x14ac:dyDescent="0.4">
      <c r="A1067" s="41">
        <f t="shared" si="137"/>
        <v>1066</v>
      </c>
      <c r="B1067" s="41" t="str">
        <f t="shared" si="138"/>
        <v/>
      </c>
      <c r="C1067" s="41"/>
      <c r="D1067" s="41"/>
      <c r="E1067" s="41">
        <f t="shared" si="141"/>
        <v>0</v>
      </c>
      <c r="F1067" s="41"/>
      <c r="G1067" s="41"/>
      <c r="H1067" s="41"/>
      <c r="I1067" s="41"/>
      <c r="J1067" s="42"/>
      <c r="K1067" s="41"/>
      <c r="L1067" s="41"/>
      <c r="M1067" s="41"/>
      <c r="N1067" s="41"/>
      <c r="O1067" s="41" t="str">
        <f t="shared" si="139"/>
        <v>NO</v>
      </c>
      <c r="P1067" s="41" t="str">
        <f t="shared" si="140"/>
        <v>🟡</v>
      </c>
      <c r="Q1067" s="41"/>
    </row>
    <row r="1068" spans="1:17" ht="18" hidden="1" customHeight="1" x14ac:dyDescent="0.4">
      <c r="A1068" s="41">
        <f t="shared" si="137"/>
        <v>1067</v>
      </c>
      <c r="B1068" s="41" t="str">
        <f t="shared" si="138"/>
        <v/>
      </c>
      <c r="C1068" s="41"/>
      <c r="D1068" s="41"/>
      <c r="E1068" s="41">
        <f t="shared" si="141"/>
        <v>0</v>
      </c>
      <c r="F1068" s="41"/>
      <c r="G1068" s="41"/>
      <c r="H1068" s="41"/>
      <c r="I1068" s="41"/>
      <c r="J1068" s="42"/>
      <c r="K1068" s="41"/>
      <c r="L1068" s="41"/>
      <c r="M1068" s="41"/>
      <c r="N1068" s="41"/>
      <c r="O1068" s="41" t="str">
        <f t="shared" si="139"/>
        <v>NO</v>
      </c>
      <c r="P1068" s="41" t="str">
        <f t="shared" si="140"/>
        <v>🟡</v>
      </c>
      <c r="Q1068" s="41"/>
    </row>
    <row r="1069" spans="1:17" ht="18" hidden="1" customHeight="1" x14ac:dyDescent="0.4">
      <c r="A1069" s="41">
        <f t="shared" si="137"/>
        <v>1068</v>
      </c>
      <c r="B1069" s="41" t="str">
        <f t="shared" si="138"/>
        <v/>
      </c>
      <c r="C1069" s="41"/>
      <c r="D1069" s="41"/>
      <c r="E1069" s="41">
        <f t="shared" si="141"/>
        <v>0</v>
      </c>
      <c r="F1069" s="41"/>
      <c r="G1069" s="41"/>
      <c r="H1069" s="41"/>
      <c r="I1069" s="41"/>
      <c r="J1069" s="42"/>
      <c r="K1069" s="41"/>
      <c r="L1069" s="41"/>
      <c r="M1069" s="41"/>
      <c r="N1069" s="41"/>
      <c r="O1069" s="41" t="str">
        <f t="shared" si="139"/>
        <v>NO</v>
      </c>
      <c r="P1069" s="41" t="str">
        <f t="shared" si="140"/>
        <v>🟡</v>
      </c>
      <c r="Q1069" s="41"/>
    </row>
    <row r="1070" spans="1:17" ht="18" hidden="1" customHeight="1" x14ac:dyDescent="0.4">
      <c r="A1070" s="41">
        <f t="shared" si="137"/>
        <v>1069</v>
      </c>
      <c r="B1070" s="41" t="str">
        <f t="shared" si="138"/>
        <v/>
      </c>
      <c r="C1070" s="41"/>
      <c r="D1070" s="41"/>
      <c r="E1070" s="41">
        <f t="shared" si="141"/>
        <v>0</v>
      </c>
      <c r="F1070" s="41"/>
      <c r="G1070" s="41"/>
      <c r="H1070" s="41"/>
      <c r="I1070" s="41"/>
      <c r="J1070" s="42"/>
      <c r="K1070" s="41"/>
      <c r="L1070" s="41"/>
      <c r="M1070" s="41"/>
      <c r="N1070" s="41"/>
      <c r="O1070" s="41" t="str">
        <f t="shared" si="139"/>
        <v>NO</v>
      </c>
      <c r="P1070" s="41" t="str">
        <f t="shared" si="140"/>
        <v>🟡</v>
      </c>
      <c r="Q1070" s="41"/>
    </row>
    <row r="1071" spans="1:17" ht="18" hidden="1" customHeight="1" x14ac:dyDescent="0.4">
      <c r="A1071" s="41">
        <f t="shared" si="137"/>
        <v>1070</v>
      </c>
      <c r="B1071" s="41" t="str">
        <f t="shared" si="138"/>
        <v/>
      </c>
      <c r="C1071" s="41"/>
      <c r="D1071" s="41"/>
      <c r="E1071" s="41">
        <f t="shared" si="141"/>
        <v>0</v>
      </c>
      <c r="F1071" s="41"/>
      <c r="G1071" s="41"/>
      <c r="H1071" s="41"/>
      <c r="I1071" s="41"/>
      <c r="J1071" s="42"/>
      <c r="K1071" s="41"/>
      <c r="L1071" s="41"/>
      <c r="M1071" s="41"/>
      <c r="N1071" s="41"/>
      <c r="O1071" s="41" t="str">
        <f t="shared" si="139"/>
        <v>NO</v>
      </c>
      <c r="P1071" s="41" t="str">
        <f t="shared" si="140"/>
        <v>🟡</v>
      </c>
      <c r="Q1071" s="41"/>
    </row>
    <row r="1072" spans="1:17" ht="18" hidden="1" customHeight="1" x14ac:dyDescent="0.4">
      <c r="A1072" s="41">
        <f t="shared" si="137"/>
        <v>1071</v>
      </c>
      <c r="B1072" s="41" t="str">
        <f t="shared" si="138"/>
        <v/>
      </c>
      <c r="C1072" s="41"/>
      <c r="D1072" s="41"/>
      <c r="E1072" s="41">
        <f t="shared" si="141"/>
        <v>0</v>
      </c>
      <c r="F1072" s="41"/>
      <c r="G1072" s="41"/>
      <c r="H1072" s="41"/>
      <c r="I1072" s="41"/>
      <c r="J1072" s="42"/>
      <c r="K1072" s="41"/>
      <c r="L1072" s="41"/>
      <c r="M1072" s="41"/>
      <c r="N1072" s="41"/>
      <c r="O1072" s="41" t="str">
        <f t="shared" si="139"/>
        <v>NO</v>
      </c>
      <c r="P1072" s="41" t="str">
        <f t="shared" si="140"/>
        <v>🟡</v>
      </c>
      <c r="Q1072" s="41"/>
    </row>
    <row r="1073" spans="1:17" ht="18" hidden="1" customHeight="1" x14ac:dyDescent="0.4">
      <c r="A1073" s="41">
        <f t="shared" si="137"/>
        <v>1072</v>
      </c>
      <c r="B1073" s="41" t="str">
        <f t="shared" si="138"/>
        <v/>
      </c>
      <c r="C1073" s="41"/>
      <c r="D1073" s="41"/>
      <c r="E1073" s="41">
        <f t="shared" si="141"/>
        <v>0</v>
      </c>
      <c r="F1073" s="41"/>
      <c r="G1073" s="41"/>
      <c r="H1073" s="41"/>
      <c r="I1073" s="41"/>
      <c r="J1073" s="42"/>
      <c r="K1073" s="41"/>
      <c r="L1073" s="41"/>
      <c r="M1073" s="41"/>
      <c r="N1073" s="41"/>
      <c r="O1073" s="41" t="str">
        <f t="shared" si="139"/>
        <v>NO</v>
      </c>
      <c r="P1073" s="41" t="str">
        <f t="shared" si="140"/>
        <v>🟡</v>
      </c>
      <c r="Q1073" s="41"/>
    </row>
    <row r="1074" spans="1:17" ht="18" hidden="1" customHeight="1" x14ac:dyDescent="0.4">
      <c r="A1074" s="41">
        <f t="shared" si="137"/>
        <v>1073</v>
      </c>
      <c r="B1074" s="41" t="str">
        <f t="shared" si="138"/>
        <v/>
      </c>
      <c r="C1074" s="41"/>
      <c r="D1074" s="41"/>
      <c r="E1074" s="41">
        <f t="shared" si="141"/>
        <v>0</v>
      </c>
      <c r="F1074" s="41"/>
      <c r="G1074" s="41"/>
      <c r="H1074" s="41"/>
      <c r="I1074" s="41"/>
      <c r="J1074" s="42"/>
      <c r="K1074" s="41"/>
      <c r="L1074" s="41"/>
      <c r="M1074" s="41"/>
      <c r="N1074" s="41"/>
      <c r="O1074" s="41" t="str">
        <f t="shared" si="139"/>
        <v>NO</v>
      </c>
      <c r="P1074" s="41" t="str">
        <f t="shared" si="140"/>
        <v>🟡</v>
      </c>
      <c r="Q1074" s="41"/>
    </row>
    <row r="1075" spans="1:17" ht="18" hidden="1" customHeight="1" x14ac:dyDescent="0.4">
      <c r="A1075" s="41">
        <f t="shared" si="137"/>
        <v>1074</v>
      </c>
      <c r="B1075" s="41" t="str">
        <f t="shared" si="138"/>
        <v/>
      </c>
      <c r="C1075" s="41"/>
      <c r="D1075" s="41"/>
      <c r="E1075" s="41">
        <f t="shared" si="141"/>
        <v>0</v>
      </c>
      <c r="F1075" s="41"/>
      <c r="G1075" s="41"/>
      <c r="H1075" s="41"/>
      <c r="I1075" s="41"/>
      <c r="J1075" s="42"/>
      <c r="K1075" s="41"/>
      <c r="L1075" s="41"/>
      <c r="M1075" s="41"/>
      <c r="N1075" s="41"/>
      <c r="O1075" s="41" t="str">
        <f t="shared" si="139"/>
        <v>NO</v>
      </c>
      <c r="P1075" s="41" t="str">
        <f t="shared" si="140"/>
        <v>🟡</v>
      </c>
      <c r="Q1075" s="41"/>
    </row>
    <row r="1076" spans="1:17" ht="18" hidden="1" customHeight="1" x14ac:dyDescent="0.4">
      <c r="A1076" s="41">
        <f t="shared" si="137"/>
        <v>1075</v>
      </c>
      <c r="B1076" s="41" t="str">
        <f t="shared" si="138"/>
        <v/>
      </c>
      <c r="C1076" s="41"/>
      <c r="D1076" s="41"/>
      <c r="E1076" s="41">
        <f t="shared" si="141"/>
        <v>0</v>
      </c>
      <c r="F1076" s="41"/>
      <c r="G1076" s="41"/>
      <c r="H1076" s="41"/>
      <c r="I1076" s="41"/>
      <c r="J1076" s="42"/>
      <c r="K1076" s="41"/>
      <c r="L1076" s="41"/>
      <c r="M1076" s="41"/>
      <c r="N1076" s="41"/>
      <c r="O1076" s="41" t="str">
        <f t="shared" si="139"/>
        <v>NO</v>
      </c>
      <c r="P1076" s="41" t="str">
        <f t="shared" si="140"/>
        <v>🟡</v>
      </c>
      <c r="Q1076" s="41"/>
    </row>
    <row r="1077" spans="1:17" ht="18" hidden="1" customHeight="1" x14ac:dyDescent="0.4">
      <c r="A1077" s="41">
        <f t="shared" si="137"/>
        <v>1076</v>
      </c>
      <c r="B1077" s="41" t="str">
        <f t="shared" si="138"/>
        <v/>
      </c>
      <c r="C1077" s="41"/>
      <c r="D1077" s="41"/>
      <c r="E1077" s="41">
        <f t="shared" si="141"/>
        <v>0</v>
      </c>
      <c r="F1077" s="41"/>
      <c r="G1077" s="41"/>
      <c r="H1077" s="41"/>
      <c r="I1077" s="41"/>
      <c r="J1077" s="42"/>
      <c r="K1077" s="41"/>
      <c r="L1077" s="41"/>
      <c r="M1077" s="41"/>
      <c r="N1077" s="41"/>
      <c r="O1077" s="41" t="str">
        <f t="shared" si="139"/>
        <v>NO</v>
      </c>
      <c r="P1077" s="41" t="str">
        <f t="shared" si="140"/>
        <v>🟡</v>
      </c>
      <c r="Q1077" s="41"/>
    </row>
    <row r="1078" spans="1:17" ht="18" hidden="1" customHeight="1" x14ac:dyDescent="0.4">
      <c r="A1078" s="41">
        <f t="shared" si="137"/>
        <v>1077</v>
      </c>
      <c r="B1078" s="41" t="str">
        <f t="shared" si="138"/>
        <v/>
      </c>
      <c r="C1078" s="41"/>
      <c r="D1078" s="41"/>
      <c r="E1078" s="41">
        <f t="shared" si="141"/>
        <v>0</v>
      </c>
      <c r="F1078" s="41"/>
      <c r="G1078" s="41"/>
      <c r="H1078" s="41"/>
      <c r="I1078" s="41"/>
      <c r="J1078" s="42"/>
      <c r="K1078" s="41"/>
      <c r="L1078" s="41"/>
      <c r="M1078" s="41"/>
      <c r="N1078" s="41"/>
      <c r="O1078" s="41" t="str">
        <f t="shared" si="139"/>
        <v>NO</v>
      </c>
      <c r="P1078" s="41" t="str">
        <f t="shared" si="140"/>
        <v>🟡</v>
      </c>
      <c r="Q1078" s="41"/>
    </row>
    <row r="1079" spans="1:17" ht="18" hidden="1" customHeight="1" x14ac:dyDescent="0.4">
      <c r="A1079" s="41">
        <f t="shared" si="137"/>
        <v>1078</v>
      </c>
      <c r="B1079" s="41" t="str">
        <f t="shared" si="138"/>
        <v/>
      </c>
      <c r="C1079" s="41"/>
      <c r="D1079" s="41"/>
      <c r="E1079" s="41">
        <f t="shared" si="141"/>
        <v>0</v>
      </c>
      <c r="F1079" s="41"/>
      <c r="G1079" s="41"/>
      <c r="H1079" s="41"/>
      <c r="I1079" s="41"/>
      <c r="J1079" s="42"/>
      <c r="K1079" s="41"/>
      <c r="L1079" s="41"/>
      <c r="M1079" s="41"/>
      <c r="N1079" s="41"/>
      <c r="O1079" s="41" t="str">
        <f t="shared" si="139"/>
        <v>NO</v>
      </c>
      <c r="P1079" s="41" t="str">
        <f t="shared" si="140"/>
        <v>🟡</v>
      </c>
      <c r="Q1079" s="41"/>
    </row>
    <row r="1080" spans="1:17" ht="18" hidden="1" customHeight="1" x14ac:dyDescent="0.4">
      <c r="A1080" s="41">
        <f t="shared" si="137"/>
        <v>1079</v>
      </c>
      <c r="B1080" s="41" t="str">
        <f t="shared" si="138"/>
        <v/>
      </c>
      <c r="C1080" s="41"/>
      <c r="D1080" s="41"/>
      <c r="E1080" s="41">
        <f t="shared" si="141"/>
        <v>0</v>
      </c>
      <c r="F1080" s="41"/>
      <c r="G1080" s="41"/>
      <c r="H1080" s="41"/>
      <c r="I1080" s="41"/>
      <c r="J1080" s="42"/>
      <c r="K1080" s="41"/>
      <c r="L1080" s="41"/>
      <c r="M1080" s="41"/>
      <c r="N1080" s="41"/>
      <c r="O1080" s="41" t="str">
        <f t="shared" si="139"/>
        <v>NO</v>
      </c>
      <c r="P1080" s="41" t="str">
        <f t="shared" si="140"/>
        <v>🟡</v>
      </c>
      <c r="Q1080" s="41"/>
    </row>
    <row r="1081" spans="1:17" ht="18" hidden="1" customHeight="1" x14ac:dyDescent="0.4">
      <c r="A1081" s="41">
        <f t="shared" si="137"/>
        <v>1080</v>
      </c>
      <c r="B1081" s="41" t="str">
        <f t="shared" si="138"/>
        <v/>
      </c>
      <c r="C1081" s="41"/>
      <c r="D1081" s="41"/>
      <c r="E1081" s="41">
        <f t="shared" si="141"/>
        <v>0</v>
      </c>
      <c r="F1081" s="41"/>
      <c r="G1081" s="41"/>
      <c r="H1081" s="41"/>
      <c r="I1081" s="41"/>
      <c r="J1081" s="42"/>
      <c r="K1081" s="41"/>
      <c r="L1081" s="41"/>
      <c r="M1081" s="41"/>
      <c r="N1081" s="41"/>
      <c r="O1081" s="41" t="str">
        <f t="shared" si="139"/>
        <v>NO</v>
      </c>
      <c r="P1081" s="41" t="str">
        <f t="shared" si="140"/>
        <v>🟡</v>
      </c>
      <c r="Q1081" s="41"/>
    </row>
    <row r="1082" spans="1:17" ht="18" hidden="1" customHeight="1" x14ac:dyDescent="0.4">
      <c r="A1082" s="41">
        <f t="shared" si="137"/>
        <v>1081</v>
      </c>
      <c r="B1082" s="41" t="str">
        <f t="shared" si="138"/>
        <v/>
      </c>
      <c r="C1082" s="41"/>
      <c r="D1082" s="41"/>
      <c r="E1082" s="41">
        <f t="shared" si="141"/>
        <v>0</v>
      </c>
      <c r="F1082" s="41"/>
      <c r="G1082" s="41"/>
      <c r="H1082" s="41"/>
      <c r="I1082" s="41"/>
      <c r="J1082" s="42"/>
      <c r="K1082" s="41"/>
      <c r="L1082" s="41"/>
      <c r="M1082" s="41"/>
      <c r="N1082" s="41"/>
      <c r="O1082" s="41" t="str">
        <f t="shared" si="139"/>
        <v>NO</v>
      </c>
      <c r="P1082" s="41" t="str">
        <f t="shared" si="140"/>
        <v>🟡</v>
      </c>
      <c r="Q1082" s="41"/>
    </row>
    <row r="1083" spans="1:17" ht="18" hidden="1" customHeight="1" x14ac:dyDescent="0.4">
      <c r="A1083" s="41">
        <f t="shared" si="137"/>
        <v>1082</v>
      </c>
      <c r="B1083" s="41" t="str">
        <f t="shared" si="138"/>
        <v/>
      </c>
      <c r="C1083" s="41"/>
      <c r="D1083" s="41"/>
      <c r="E1083" s="41">
        <f t="shared" si="141"/>
        <v>0</v>
      </c>
      <c r="F1083" s="41"/>
      <c r="G1083" s="41"/>
      <c r="H1083" s="41"/>
      <c r="I1083" s="41"/>
      <c r="J1083" s="42"/>
      <c r="K1083" s="41"/>
      <c r="L1083" s="41"/>
      <c r="M1083" s="41"/>
      <c r="N1083" s="41"/>
      <c r="O1083" s="41" t="str">
        <f t="shared" si="139"/>
        <v>NO</v>
      </c>
      <c r="P1083" s="41" t="str">
        <f t="shared" si="140"/>
        <v>🟡</v>
      </c>
      <c r="Q1083" s="41"/>
    </row>
    <row r="1084" spans="1:17" ht="18" hidden="1" customHeight="1" x14ac:dyDescent="0.4">
      <c r="A1084" s="41">
        <f t="shared" si="137"/>
        <v>1083</v>
      </c>
      <c r="B1084" s="41" t="str">
        <f t="shared" si="138"/>
        <v/>
      </c>
      <c r="C1084" s="41"/>
      <c r="D1084" s="41"/>
      <c r="E1084" s="41">
        <f t="shared" si="141"/>
        <v>0</v>
      </c>
      <c r="F1084" s="41"/>
      <c r="G1084" s="41"/>
      <c r="H1084" s="41"/>
      <c r="I1084" s="41"/>
      <c r="J1084" s="42"/>
      <c r="K1084" s="41"/>
      <c r="L1084" s="41"/>
      <c r="M1084" s="41"/>
      <c r="N1084" s="41"/>
      <c r="O1084" s="41" t="str">
        <f t="shared" si="139"/>
        <v>NO</v>
      </c>
      <c r="P1084" s="41" t="str">
        <f t="shared" si="140"/>
        <v>🟡</v>
      </c>
      <c r="Q1084" s="41"/>
    </row>
    <row r="1085" spans="1:17" ht="18" hidden="1" customHeight="1" x14ac:dyDescent="0.4">
      <c r="A1085" s="41">
        <f t="shared" si="137"/>
        <v>1084</v>
      </c>
      <c r="B1085" s="41" t="str">
        <f t="shared" si="138"/>
        <v/>
      </c>
      <c r="C1085" s="41"/>
      <c r="D1085" s="41"/>
      <c r="E1085" s="41">
        <f t="shared" si="141"/>
        <v>0</v>
      </c>
      <c r="F1085" s="41"/>
      <c r="G1085" s="41"/>
      <c r="H1085" s="41"/>
      <c r="I1085" s="41"/>
      <c r="J1085" s="42"/>
      <c r="K1085" s="41"/>
      <c r="L1085" s="41"/>
      <c r="M1085" s="41"/>
      <c r="N1085" s="41"/>
      <c r="O1085" s="41" t="str">
        <f t="shared" si="139"/>
        <v>NO</v>
      </c>
      <c r="P1085" s="41" t="str">
        <f t="shared" si="140"/>
        <v>🟡</v>
      </c>
      <c r="Q1085" s="41"/>
    </row>
    <row r="1086" spans="1:17" ht="18" hidden="1" customHeight="1" x14ac:dyDescent="0.4">
      <c r="A1086" s="41">
        <f t="shared" si="137"/>
        <v>1085</v>
      </c>
      <c r="B1086" s="41" t="str">
        <f t="shared" si="138"/>
        <v/>
      </c>
      <c r="C1086" s="41"/>
      <c r="D1086" s="41"/>
      <c r="E1086" s="41">
        <f t="shared" si="141"/>
        <v>0</v>
      </c>
      <c r="F1086" s="41"/>
      <c r="G1086" s="41"/>
      <c r="H1086" s="41"/>
      <c r="I1086" s="41"/>
      <c r="J1086" s="42"/>
      <c r="K1086" s="41"/>
      <c r="L1086" s="41"/>
      <c r="M1086" s="41"/>
      <c r="N1086" s="41"/>
      <c r="O1086" s="41" t="str">
        <f t="shared" si="139"/>
        <v>NO</v>
      </c>
      <c r="P1086" s="41" t="str">
        <f t="shared" si="140"/>
        <v>🟡</v>
      </c>
      <c r="Q1086" s="41"/>
    </row>
    <row r="1087" spans="1:17" ht="18" hidden="1" customHeight="1" x14ac:dyDescent="0.4">
      <c r="A1087" s="41">
        <f t="shared" si="137"/>
        <v>1086</v>
      </c>
      <c r="B1087" s="41" t="str">
        <f t="shared" si="138"/>
        <v/>
      </c>
      <c r="C1087" s="41"/>
      <c r="D1087" s="41"/>
      <c r="E1087" s="41">
        <f t="shared" si="141"/>
        <v>0</v>
      </c>
      <c r="F1087" s="41"/>
      <c r="G1087" s="41"/>
      <c r="H1087" s="41"/>
      <c r="I1087" s="41"/>
      <c r="J1087" s="42"/>
      <c r="K1087" s="41"/>
      <c r="L1087" s="41"/>
      <c r="M1087" s="41"/>
      <c r="N1087" s="41"/>
      <c r="O1087" s="41" t="str">
        <f t="shared" si="139"/>
        <v>NO</v>
      </c>
      <c r="P1087" s="41" t="str">
        <f t="shared" si="140"/>
        <v>🟡</v>
      </c>
      <c r="Q1087" s="41"/>
    </row>
    <row r="1088" spans="1:17" ht="18" hidden="1" customHeight="1" x14ac:dyDescent="0.4">
      <c r="A1088" s="41">
        <f t="shared" si="137"/>
        <v>1087</v>
      </c>
      <c r="B1088" s="41" t="str">
        <f t="shared" si="138"/>
        <v/>
      </c>
      <c r="C1088" s="41"/>
      <c r="D1088" s="41"/>
      <c r="E1088" s="41">
        <f t="shared" si="141"/>
        <v>0</v>
      </c>
      <c r="F1088" s="41"/>
      <c r="G1088" s="41"/>
      <c r="H1088" s="41"/>
      <c r="I1088" s="41"/>
      <c r="J1088" s="42"/>
      <c r="K1088" s="41"/>
      <c r="L1088" s="41"/>
      <c r="M1088" s="41"/>
      <c r="N1088" s="41"/>
      <c r="O1088" s="41" t="str">
        <f t="shared" si="139"/>
        <v>NO</v>
      </c>
      <c r="P1088" s="41" t="str">
        <f t="shared" si="140"/>
        <v>🟡</v>
      </c>
      <c r="Q1088" s="41"/>
    </row>
    <row r="1089" spans="1:17" ht="18" hidden="1" customHeight="1" x14ac:dyDescent="0.4">
      <c r="A1089" s="41">
        <f t="shared" si="137"/>
        <v>1088</v>
      </c>
      <c r="B1089" s="41" t="str">
        <f t="shared" si="138"/>
        <v/>
      </c>
      <c r="C1089" s="41"/>
      <c r="D1089" s="41"/>
      <c r="E1089" s="41">
        <f t="shared" si="141"/>
        <v>0</v>
      </c>
      <c r="F1089" s="41"/>
      <c r="G1089" s="41"/>
      <c r="H1089" s="41"/>
      <c r="I1089" s="41"/>
      <c r="J1089" s="42"/>
      <c r="K1089" s="41"/>
      <c r="L1089" s="41"/>
      <c r="M1089" s="41"/>
      <c r="N1089" s="41"/>
      <c r="O1089" s="41" t="str">
        <f t="shared" si="139"/>
        <v>NO</v>
      </c>
      <c r="P1089" s="41" t="str">
        <f t="shared" si="140"/>
        <v>🟡</v>
      </c>
      <c r="Q1089" s="41"/>
    </row>
    <row r="1090" spans="1:17" ht="18" hidden="1" customHeight="1" x14ac:dyDescent="0.4">
      <c r="A1090" s="41">
        <f t="shared" si="137"/>
        <v>1089</v>
      </c>
      <c r="B1090" s="41" t="str">
        <f t="shared" si="138"/>
        <v/>
      </c>
      <c r="C1090" s="41"/>
      <c r="D1090" s="41"/>
      <c r="E1090" s="41">
        <f t="shared" si="141"/>
        <v>0</v>
      </c>
      <c r="F1090" s="41"/>
      <c r="G1090" s="41"/>
      <c r="H1090" s="41"/>
      <c r="I1090" s="41"/>
      <c r="J1090" s="42"/>
      <c r="K1090" s="41"/>
      <c r="L1090" s="41"/>
      <c r="M1090" s="41"/>
      <c r="N1090" s="41"/>
      <c r="O1090" s="41" t="str">
        <f t="shared" si="139"/>
        <v>NO</v>
      </c>
      <c r="P1090" s="41" t="str">
        <f t="shared" si="140"/>
        <v>🟡</v>
      </c>
      <c r="Q1090" s="41"/>
    </row>
    <row r="1091" spans="1:17" ht="18" hidden="1" customHeight="1" x14ac:dyDescent="0.4">
      <c r="A1091" s="41">
        <f t="shared" si="137"/>
        <v>1090</v>
      </c>
      <c r="B1091" s="41" t="str">
        <f t="shared" si="138"/>
        <v/>
      </c>
      <c r="C1091" s="41"/>
      <c r="D1091" s="41"/>
      <c r="E1091" s="41">
        <f t="shared" si="141"/>
        <v>0</v>
      </c>
      <c r="F1091" s="41"/>
      <c r="G1091" s="41"/>
      <c r="H1091" s="41"/>
      <c r="I1091" s="41"/>
      <c r="J1091" s="42"/>
      <c r="K1091" s="41"/>
      <c r="L1091" s="41"/>
      <c r="M1091" s="41"/>
      <c r="N1091" s="41"/>
      <c r="O1091" s="41" t="str">
        <f t="shared" si="139"/>
        <v>NO</v>
      </c>
      <c r="P1091" s="41" t="str">
        <f t="shared" si="140"/>
        <v>🟡</v>
      </c>
      <c r="Q1091" s="41"/>
    </row>
    <row r="1092" spans="1:17" ht="18" hidden="1" customHeight="1" x14ac:dyDescent="0.4">
      <c r="A1092" s="41">
        <f t="shared" si="137"/>
        <v>1091</v>
      </c>
      <c r="B1092" s="41" t="str">
        <f t="shared" si="138"/>
        <v/>
      </c>
      <c r="C1092" s="41"/>
      <c r="D1092" s="41"/>
      <c r="E1092" s="41">
        <f t="shared" si="141"/>
        <v>0</v>
      </c>
      <c r="F1092" s="41"/>
      <c r="G1092" s="41"/>
      <c r="H1092" s="41"/>
      <c r="I1092" s="41"/>
      <c r="J1092" s="42"/>
      <c r="K1092" s="41"/>
      <c r="L1092" s="41"/>
      <c r="M1092" s="41"/>
      <c r="N1092" s="41"/>
      <c r="O1092" s="41" t="str">
        <f t="shared" si="139"/>
        <v>NO</v>
      </c>
      <c r="P1092" s="41" t="str">
        <f t="shared" si="140"/>
        <v>🟡</v>
      </c>
      <c r="Q1092" s="41"/>
    </row>
    <row r="1093" spans="1:17" ht="18" hidden="1" customHeight="1" x14ac:dyDescent="0.4">
      <c r="A1093" s="41">
        <f t="shared" si="137"/>
        <v>1092</v>
      </c>
      <c r="B1093" s="41" t="str">
        <f t="shared" si="138"/>
        <v/>
      </c>
      <c r="C1093" s="41"/>
      <c r="D1093" s="41"/>
      <c r="E1093" s="41">
        <f t="shared" si="141"/>
        <v>0</v>
      </c>
      <c r="F1093" s="41"/>
      <c r="G1093" s="41"/>
      <c r="H1093" s="41"/>
      <c r="I1093" s="41"/>
      <c r="J1093" s="42"/>
      <c r="K1093" s="41"/>
      <c r="L1093" s="41"/>
      <c r="M1093" s="41"/>
      <c r="N1093" s="41"/>
      <c r="O1093" s="41" t="str">
        <f t="shared" si="139"/>
        <v>NO</v>
      </c>
      <c r="P1093" s="41" t="str">
        <f t="shared" si="140"/>
        <v>🟡</v>
      </c>
      <c r="Q1093" s="41"/>
    </row>
    <row r="1094" spans="1:17" ht="18" hidden="1" customHeight="1" x14ac:dyDescent="0.4">
      <c r="A1094" s="41">
        <f t="shared" si="137"/>
        <v>1093</v>
      </c>
      <c r="B1094" s="41" t="str">
        <f t="shared" si="138"/>
        <v/>
      </c>
      <c r="C1094" s="41"/>
      <c r="D1094" s="41"/>
      <c r="E1094" s="41">
        <f t="shared" si="141"/>
        <v>0</v>
      </c>
      <c r="F1094" s="41"/>
      <c r="G1094" s="41"/>
      <c r="H1094" s="41"/>
      <c r="I1094" s="41"/>
      <c r="J1094" s="42"/>
      <c r="K1094" s="41"/>
      <c r="L1094" s="41"/>
      <c r="M1094" s="41"/>
      <c r="N1094" s="41"/>
      <c r="O1094" s="41" t="str">
        <f t="shared" si="139"/>
        <v>NO</v>
      </c>
      <c r="P1094" s="41" t="str">
        <f t="shared" si="140"/>
        <v>🟡</v>
      </c>
      <c r="Q1094" s="41"/>
    </row>
    <row r="1095" spans="1:17" ht="18" hidden="1" customHeight="1" x14ac:dyDescent="0.4">
      <c r="A1095" s="41">
        <f t="shared" si="137"/>
        <v>1094</v>
      </c>
      <c r="B1095" s="41" t="str">
        <f t="shared" si="138"/>
        <v/>
      </c>
      <c r="C1095" s="41"/>
      <c r="D1095" s="41"/>
      <c r="E1095" s="41">
        <f t="shared" si="141"/>
        <v>0</v>
      </c>
      <c r="F1095" s="41"/>
      <c r="G1095" s="41"/>
      <c r="H1095" s="41"/>
      <c r="I1095" s="41"/>
      <c r="J1095" s="42"/>
      <c r="K1095" s="41"/>
      <c r="L1095" s="41"/>
      <c r="M1095" s="41"/>
      <c r="N1095" s="41"/>
      <c r="O1095" s="41" t="str">
        <f t="shared" si="139"/>
        <v>NO</v>
      </c>
      <c r="P1095" s="41" t="str">
        <f t="shared" si="140"/>
        <v>🟡</v>
      </c>
      <c r="Q1095" s="41"/>
    </row>
    <row r="1096" spans="1:17" ht="18" hidden="1" customHeight="1" x14ac:dyDescent="0.4">
      <c r="A1096" s="41">
        <f t="shared" si="137"/>
        <v>1095</v>
      </c>
      <c r="B1096" s="41" t="str">
        <f t="shared" si="138"/>
        <v/>
      </c>
      <c r="C1096" s="41"/>
      <c r="D1096" s="41"/>
      <c r="E1096" s="41">
        <f t="shared" si="141"/>
        <v>0</v>
      </c>
      <c r="F1096" s="41"/>
      <c r="G1096" s="41"/>
      <c r="H1096" s="41"/>
      <c r="I1096" s="41"/>
      <c r="J1096" s="42"/>
      <c r="K1096" s="41"/>
      <c r="L1096" s="41"/>
      <c r="M1096" s="41"/>
      <c r="N1096" s="41"/>
      <c r="O1096" s="41" t="str">
        <f t="shared" si="139"/>
        <v>NO</v>
      </c>
      <c r="P1096" s="41" t="str">
        <f t="shared" si="140"/>
        <v>🟡</v>
      </c>
      <c r="Q1096" s="41"/>
    </row>
    <row r="1097" spans="1:17" ht="18" hidden="1" customHeight="1" x14ac:dyDescent="0.4">
      <c r="A1097" s="41">
        <f t="shared" si="137"/>
        <v>1096</v>
      </c>
      <c r="B1097" s="41" t="str">
        <f t="shared" si="138"/>
        <v/>
      </c>
      <c r="C1097" s="41"/>
      <c r="D1097" s="41"/>
      <c r="E1097" s="41">
        <f t="shared" si="141"/>
        <v>0</v>
      </c>
      <c r="F1097" s="41"/>
      <c r="G1097" s="41"/>
      <c r="H1097" s="41"/>
      <c r="I1097" s="41"/>
      <c r="J1097" s="42"/>
      <c r="K1097" s="41"/>
      <c r="L1097" s="41"/>
      <c r="M1097" s="41"/>
      <c r="N1097" s="41"/>
      <c r="O1097" s="41" t="str">
        <f t="shared" si="139"/>
        <v>NO</v>
      </c>
      <c r="P1097" s="41" t="str">
        <f t="shared" si="140"/>
        <v>🟡</v>
      </c>
      <c r="Q1097" s="41"/>
    </row>
    <row r="1098" spans="1:17" ht="18" hidden="1" customHeight="1" x14ac:dyDescent="0.4">
      <c r="A1098" s="41">
        <f t="shared" si="137"/>
        <v>1097</v>
      </c>
      <c r="B1098" s="41" t="str">
        <f t="shared" si="138"/>
        <v/>
      </c>
      <c r="C1098" s="41"/>
      <c r="D1098" s="41"/>
      <c r="E1098" s="41">
        <f t="shared" si="141"/>
        <v>0</v>
      </c>
      <c r="F1098" s="41"/>
      <c r="G1098" s="41"/>
      <c r="H1098" s="41"/>
      <c r="I1098" s="41"/>
      <c r="J1098" s="42"/>
      <c r="K1098" s="41"/>
      <c r="L1098" s="41"/>
      <c r="M1098" s="41"/>
      <c r="N1098" s="41"/>
      <c r="O1098" s="41" t="str">
        <f t="shared" si="139"/>
        <v>NO</v>
      </c>
      <c r="P1098" s="41" t="str">
        <f t="shared" si="140"/>
        <v>🟡</v>
      </c>
      <c r="Q1098" s="41"/>
    </row>
    <row r="1099" spans="1:17" ht="18" hidden="1" customHeight="1" x14ac:dyDescent="0.4">
      <c r="A1099" s="41">
        <f t="shared" si="137"/>
        <v>1098</v>
      </c>
      <c r="B1099" s="41" t="str">
        <f t="shared" si="138"/>
        <v/>
      </c>
      <c r="C1099" s="41"/>
      <c r="D1099" s="41"/>
      <c r="E1099" s="41">
        <f t="shared" si="141"/>
        <v>0</v>
      </c>
      <c r="F1099" s="41"/>
      <c r="G1099" s="41"/>
      <c r="H1099" s="41"/>
      <c r="I1099" s="41"/>
      <c r="J1099" s="42"/>
      <c r="K1099" s="41"/>
      <c r="L1099" s="41"/>
      <c r="M1099" s="41"/>
      <c r="N1099" s="41"/>
      <c r="O1099" s="41" t="str">
        <f t="shared" si="139"/>
        <v>NO</v>
      </c>
      <c r="P1099" s="41" t="str">
        <f t="shared" si="140"/>
        <v>🟡</v>
      </c>
      <c r="Q1099" s="41"/>
    </row>
    <row r="1100" spans="1:17" ht="18" hidden="1" customHeight="1" x14ac:dyDescent="0.4">
      <c r="A1100" s="41">
        <f t="shared" si="137"/>
        <v>1099</v>
      </c>
      <c r="B1100" s="41" t="str">
        <f t="shared" si="138"/>
        <v/>
      </c>
      <c r="C1100" s="41"/>
      <c r="D1100" s="41"/>
      <c r="E1100" s="41">
        <f t="shared" si="141"/>
        <v>0</v>
      </c>
      <c r="F1100" s="41"/>
      <c r="G1100" s="41"/>
      <c r="H1100" s="41"/>
      <c r="I1100" s="41"/>
      <c r="J1100" s="42"/>
      <c r="K1100" s="41"/>
      <c r="L1100" s="41"/>
      <c r="M1100" s="41"/>
      <c r="N1100" s="41"/>
      <c r="O1100" s="41" t="str">
        <f t="shared" si="139"/>
        <v>NO</v>
      </c>
      <c r="P1100" s="41" t="str">
        <f t="shared" si="140"/>
        <v>🟡</v>
      </c>
      <c r="Q1100" s="41"/>
    </row>
    <row r="1101" spans="1:17" ht="18" hidden="1" customHeight="1" x14ac:dyDescent="0.4">
      <c r="A1101" s="41">
        <f t="shared" si="137"/>
        <v>1100</v>
      </c>
      <c r="B1101" s="41" t="str">
        <f t="shared" si="138"/>
        <v/>
      </c>
      <c r="C1101" s="41"/>
      <c r="D1101" s="41"/>
      <c r="E1101" s="41">
        <f t="shared" si="141"/>
        <v>0</v>
      </c>
      <c r="F1101" s="41"/>
      <c r="G1101" s="41"/>
      <c r="H1101" s="41"/>
      <c r="I1101" s="41"/>
      <c r="J1101" s="42"/>
      <c r="K1101" s="41"/>
      <c r="L1101" s="41"/>
      <c r="M1101" s="41"/>
      <c r="N1101" s="41"/>
      <c r="O1101" s="41" t="str">
        <f t="shared" si="139"/>
        <v>NO</v>
      </c>
      <c r="P1101" s="41" t="str">
        <f t="shared" si="140"/>
        <v>🟡</v>
      </c>
      <c r="Q1101" s="41"/>
    </row>
    <row r="1102" spans="1:17" ht="18" hidden="1" customHeight="1" x14ac:dyDescent="0.4">
      <c r="A1102" s="41">
        <f t="shared" si="137"/>
        <v>1101</v>
      </c>
      <c r="B1102" s="41" t="str">
        <f t="shared" si="138"/>
        <v/>
      </c>
      <c r="C1102" s="41"/>
      <c r="D1102" s="41"/>
      <c r="E1102" s="41">
        <f t="shared" si="141"/>
        <v>0</v>
      </c>
      <c r="F1102" s="41"/>
      <c r="G1102" s="41"/>
      <c r="H1102" s="41"/>
      <c r="I1102" s="41"/>
      <c r="J1102" s="42"/>
      <c r="K1102" s="41"/>
      <c r="L1102" s="41"/>
      <c r="M1102" s="41"/>
      <c r="N1102" s="41"/>
      <c r="O1102" s="41" t="str">
        <f t="shared" si="139"/>
        <v>NO</v>
      </c>
      <c r="P1102" s="41" t="str">
        <f t="shared" si="140"/>
        <v>🟡</v>
      </c>
      <c r="Q1102" s="41"/>
    </row>
    <row r="1103" spans="1:17" ht="18" hidden="1" customHeight="1" x14ac:dyDescent="0.4">
      <c r="A1103" s="41">
        <f t="shared" si="137"/>
        <v>1102</v>
      </c>
      <c r="B1103" s="41" t="str">
        <f t="shared" si="138"/>
        <v/>
      </c>
      <c r="C1103" s="41"/>
      <c r="D1103" s="41"/>
      <c r="E1103" s="41">
        <f t="shared" si="141"/>
        <v>0</v>
      </c>
      <c r="F1103" s="41"/>
      <c r="G1103" s="41"/>
      <c r="H1103" s="41"/>
      <c r="I1103" s="41"/>
      <c r="J1103" s="42"/>
      <c r="K1103" s="41"/>
      <c r="L1103" s="41"/>
      <c r="M1103" s="41"/>
      <c r="N1103" s="41"/>
      <c r="O1103" s="41" t="str">
        <f t="shared" si="139"/>
        <v>NO</v>
      </c>
      <c r="P1103" s="41" t="str">
        <f t="shared" si="140"/>
        <v>🟡</v>
      </c>
      <c r="Q1103" s="41"/>
    </row>
    <row r="1104" spans="1:17" ht="18" hidden="1" customHeight="1" x14ac:dyDescent="0.4">
      <c r="A1104" s="41">
        <f t="shared" si="137"/>
        <v>1103</v>
      </c>
      <c r="B1104" s="41" t="str">
        <f t="shared" si="138"/>
        <v/>
      </c>
      <c r="C1104" s="41"/>
      <c r="D1104" s="41"/>
      <c r="E1104" s="41">
        <f t="shared" si="141"/>
        <v>0</v>
      </c>
      <c r="F1104" s="41"/>
      <c r="G1104" s="41"/>
      <c r="H1104" s="41"/>
      <c r="I1104" s="41"/>
      <c r="J1104" s="42"/>
      <c r="K1104" s="41"/>
      <c r="L1104" s="41"/>
      <c r="M1104" s="41"/>
      <c r="N1104" s="41"/>
      <c r="O1104" s="41" t="str">
        <f t="shared" si="139"/>
        <v>NO</v>
      </c>
      <c r="P1104" s="41" t="str">
        <f t="shared" si="140"/>
        <v>🟡</v>
      </c>
      <c r="Q1104" s="41"/>
    </row>
    <row r="1105" spans="1:17" ht="18" hidden="1" customHeight="1" x14ac:dyDescent="0.4">
      <c r="A1105" s="41">
        <f t="shared" si="137"/>
        <v>1104</v>
      </c>
      <c r="B1105" s="41" t="str">
        <f t="shared" si="138"/>
        <v/>
      </c>
      <c r="C1105" s="41"/>
      <c r="D1105" s="41"/>
      <c r="E1105" s="41">
        <f t="shared" si="141"/>
        <v>0</v>
      </c>
      <c r="F1105" s="41"/>
      <c r="G1105" s="41"/>
      <c r="H1105" s="41"/>
      <c r="I1105" s="41"/>
      <c r="J1105" s="42"/>
      <c r="K1105" s="41"/>
      <c r="L1105" s="41"/>
      <c r="M1105" s="41"/>
      <c r="N1105" s="41"/>
      <c r="O1105" s="41" t="str">
        <f t="shared" si="139"/>
        <v>NO</v>
      </c>
      <c r="P1105" s="41" t="str">
        <f t="shared" si="140"/>
        <v>🟡</v>
      </c>
      <c r="Q1105" s="41"/>
    </row>
    <row r="1106" spans="1:17" ht="18" hidden="1" customHeight="1" x14ac:dyDescent="0.4">
      <c r="A1106" s="41">
        <f t="shared" si="137"/>
        <v>1105</v>
      </c>
      <c r="B1106" s="41" t="str">
        <f t="shared" si="138"/>
        <v/>
      </c>
      <c r="C1106" s="41"/>
      <c r="D1106" s="41"/>
      <c r="E1106" s="41">
        <f t="shared" si="141"/>
        <v>0</v>
      </c>
      <c r="F1106" s="41"/>
      <c r="G1106" s="41"/>
      <c r="H1106" s="41"/>
      <c r="I1106" s="41"/>
      <c r="J1106" s="42"/>
      <c r="K1106" s="41"/>
      <c r="L1106" s="41"/>
      <c r="M1106" s="41"/>
      <c r="N1106" s="41"/>
      <c r="O1106" s="41" t="str">
        <f t="shared" si="139"/>
        <v>NO</v>
      </c>
      <c r="P1106" s="41" t="str">
        <f t="shared" si="140"/>
        <v>🟡</v>
      </c>
      <c r="Q1106" s="41"/>
    </row>
    <row r="1107" spans="1:17" ht="18" hidden="1" customHeight="1" x14ac:dyDescent="0.4">
      <c r="A1107" s="41">
        <f t="shared" si="137"/>
        <v>1106</v>
      </c>
      <c r="B1107" s="41" t="str">
        <f t="shared" si="138"/>
        <v/>
      </c>
      <c r="C1107" s="41"/>
      <c r="D1107" s="41"/>
      <c r="E1107" s="41">
        <f t="shared" si="141"/>
        <v>0</v>
      </c>
      <c r="F1107" s="41"/>
      <c r="G1107" s="41"/>
      <c r="H1107" s="41"/>
      <c r="I1107" s="41"/>
      <c r="J1107" s="42"/>
      <c r="K1107" s="41"/>
      <c r="L1107" s="41"/>
      <c r="M1107" s="41"/>
      <c r="N1107" s="41"/>
      <c r="O1107" s="41" t="str">
        <f t="shared" si="139"/>
        <v>NO</v>
      </c>
      <c r="P1107" s="41" t="str">
        <f t="shared" si="140"/>
        <v>🟡</v>
      </c>
      <c r="Q1107" s="41"/>
    </row>
    <row r="1108" spans="1:17" ht="18" hidden="1" customHeight="1" x14ac:dyDescent="0.4">
      <c r="A1108" s="41">
        <f t="shared" si="137"/>
        <v>1107</v>
      </c>
      <c r="B1108" s="41" t="str">
        <f t="shared" si="138"/>
        <v/>
      </c>
      <c r="C1108" s="41"/>
      <c r="D1108" s="41"/>
      <c r="E1108" s="41">
        <f t="shared" si="141"/>
        <v>0</v>
      </c>
      <c r="F1108" s="41"/>
      <c r="G1108" s="41"/>
      <c r="H1108" s="41"/>
      <c r="I1108" s="41"/>
      <c r="J1108" s="42"/>
      <c r="K1108" s="41"/>
      <c r="L1108" s="41"/>
      <c r="M1108" s="41"/>
      <c r="N1108" s="41"/>
      <c r="O1108" s="41" t="str">
        <f t="shared" si="139"/>
        <v>NO</v>
      </c>
      <c r="P1108" s="41" t="str">
        <f t="shared" si="140"/>
        <v>🟡</v>
      </c>
      <c r="Q1108" s="41"/>
    </row>
    <row r="1109" spans="1:17" ht="18" hidden="1" customHeight="1" x14ac:dyDescent="0.4">
      <c r="A1109" s="41">
        <f t="shared" si="137"/>
        <v>1108</v>
      </c>
      <c r="B1109" s="41" t="str">
        <f t="shared" si="138"/>
        <v/>
      </c>
      <c r="C1109" s="41"/>
      <c r="D1109" s="41"/>
      <c r="E1109" s="41">
        <f t="shared" si="141"/>
        <v>0</v>
      </c>
      <c r="F1109" s="41"/>
      <c r="G1109" s="41"/>
      <c r="H1109" s="41"/>
      <c r="I1109" s="41"/>
      <c r="J1109" s="42"/>
      <c r="K1109" s="41"/>
      <c r="L1109" s="41"/>
      <c r="M1109" s="41"/>
      <c r="N1109" s="41"/>
      <c r="O1109" s="41" t="str">
        <f t="shared" si="139"/>
        <v>NO</v>
      </c>
      <c r="P1109" s="41" t="str">
        <f t="shared" si="140"/>
        <v>🟡</v>
      </c>
      <c r="Q1109" s="41"/>
    </row>
    <row r="1110" spans="1:17" ht="18" hidden="1" customHeight="1" x14ac:dyDescent="0.4">
      <c r="A1110" s="41">
        <f t="shared" si="137"/>
        <v>1109</v>
      </c>
      <c r="B1110" s="41" t="str">
        <f t="shared" si="138"/>
        <v/>
      </c>
      <c r="C1110" s="41"/>
      <c r="D1110" s="41"/>
      <c r="E1110" s="41">
        <f t="shared" si="141"/>
        <v>0</v>
      </c>
      <c r="F1110" s="41"/>
      <c r="G1110" s="41"/>
      <c r="H1110" s="41"/>
      <c r="I1110" s="41"/>
      <c r="J1110" s="42"/>
      <c r="K1110" s="41"/>
      <c r="L1110" s="41"/>
      <c r="M1110" s="41"/>
      <c r="N1110" s="41"/>
      <c r="O1110" s="41" t="str">
        <f t="shared" si="139"/>
        <v>NO</v>
      </c>
      <c r="P1110" s="41" t="str">
        <f t="shared" si="140"/>
        <v>🟡</v>
      </c>
      <c r="Q1110" s="41"/>
    </row>
    <row r="1111" spans="1:17" ht="18" hidden="1" customHeight="1" x14ac:dyDescent="0.4">
      <c r="A1111" s="41">
        <f t="shared" si="137"/>
        <v>1110</v>
      </c>
      <c r="B1111" s="41" t="str">
        <f t="shared" si="138"/>
        <v/>
      </c>
      <c r="C1111" s="41"/>
      <c r="D1111" s="41"/>
      <c r="E1111" s="41">
        <f t="shared" si="141"/>
        <v>0</v>
      </c>
      <c r="F1111" s="41"/>
      <c r="G1111" s="41"/>
      <c r="H1111" s="41"/>
      <c r="I1111" s="41"/>
      <c r="J1111" s="42"/>
      <c r="K1111" s="41"/>
      <c r="L1111" s="41"/>
      <c r="M1111" s="41"/>
      <c r="N1111" s="41"/>
      <c r="O1111" s="41" t="str">
        <f t="shared" si="139"/>
        <v>NO</v>
      </c>
      <c r="P1111" s="41" t="str">
        <f t="shared" si="140"/>
        <v>🟡</v>
      </c>
      <c r="Q1111" s="41"/>
    </row>
    <row r="1112" spans="1:17" ht="18" hidden="1" customHeight="1" x14ac:dyDescent="0.4">
      <c r="A1112" s="41">
        <f t="shared" si="137"/>
        <v>1111</v>
      </c>
      <c r="B1112" s="41" t="str">
        <f t="shared" si="138"/>
        <v/>
      </c>
      <c r="C1112" s="41"/>
      <c r="D1112" s="41"/>
      <c r="E1112" s="41">
        <f t="shared" si="141"/>
        <v>0</v>
      </c>
      <c r="F1112" s="41"/>
      <c r="G1112" s="41"/>
      <c r="H1112" s="41"/>
      <c r="I1112" s="41"/>
      <c r="J1112" s="42"/>
      <c r="K1112" s="41"/>
      <c r="L1112" s="41"/>
      <c r="M1112" s="41"/>
      <c r="N1112" s="41"/>
      <c r="O1112" s="41" t="str">
        <f t="shared" si="139"/>
        <v>NO</v>
      </c>
      <c r="P1112" s="41" t="str">
        <f t="shared" si="140"/>
        <v>🟡</v>
      </c>
      <c r="Q1112" s="41"/>
    </row>
    <row r="1113" spans="1:17" ht="18" hidden="1" customHeight="1" x14ac:dyDescent="0.4">
      <c r="A1113" s="41">
        <f t="shared" si="137"/>
        <v>1112</v>
      </c>
      <c r="B1113" s="41" t="str">
        <f t="shared" si="138"/>
        <v/>
      </c>
      <c r="C1113" s="41"/>
      <c r="D1113" s="41"/>
      <c r="E1113" s="41">
        <f t="shared" si="141"/>
        <v>0</v>
      </c>
      <c r="F1113" s="41"/>
      <c r="G1113" s="41"/>
      <c r="H1113" s="41"/>
      <c r="I1113" s="41"/>
      <c r="J1113" s="42"/>
      <c r="K1113" s="41"/>
      <c r="L1113" s="41"/>
      <c r="M1113" s="41"/>
      <c r="N1113" s="41"/>
      <c r="O1113" s="41" t="str">
        <f t="shared" si="139"/>
        <v>NO</v>
      </c>
      <c r="P1113" s="41" t="str">
        <f t="shared" si="140"/>
        <v>🟡</v>
      </c>
      <c r="Q1113" s="41"/>
    </row>
    <row r="1114" spans="1:17" ht="18" hidden="1" customHeight="1" x14ac:dyDescent="0.4">
      <c r="A1114" s="41">
        <f t="shared" si="137"/>
        <v>1113</v>
      </c>
      <c r="B1114" s="41" t="str">
        <f t="shared" si="138"/>
        <v/>
      </c>
      <c r="C1114" s="41"/>
      <c r="D1114" s="41"/>
      <c r="E1114" s="41">
        <f t="shared" si="141"/>
        <v>0</v>
      </c>
      <c r="F1114" s="41"/>
      <c r="G1114" s="41"/>
      <c r="H1114" s="41"/>
      <c r="I1114" s="41"/>
      <c r="J1114" s="42"/>
      <c r="K1114" s="41"/>
      <c r="L1114" s="41"/>
      <c r="M1114" s="41"/>
      <c r="N1114" s="41"/>
      <c r="O1114" s="41" t="str">
        <f t="shared" si="139"/>
        <v>NO</v>
      </c>
      <c r="P1114" s="41" t="str">
        <f t="shared" si="140"/>
        <v>🟡</v>
      </c>
      <c r="Q1114" s="41"/>
    </row>
    <row r="1115" spans="1:17" ht="18" hidden="1" customHeight="1" x14ac:dyDescent="0.4">
      <c r="A1115" s="41">
        <f t="shared" si="137"/>
        <v>1114</v>
      </c>
      <c r="B1115" s="41" t="str">
        <f t="shared" si="138"/>
        <v/>
      </c>
      <c r="C1115" s="41"/>
      <c r="D1115" s="41"/>
      <c r="E1115" s="41">
        <f t="shared" si="141"/>
        <v>0</v>
      </c>
      <c r="F1115" s="41"/>
      <c r="G1115" s="41"/>
      <c r="H1115" s="41"/>
      <c r="I1115" s="41"/>
      <c r="J1115" s="42"/>
      <c r="K1115" s="41"/>
      <c r="L1115" s="41"/>
      <c r="M1115" s="41"/>
      <c r="N1115" s="41"/>
      <c r="O1115" s="41" t="str">
        <f t="shared" si="139"/>
        <v>NO</v>
      </c>
      <c r="P1115" s="41" t="str">
        <f t="shared" si="140"/>
        <v>🟡</v>
      </c>
      <c r="Q1115" s="41"/>
    </row>
    <row r="1116" spans="1:17" ht="18" hidden="1" customHeight="1" x14ac:dyDescent="0.4">
      <c r="A1116" s="41">
        <f t="shared" si="137"/>
        <v>1115</v>
      </c>
      <c r="B1116" s="41" t="str">
        <f t="shared" si="138"/>
        <v/>
      </c>
      <c r="C1116" s="41"/>
      <c r="D1116" s="41"/>
      <c r="E1116" s="41">
        <f t="shared" si="141"/>
        <v>0</v>
      </c>
      <c r="F1116" s="41"/>
      <c r="G1116" s="41"/>
      <c r="H1116" s="41"/>
      <c r="I1116" s="41"/>
      <c r="J1116" s="42"/>
      <c r="K1116" s="41"/>
      <c r="L1116" s="41"/>
      <c r="M1116" s="41"/>
      <c r="N1116" s="41"/>
      <c r="O1116" s="41" t="str">
        <f t="shared" si="139"/>
        <v>NO</v>
      </c>
      <c r="P1116" s="41" t="str">
        <f t="shared" si="140"/>
        <v>🟡</v>
      </c>
      <c r="Q1116" s="41"/>
    </row>
    <row r="1117" spans="1:17" ht="18" hidden="1" customHeight="1" x14ac:dyDescent="0.4">
      <c r="A1117" s="41">
        <f t="shared" ref="A1117:A1180" si="142">IF(COUNTA(C1117:K1117)=0,"",ROW()-1)</f>
        <v>1116</v>
      </c>
      <c r="B1117" s="41" t="str">
        <f t="shared" ref="B1117:B1180" si="143">IF($F1117&lt;&gt;"",$A1117,"")</f>
        <v/>
      </c>
      <c r="C1117" s="41"/>
      <c r="D1117" s="41"/>
      <c r="E1117" s="41">
        <f t="shared" si="141"/>
        <v>0</v>
      </c>
      <c r="F1117" s="41"/>
      <c r="G1117" s="41"/>
      <c r="H1117" s="41"/>
      <c r="I1117" s="41"/>
      <c r="J1117" s="42"/>
      <c r="K1117" s="41"/>
      <c r="L1117" s="41"/>
      <c r="M1117" s="41"/>
      <c r="N1117" s="41"/>
      <c r="O1117" s="41" t="str">
        <f t="shared" ref="O1117:O1180" si="144">IF(AND(UPPER($N1117)="VIP",UPPER($J1117)&lt;&gt;"NO",$F1117&lt;&gt;""),"SI","NO")</f>
        <v>NO</v>
      </c>
      <c r="P1117" s="41" t="str">
        <f t="shared" si="140"/>
        <v>🟡</v>
      </c>
      <c r="Q1117" s="41"/>
    </row>
    <row r="1118" spans="1:17" ht="18" hidden="1" customHeight="1" x14ac:dyDescent="0.4">
      <c r="A1118" s="41">
        <f t="shared" si="142"/>
        <v>1117</v>
      </c>
      <c r="B1118" s="41" t="str">
        <f t="shared" si="143"/>
        <v/>
      </c>
      <c r="C1118" s="41"/>
      <c r="D1118" s="41"/>
      <c r="E1118" s="41">
        <f t="shared" si="141"/>
        <v>0</v>
      </c>
      <c r="F1118" s="41"/>
      <c r="G1118" s="41"/>
      <c r="H1118" s="41"/>
      <c r="I1118" s="41"/>
      <c r="J1118" s="42"/>
      <c r="K1118" s="41"/>
      <c r="L1118" s="41"/>
      <c r="M1118" s="41"/>
      <c r="N1118" s="41"/>
      <c r="O1118" s="41" t="str">
        <f t="shared" si="144"/>
        <v>NO</v>
      </c>
      <c r="P1118" s="41" t="str">
        <f t="shared" si="140"/>
        <v>🟡</v>
      </c>
      <c r="Q1118" s="41"/>
    </row>
    <row r="1119" spans="1:17" ht="18" hidden="1" customHeight="1" x14ac:dyDescent="0.4">
      <c r="A1119" s="41">
        <f t="shared" si="142"/>
        <v>1118</v>
      </c>
      <c r="B1119" s="41" t="str">
        <f t="shared" si="143"/>
        <v/>
      </c>
      <c r="C1119" s="41"/>
      <c r="D1119" s="41"/>
      <c r="E1119" s="41">
        <f t="shared" si="141"/>
        <v>0</v>
      </c>
      <c r="F1119" s="41"/>
      <c r="G1119" s="41"/>
      <c r="H1119" s="41"/>
      <c r="I1119" s="41"/>
      <c r="J1119" s="42"/>
      <c r="K1119" s="41"/>
      <c r="L1119" s="41"/>
      <c r="M1119" s="41"/>
      <c r="N1119" s="41"/>
      <c r="O1119" s="41" t="str">
        <f t="shared" si="144"/>
        <v>NO</v>
      </c>
      <c r="P1119" s="41" t="str">
        <f t="shared" ref="P1119:P1182" si="145">IF(UPPER($J1119)="SI","🟢",IF(UPPER($J1119)="NO","🔴","🟡"))</f>
        <v>🟡</v>
      </c>
      <c r="Q1119" s="41"/>
    </row>
    <row r="1120" spans="1:17" ht="18" hidden="1" customHeight="1" x14ac:dyDescent="0.4">
      <c r="A1120" s="41">
        <f t="shared" si="142"/>
        <v>1119</v>
      </c>
      <c r="B1120" s="41" t="str">
        <f t="shared" si="143"/>
        <v/>
      </c>
      <c r="C1120" s="41"/>
      <c r="D1120" s="41"/>
      <c r="E1120" s="41">
        <f t="shared" si="141"/>
        <v>0</v>
      </c>
      <c r="F1120" s="41"/>
      <c r="G1120" s="41"/>
      <c r="H1120" s="41"/>
      <c r="I1120" s="41"/>
      <c r="J1120" s="42"/>
      <c r="K1120" s="41"/>
      <c r="L1120" s="41"/>
      <c r="M1120" s="41"/>
      <c r="N1120" s="41"/>
      <c r="O1120" s="41" t="str">
        <f t="shared" si="144"/>
        <v>NO</v>
      </c>
      <c r="P1120" s="41" t="str">
        <f t="shared" si="145"/>
        <v>🟡</v>
      </c>
      <c r="Q1120" s="41"/>
    </row>
    <row r="1121" spans="1:17" ht="18" hidden="1" customHeight="1" x14ac:dyDescent="0.4">
      <c r="A1121" s="41">
        <f t="shared" si="142"/>
        <v>1120</v>
      </c>
      <c r="B1121" s="41" t="str">
        <f t="shared" si="143"/>
        <v/>
      </c>
      <c r="C1121" s="41"/>
      <c r="D1121" s="41"/>
      <c r="E1121" s="41">
        <f t="shared" si="141"/>
        <v>0</v>
      </c>
      <c r="F1121" s="41"/>
      <c r="G1121" s="41"/>
      <c r="H1121" s="41"/>
      <c r="I1121" s="41"/>
      <c r="J1121" s="42"/>
      <c r="K1121" s="41"/>
      <c r="L1121" s="41"/>
      <c r="M1121" s="41"/>
      <c r="N1121" s="41"/>
      <c r="O1121" s="41" t="str">
        <f t="shared" si="144"/>
        <v>NO</v>
      </c>
      <c r="P1121" s="41" t="str">
        <f t="shared" si="145"/>
        <v>🟡</v>
      </c>
      <c r="Q1121" s="41"/>
    </row>
    <row r="1122" spans="1:17" ht="18" hidden="1" customHeight="1" x14ac:dyDescent="0.4">
      <c r="A1122" s="41">
        <f t="shared" si="142"/>
        <v>1121</v>
      </c>
      <c r="B1122" s="41" t="str">
        <f t="shared" si="143"/>
        <v/>
      </c>
      <c r="C1122" s="41"/>
      <c r="D1122" s="41"/>
      <c r="E1122" s="41">
        <f t="shared" si="141"/>
        <v>0</v>
      </c>
      <c r="F1122" s="41"/>
      <c r="G1122" s="41"/>
      <c r="H1122" s="41"/>
      <c r="I1122" s="41"/>
      <c r="J1122" s="42"/>
      <c r="K1122" s="41"/>
      <c r="L1122" s="41"/>
      <c r="M1122" s="41"/>
      <c r="N1122" s="41"/>
      <c r="O1122" s="41" t="str">
        <f t="shared" si="144"/>
        <v>NO</v>
      </c>
      <c r="P1122" s="41" t="str">
        <f t="shared" si="145"/>
        <v>🟡</v>
      </c>
      <c r="Q1122" s="41"/>
    </row>
    <row r="1123" spans="1:17" ht="18" hidden="1" customHeight="1" x14ac:dyDescent="0.4">
      <c r="A1123" s="41">
        <f t="shared" si="142"/>
        <v>1122</v>
      </c>
      <c r="B1123" s="41" t="str">
        <f t="shared" si="143"/>
        <v/>
      </c>
      <c r="C1123" s="41"/>
      <c r="D1123" s="41"/>
      <c r="E1123" s="41">
        <f t="shared" si="141"/>
        <v>0</v>
      </c>
      <c r="F1123" s="41"/>
      <c r="G1123" s="41"/>
      <c r="H1123" s="41"/>
      <c r="I1123" s="41"/>
      <c r="J1123" s="42"/>
      <c r="K1123" s="41"/>
      <c r="L1123" s="41"/>
      <c r="M1123" s="41"/>
      <c r="N1123" s="41"/>
      <c r="O1123" s="41" t="str">
        <f t="shared" si="144"/>
        <v>NO</v>
      </c>
      <c r="P1123" s="41" t="str">
        <f t="shared" si="145"/>
        <v>🟡</v>
      </c>
      <c r="Q1123" s="41"/>
    </row>
    <row r="1124" spans="1:17" ht="18" hidden="1" customHeight="1" x14ac:dyDescent="0.4">
      <c r="A1124" s="41">
        <f t="shared" si="142"/>
        <v>1123</v>
      </c>
      <c r="B1124" s="41" t="str">
        <f t="shared" si="143"/>
        <v/>
      </c>
      <c r="C1124" s="41"/>
      <c r="D1124" s="41"/>
      <c r="E1124" s="41">
        <f t="shared" ref="E1124:E1187" si="146">IF(UPPER($J1124)="NO","",$N1124)</f>
        <v>0</v>
      </c>
      <c r="F1124" s="41"/>
      <c r="G1124" s="41"/>
      <c r="H1124" s="41"/>
      <c r="I1124" s="41"/>
      <c r="J1124" s="42"/>
      <c r="K1124" s="41"/>
      <c r="L1124" s="41"/>
      <c r="M1124" s="41"/>
      <c r="N1124" s="41"/>
      <c r="O1124" s="41" t="str">
        <f t="shared" si="144"/>
        <v>NO</v>
      </c>
      <c r="P1124" s="41" t="str">
        <f t="shared" si="145"/>
        <v>🟡</v>
      </c>
      <c r="Q1124" s="41"/>
    </row>
    <row r="1125" spans="1:17" ht="18" hidden="1" customHeight="1" x14ac:dyDescent="0.4">
      <c r="A1125" s="41">
        <f t="shared" si="142"/>
        <v>1124</v>
      </c>
      <c r="B1125" s="41" t="str">
        <f t="shared" si="143"/>
        <v/>
      </c>
      <c r="C1125" s="41"/>
      <c r="D1125" s="41"/>
      <c r="E1125" s="41">
        <f t="shared" si="146"/>
        <v>0</v>
      </c>
      <c r="F1125" s="41"/>
      <c r="G1125" s="41"/>
      <c r="H1125" s="41"/>
      <c r="I1125" s="41"/>
      <c r="J1125" s="42"/>
      <c r="K1125" s="41"/>
      <c r="L1125" s="41"/>
      <c r="M1125" s="41"/>
      <c r="N1125" s="41"/>
      <c r="O1125" s="41" t="str">
        <f t="shared" si="144"/>
        <v>NO</v>
      </c>
      <c r="P1125" s="41" t="str">
        <f t="shared" si="145"/>
        <v>🟡</v>
      </c>
      <c r="Q1125" s="41"/>
    </row>
    <row r="1126" spans="1:17" ht="18" hidden="1" customHeight="1" x14ac:dyDescent="0.4">
      <c r="A1126" s="41">
        <f t="shared" si="142"/>
        <v>1125</v>
      </c>
      <c r="B1126" s="41" t="str">
        <f t="shared" si="143"/>
        <v/>
      </c>
      <c r="C1126" s="41"/>
      <c r="D1126" s="41"/>
      <c r="E1126" s="41">
        <f t="shared" si="146"/>
        <v>0</v>
      </c>
      <c r="F1126" s="41"/>
      <c r="G1126" s="41"/>
      <c r="H1126" s="41"/>
      <c r="I1126" s="41"/>
      <c r="J1126" s="42"/>
      <c r="K1126" s="41"/>
      <c r="L1126" s="41"/>
      <c r="M1126" s="41"/>
      <c r="N1126" s="41"/>
      <c r="O1126" s="41" t="str">
        <f t="shared" si="144"/>
        <v>NO</v>
      </c>
      <c r="P1126" s="41" t="str">
        <f t="shared" si="145"/>
        <v>🟡</v>
      </c>
      <c r="Q1126" s="41"/>
    </row>
    <row r="1127" spans="1:17" ht="18" hidden="1" customHeight="1" x14ac:dyDescent="0.4">
      <c r="A1127" s="41">
        <f t="shared" si="142"/>
        <v>1126</v>
      </c>
      <c r="B1127" s="41" t="str">
        <f t="shared" si="143"/>
        <v/>
      </c>
      <c r="C1127" s="41"/>
      <c r="D1127" s="41"/>
      <c r="E1127" s="41">
        <f t="shared" si="146"/>
        <v>0</v>
      </c>
      <c r="F1127" s="41"/>
      <c r="G1127" s="41"/>
      <c r="H1127" s="41"/>
      <c r="I1127" s="41"/>
      <c r="J1127" s="42"/>
      <c r="K1127" s="41"/>
      <c r="L1127" s="41"/>
      <c r="M1127" s="41"/>
      <c r="N1127" s="41"/>
      <c r="O1127" s="41" t="str">
        <f t="shared" si="144"/>
        <v>NO</v>
      </c>
      <c r="P1127" s="41" t="str">
        <f t="shared" si="145"/>
        <v>🟡</v>
      </c>
      <c r="Q1127" s="41"/>
    </row>
    <row r="1128" spans="1:17" ht="18" hidden="1" customHeight="1" x14ac:dyDescent="0.4">
      <c r="A1128" s="41">
        <f t="shared" si="142"/>
        <v>1127</v>
      </c>
      <c r="B1128" s="41" t="str">
        <f t="shared" si="143"/>
        <v/>
      </c>
      <c r="C1128" s="41"/>
      <c r="D1128" s="41"/>
      <c r="E1128" s="41">
        <f t="shared" si="146"/>
        <v>0</v>
      </c>
      <c r="F1128" s="41"/>
      <c r="G1128" s="41"/>
      <c r="H1128" s="41"/>
      <c r="I1128" s="41"/>
      <c r="J1128" s="42"/>
      <c r="K1128" s="41"/>
      <c r="L1128" s="41"/>
      <c r="M1128" s="41"/>
      <c r="N1128" s="41"/>
      <c r="O1128" s="41" t="str">
        <f t="shared" si="144"/>
        <v>NO</v>
      </c>
      <c r="P1128" s="41" t="str">
        <f t="shared" si="145"/>
        <v>🟡</v>
      </c>
      <c r="Q1128" s="41"/>
    </row>
    <row r="1129" spans="1:17" ht="18" hidden="1" customHeight="1" x14ac:dyDescent="0.4">
      <c r="A1129" s="41">
        <f t="shared" si="142"/>
        <v>1128</v>
      </c>
      <c r="B1129" s="41" t="str">
        <f t="shared" si="143"/>
        <v/>
      </c>
      <c r="C1129" s="41"/>
      <c r="D1129" s="41"/>
      <c r="E1129" s="41">
        <f t="shared" si="146"/>
        <v>0</v>
      </c>
      <c r="F1129" s="41"/>
      <c r="G1129" s="41"/>
      <c r="H1129" s="41"/>
      <c r="I1129" s="41"/>
      <c r="J1129" s="42"/>
      <c r="K1129" s="41"/>
      <c r="L1129" s="41"/>
      <c r="M1129" s="41"/>
      <c r="N1129" s="41"/>
      <c r="O1129" s="41" t="str">
        <f t="shared" si="144"/>
        <v>NO</v>
      </c>
      <c r="P1129" s="41" t="str">
        <f t="shared" si="145"/>
        <v>🟡</v>
      </c>
      <c r="Q1129" s="41"/>
    </row>
    <row r="1130" spans="1:17" ht="18" hidden="1" customHeight="1" x14ac:dyDescent="0.4">
      <c r="A1130" s="41">
        <f t="shared" si="142"/>
        <v>1129</v>
      </c>
      <c r="B1130" s="41" t="str">
        <f t="shared" si="143"/>
        <v/>
      </c>
      <c r="C1130" s="41"/>
      <c r="D1130" s="41"/>
      <c r="E1130" s="41">
        <f t="shared" si="146"/>
        <v>0</v>
      </c>
      <c r="F1130" s="41"/>
      <c r="G1130" s="41"/>
      <c r="H1130" s="41"/>
      <c r="I1130" s="41"/>
      <c r="J1130" s="42"/>
      <c r="K1130" s="41"/>
      <c r="L1130" s="41"/>
      <c r="M1130" s="41"/>
      <c r="N1130" s="41"/>
      <c r="O1130" s="41" t="str">
        <f t="shared" si="144"/>
        <v>NO</v>
      </c>
      <c r="P1130" s="41" t="str">
        <f t="shared" si="145"/>
        <v>🟡</v>
      </c>
      <c r="Q1130" s="41"/>
    </row>
    <row r="1131" spans="1:17" ht="18" hidden="1" customHeight="1" x14ac:dyDescent="0.4">
      <c r="A1131" s="41">
        <f t="shared" si="142"/>
        <v>1130</v>
      </c>
      <c r="B1131" s="41" t="str">
        <f t="shared" si="143"/>
        <v/>
      </c>
      <c r="C1131" s="41"/>
      <c r="D1131" s="41"/>
      <c r="E1131" s="41">
        <f t="shared" si="146"/>
        <v>0</v>
      </c>
      <c r="F1131" s="41"/>
      <c r="G1131" s="41"/>
      <c r="H1131" s="41"/>
      <c r="I1131" s="41"/>
      <c r="J1131" s="42"/>
      <c r="K1131" s="41"/>
      <c r="L1131" s="41"/>
      <c r="M1131" s="41"/>
      <c r="N1131" s="41"/>
      <c r="O1131" s="41" t="str">
        <f t="shared" si="144"/>
        <v>NO</v>
      </c>
      <c r="P1131" s="41" t="str">
        <f t="shared" si="145"/>
        <v>🟡</v>
      </c>
      <c r="Q1131" s="41"/>
    </row>
    <row r="1132" spans="1:17" ht="18" hidden="1" customHeight="1" x14ac:dyDescent="0.4">
      <c r="A1132" s="41">
        <f t="shared" si="142"/>
        <v>1131</v>
      </c>
      <c r="B1132" s="41" t="str">
        <f t="shared" si="143"/>
        <v/>
      </c>
      <c r="C1132" s="41"/>
      <c r="D1132" s="41"/>
      <c r="E1132" s="41">
        <f t="shared" si="146"/>
        <v>0</v>
      </c>
      <c r="F1132" s="41"/>
      <c r="G1132" s="41"/>
      <c r="H1132" s="41"/>
      <c r="I1132" s="41"/>
      <c r="J1132" s="42"/>
      <c r="K1132" s="41"/>
      <c r="L1132" s="41"/>
      <c r="M1132" s="41"/>
      <c r="N1132" s="41"/>
      <c r="O1132" s="41" t="str">
        <f t="shared" si="144"/>
        <v>NO</v>
      </c>
      <c r="P1132" s="41" t="str">
        <f t="shared" si="145"/>
        <v>🟡</v>
      </c>
      <c r="Q1132" s="41"/>
    </row>
    <row r="1133" spans="1:17" ht="18" hidden="1" customHeight="1" x14ac:dyDescent="0.4">
      <c r="A1133" s="41">
        <f t="shared" si="142"/>
        <v>1132</v>
      </c>
      <c r="B1133" s="41" t="str">
        <f t="shared" si="143"/>
        <v/>
      </c>
      <c r="C1133" s="41"/>
      <c r="D1133" s="41"/>
      <c r="E1133" s="41">
        <f t="shared" si="146"/>
        <v>0</v>
      </c>
      <c r="F1133" s="41"/>
      <c r="G1133" s="41"/>
      <c r="H1133" s="41"/>
      <c r="I1133" s="41"/>
      <c r="J1133" s="42"/>
      <c r="K1133" s="41"/>
      <c r="L1133" s="41"/>
      <c r="M1133" s="41"/>
      <c r="N1133" s="41"/>
      <c r="O1133" s="41" t="str">
        <f t="shared" si="144"/>
        <v>NO</v>
      </c>
      <c r="P1133" s="41" t="str">
        <f t="shared" si="145"/>
        <v>🟡</v>
      </c>
      <c r="Q1133" s="41"/>
    </row>
    <row r="1134" spans="1:17" ht="18" hidden="1" customHeight="1" x14ac:dyDescent="0.4">
      <c r="A1134" s="41">
        <f t="shared" si="142"/>
        <v>1133</v>
      </c>
      <c r="B1134" s="41" t="str">
        <f t="shared" si="143"/>
        <v/>
      </c>
      <c r="C1134" s="41"/>
      <c r="D1134" s="41"/>
      <c r="E1134" s="41">
        <f t="shared" si="146"/>
        <v>0</v>
      </c>
      <c r="F1134" s="41"/>
      <c r="G1134" s="41"/>
      <c r="H1134" s="41"/>
      <c r="I1134" s="41"/>
      <c r="J1134" s="42"/>
      <c r="K1134" s="41"/>
      <c r="L1134" s="41"/>
      <c r="M1134" s="41"/>
      <c r="N1134" s="41"/>
      <c r="O1134" s="41" t="str">
        <f t="shared" si="144"/>
        <v>NO</v>
      </c>
      <c r="P1134" s="41" t="str">
        <f t="shared" si="145"/>
        <v>🟡</v>
      </c>
      <c r="Q1134" s="41"/>
    </row>
    <row r="1135" spans="1:17" ht="18" hidden="1" customHeight="1" x14ac:dyDescent="0.4">
      <c r="A1135" s="41">
        <f t="shared" si="142"/>
        <v>1134</v>
      </c>
      <c r="B1135" s="41" t="str">
        <f t="shared" si="143"/>
        <v/>
      </c>
      <c r="C1135" s="41"/>
      <c r="D1135" s="41"/>
      <c r="E1135" s="41">
        <f t="shared" si="146"/>
        <v>0</v>
      </c>
      <c r="F1135" s="41"/>
      <c r="G1135" s="41"/>
      <c r="H1135" s="41"/>
      <c r="I1135" s="41"/>
      <c r="J1135" s="42"/>
      <c r="K1135" s="41"/>
      <c r="L1135" s="41"/>
      <c r="M1135" s="41"/>
      <c r="N1135" s="41"/>
      <c r="O1135" s="41" t="str">
        <f t="shared" si="144"/>
        <v>NO</v>
      </c>
      <c r="P1135" s="41" t="str">
        <f t="shared" si="145"/>
        <v>🟡</v>
      </c>
      <c r="Q1135" s="41"/>
    </row>
    <row r="1136" spans="1:17" ht="18" hidden="1" customHeight="1" x14ac:dyDescent="0.4">
      <c r="A1136" s="41">
        <f t="shared" si="142"/>
        <v>1135</v>
      </c>
      <c r="B1136" s="41" t="str">
        <f t="shared" si="143"/>
        <v/>
      </c>
      <c r="C1136" s="41"/>
      <c r="D1136" s="41"/>
      <c r="E1136" s="41">
        <f t="shared" si="146"/>
        <v>0</v>
      </c>
      <c r="F1136" s="41"/>
      <c r="G1136" s="41"/>
      <c r="H1136" s="41"/>
      <c r="I1136" s="41"/>
      <c r="J1136" s="42"/>
      <c r="K1136" s="41"/>
      <c r="L1136" s="41"/>
      <c r="M1136" s="41"/>
      <c r="N1136" s="41"/>
      <c r="O1136" s="41" t="str">
        <f t="shared" si="144"/>
        <v>NO</v>
      </c>
      <c r="P1136" s="41" t="str">
        <f t="shared" si="145"/>
        <v>🟡</v>
      </c>
      <c r="Q1136" s="41"/>
    </row>
    <row r="1137" spans="1:17" ht="18" hidden="1" customHeight="1" x14ac:dyDescent="0.4">
      <c r="A1137" s="41">
        <f t="shared" si="142"/>
        <v>1136</v>
      </c>
      <c r="B1137" s="41" t="str">
        <f t="shared" si="143"/>
        <v/>
      </c>
      <c r="C1137" s="41"/>
      <c r="D1137" s="41"/>
      <c r="E1137" s="41">
        <f t="shared" si="146"/>
        <v>0</v>
      </c>
      <c r="F1137" s="41"/>
      <c r="G1137" s="41"/>
      <c r="H1137" s="41"/>
      <c r="I1137" s="41"/>
      <c r="J1137" s="42"/>
      <c r="K1137" s="41"/>
      <c r="L1137" s="41"/>
      <c r="M1137" s="41"/>
      <c r="N1137" s="41"/>
      <c r="O1137" s="41" t="str">
        <f t="shared" si="144"/>
        <v>NO</v>
      </c>
      <c r="P1137" s="41" t="str">
        <f t="shared" si="145"/>
        <v>🟡</v>
      </c>
      <c r="Q1137" s="41"/>
    </row>
    <row r="1138" spans="1:17" ht="18" hidden="1" customHeight="1" x14ac:dyDescent="0.4">
      <c r="A1138" s="41">
        <f t="shared" si="142"/>
        <v>1137</v>
      </c>
      <c r="B1138" s="41" t="str">
        <f t="shared" si="143"/>
        <v/>
      </c>
      <c r="C1138" s="41"/>
      <c r="D1138" s="41"/>
      <c r="E1138" s="41">
        <f t="shared" si="146"/>
        <v>0</v>
      </c>
      <c r="F1138" s="41"/>
      <c r="G1138" s="41"/>
      <c r="H1138" s="41"/>
      <c r="I1138" s="41"/>
      <c r="J1138" s="42"/>
      <c r="K1138" s="41"/>
      <c r="L1138" s="41"/>
      <c r="M1138" s="41"/>
      <c r="N1138" s="41"/>
      <c r="O1138" s="41" t="str">
        <f t="shared" si="144"/>
        <v>NO</v>
      </c>
      <c r="P1138" s="41" t="str">
        <f t="shared" si="145"/>
        <v>🟡</v>
      </c>
      <c r="Q1138" s="41"/>
    </row>
    <row r="1139" spans="1:17" ht="18" hidden="1" customHeight="1" x14ac:dyDescent="0.4">
      <c r="A1139" s="41">
        <f t="shared" si="142"/>
        <v>1138</v>
      </c>
      <c r="B1139" s="41" t="str">
        <f t="shared" si="143"/>
        <v/>
      </c>
      <c r="C1139" s="41"/>
      <c r="D1139" s="41"/>
      <c r="E1139" s="41">
        <f t="shared" si="146"/>
        <v>0</v>
      </c>
      <c r="F1139" s="41"/>
      <c r="G1139" s="41"/>
      <c r="H1139" s="41"/>
      <c r="I1139" s="41"/>
      <c r="J1139" s="42"/>
      <c r="K1139" s="41"/>
      <c r="L1139" s="41"/>
      <c r="M1139" s="41"/>
      <c r="N1139" s="41"/>
      <c r="O1139" s="41" t="str">
        <f t="shared" si="144"/>
        <v>NO</v>
      </c>
      <c r="P1139" s="41" t="str">
        <f t="shared" si="145"/>
        <v>🟡</v>
      </c>
      <c r="Q1139" s="41"/>
    </row>
    <row r="1140" spans="1:17" ht="18" hidden="1" customHeight="1" x14ac:dyDescent="0.4">
      <c r="A1140" s="41">
        <f t="shared" si="142"/>
        <v>1139</v>
      </c>
      <c r="B1140" s="41" t="str">
        <f t="shared" si="143"/>
        <v/>
      </c>
      <c r="C1140" s="41"/>
      <c r="D1140" s="41"/>
      <c r="E1140" s="41">
        <f t="shared" si="146"/>
        <v>0</v>
      </c>
      <c r="F1140" s="41"/>
      <c r="G1140" s="41"/>
      <c r="H1140" s="41"/>
      <c r="I1140" s="41"/>
      <c r="J1140" s="42"/>
      <c r="K1140" s="41"/>
      <c r="L1140" s="41"/>
      <c r="M1140" s="41"/>
      <c r="N1140" s="41"/>
      <c r="O1140" s="41" t="str">
        <f t="shared" si="144"/>
        <v>NO</v>
      </c>
      <c r="P1140" s="41" t="str">
        <f t="shared" si="145"/>
        <v>🟡</v>
      </c>
      <c r="Q1140" s="41"/>
    </row>
    <row r="1141" spans="1:17" ht="18" hidden="1" customHeight="1" x14ac:dyDescent="0.4">
      <c r="A1141" s="41">
        <f t="shared" si="142"/>
        <v>1140</v>
      </c>
      <c r="B1141" s="41" t="str">
        <f t="shared" si="143"/>
        <v/>
      </c>
      <c r="C1141" s="41"/>
      <c r="D1141" s="41"/>
      <c r="E1141" s="41">
        <f t="shared" si="146"/>
        <v>0</v>
      </c>
      <c r="F1141" s="41"/>
      <c r="G1141" s="41"/>
      <c r="H1141" s="41"/>
      <c r="I1141" s="41"/>
      <c r="J1141" s="42"/>
      <c r="K1141" s="41"/>
      <c r="L1141" s="41"/>
      <c r="M1141" s="41"/>
      <c r="N1141" s="41"/>
      <c r="O1141" s="41" t="str">
        <f t="shared" si="144"/>
        <v>NO</v>
      </c>
      <c r="P1141" s="41" t="str">
        <f t="shared" si="145"/>
        <v>🟡</v>
      </c>
      <c r="Q1141" s="41"/>
    </row>
    <row r="1142" spans="1:17" ht="18" hidden="1" customHeight="1" x14ac:dyDescent="0.4">
      <c r="A1142" s="41">
        <f t="shared" si="142"/>
        <v>1141</v>
      </c>
      <c r="B1142" s="41" t="str">
        <f t="shared" si="143"/>
        <v/>
      </c>
      <c r="C1142" s="41"/>
      <c r="D1142" s="41"/>
      <c r="E1142" s="41">
        <f t="shared" si="146"/>
        <v>0</v>
      </c>
      <c r="F1142" s="41"/>
      <c r="G1142" s="41"/>
      <c r="H1142" s="41"/>
      <c r="I1142" s="41"/>
      <c r="J1142" s="42"/>
      <c r="K1142" s="41"/>
      <c r="L1142" s="41"/>
      <c r="M1142" s="41"/>
      <c r="N1142" s="41"/>
      <c r="O1142" s="41" t="str">
        <f t="shared" si="144"/>
        <v>NO</v>
      </c>
      <c r="P1142" s="41" t="str">
        <f t="shared" si="145"/>
        <v>🟡</v>
      </c>
      <c r="Q1142" s="41"/>
    </row>
    <row r="1143" spans="1:17" ht="18" hidden="1" customHeight="1" x14ac:dyDescent="0.4">
      <c r="A1143" s="41">
        <f t="shared" si="142"/>
        <v>1142</v>
      </c>
      <c r="B1143" s="41" t="str">
        <f t="shared" si="143"/>
        <v/>
      </c>
      <c r="C1143" s="41"/>
      <c r="D1143" s="41"/>
      <c r="E1143" s="41">
        <f t="shared" si="146"/>
        <v>0</v>
      </c>
      <c r="F1143" s="41"/>
      <c r="G1143" s="41"/>
      <c r="H1143" s="41"/>
      <c r="I1143" s="41"/>
      <c r="J1143" s="42"/>
      <c r="K1143" s="41"/>
      <c r="L1143" s="41"/>
      <c r="M1143" s="41"/>
      <c r="N1143" s="41"/>
      <c r="O1143" s="41" t="str">
        <f t="shared" si="144"/>
        <v>NO</v>
      </c>
      <c r="P1143" s="41" t="str">
        <f t="shared" si="145"/>
        <v>🟡</v>
      </c>
      <c r="Q1143" s="41"/>
    </row>
    <row r="1144" spans="1:17" ht="18" hidden="1" customHeight="1" x14ac:dyDescent="0.4">
      <c r="A1144" s="41">
        <f t="shared" si="142"/>
        <v>1143</v>
      </c>
      <c r="B1144" s="41" t="str">
        <f t="shared" si="143"/>
        <v/>
      </c>
      <c r="C1144" s="41"/>
      <c r="D1144" s="41"/>
      <c r="E1144" s="41">
        <f t="shared" si="146"/>
        <v>0</v>
      </c>
      <c r="F1144" s="41"/>
      <c r="G1144" s="41"/>
      <c r="H1144" s="41"/>
      <c r="I1144" s="41"/>
      <c r="J1144" s="42"/>
      <c r="K1144" s="41"/>
      <c r="L1144" s="41"/>
      <c r="M1144" s="41"/>
      <c r="N1144" s="41"/>
      <c r="O1144" s="41" t="str">
        <f t="shared" si="144"/>
        <v>NO</v>
      </c>
      <c r="P1144" s="41" t="str">
        <f t="shared" si="145"/>
        <v>🟡</v>
      </c>
      <c r="Q1144" s="41"/>
    </row>
    <row r="1145" spans="1:17" ht="18" hidden="1" customHeight="1" x14ac:dyDescent="0.4">
      <c r="A1145" s="41">
        <f t="shared" si="142"/>
        <v>1144</v>
      </c>
      <c r="B1145" s="41" t="str">
        <f t="shared" si="143"/>
        <v/>
      </c>
      <c r="C1145" s="41"/>
      <c r="D1145" s="41"/>
      <c r="E1145" s="41">
        <f t="shared" si="146"/>
        <v>0</v>
      </c>
      <c r="F1145" s="41"/>
      <c r="G1145" s="41"/>
      <c r="H1145" s="41"/>
      <c r="I1145" s="41"/>
      <c r="J1145" s="42"/>
      <c r="K1145" s="41"/>
      <c r="L1145" s="41"/>
      <c r="M1145" s="41"/>
      <c r="N1145" s="41"/>
      <c r="O1145" s="41" t="str">
        <f t="shared" si="144"/>
        <v>NO</v>
      </c>
      <c r="P1145" s="41" t="str">
        <f t="shared" si="145"/>
        <v>🟡</v>
      </c>
      <c r="Q1145" s="41"/>
    </row>
    <row r="1146" spans="1:17" ht="18" hidden="1" customHeight="1" x14ac:dyDescent="0.4">
      <c r="A1146" s="41">
        <f t="shared" si="142"/>
        <v>1145</v>
      </c>
      <c r="B1146" s="41" t="str">
        <f t="shared" si="143"/>
        <v/>
      </c>
      <c r="C1146" s="41"/>
      <c r="D1146" s="41"/>
      <c r="E1146" s="41">
        <f t="shared" si="146"/>
        <v>0</v>
      </c>
      <c r="F1146" s="41"/>
      <c r="G1146" s="41"/>
      <c r="H1146" s="41"/>
      <c r="I1146" s="41"/>
      <c r="J1146" s="42"/>
      <c r="K1146" s="41"/>
      <c r="L1146" s="41"/>
      <c r="M1146" s="41"/>
      <c r="N1146" s="41"/>
      <c r="O1146" s="41" t="str">
        <f t="shared" si="144"/>
        <v>NO</v>
      </c>
      <c r="P1146" s="41" t="str">
        <f t="shared" si="145"/>
        <v>🟡</v>
      </c>
      <c r="Q1146" s="41"/>
    </row>
    <row r="1147" spans="1:17" ht="18" hidden="1" customHeight="1" x14ac:dyDescent="0.4">
      <c r="A1147" s="41">
        <f t="shared" si="142"/>
        <v>1146</v>
      </c>
      <c r="B1147" s="41" t="str">
        <f t="shared" si="143"/>
        <v/>
      </c>
      <c r="C1147" s="41"/>
      <c r="D1147" s="41"/>
      <c r="E1147" s="41">
        <f t="shared" si="146"/>
        <v>0</v>
      </c>
      <c r="F1147" s="41"/>
      <c r="G1147" s="41"/>
      <c r="H1147" s="41"/>
      <c r="I1147" s="41"/>
      <c r="J1147" s="42"/>
      <c r="K1147" s="41"/>
      <c r="L1147" s="41"/>
      <c r="M1147" s="41"/>
      <c r="N1147" s="41"/>
      <c r="O1147" s="41" t="str">
        <f t="shared" si="144"/>
        <v>NO</v>
      </c>
      <c r="P1147" s="41" t="str">
        <f t="shared" si="145"/>
        <v>🟡</v>
      </c>
      <c r="Q1147" s="41"/>
    </row>
    <row r="1148" spans="1:17" ht="18" hidden="1" customHeight="1" x14ac:dyDescent="0.4">
      <c r="A1148" s="41">
        <f t="shared" si="142"/>
        <v>1147</v>
      </c>
      <c r="B1148" s="41" t="str">
        <f t="shared" si="143"/>
        <v/>
      </c>
      <c r="C1148" s="41"/>
      <c r="D1148" s="41"/>
      <c r="E1148" s="41">
        <f t="shared" si="146"/>
        <v>0</v>
      </c>
      <c r="F1148" s="41"/>
      <c r="G1148" s="41"/>
      <c r="H1148" s="41"/>
      <c r="I1148" s="41"/>
      <c r="J1148" s="42"/>
      <c r="K1148" s="41"/>
      <c r="L1148" s="41"/>
      <c r="M1148" s="41"/>
      <c r="N1148" s="41"/>
      <c r="O1148" s="41" t="str">
        <f t="shared" si="144"/>
        <v>NO</v>
      </c>
      <c r="P1148" s="41" t="str">
        <f t="shared" si="145"/>
        <v>🟡</v>
      </c>
      <c r="Q1148" s="41"/>
    </row>
    <row r="1149" spans="1:17" ht="18" hidden="1" customHeight="1" x14ac:dyDescent="0.4">
      <c r="A1149" s="41">
        <f t="shared" si="142"/>
        <v>1148</v>
      </c>
      <c r="B1149" s="41" t="str">
        <f t="shared" si="143"/>
        <v/>
      </c>
      <c r="C1149" s="41"/>
      <c r="D1149" s="41"/>
      <c r="E1149" s="41">
        <f t="shared" si="146"/>
        <v>0</v>
      </c>
      <c r="F1149" s="41"/>
      <c r="G1149" s="41"/>
      <c r="H1149" s="41"/>
      <c r="I1149" s="41"/>
      <c r="J1149" s="42"/>
      <c r="K1149" s="41"/>
      <c r="L1149" s="41"/>
      <c r="M1149" s="41"/>
      <c r="N1149" s="41"/>
      <c r="O1149" s="41" t="str">
        <f t="shared" si="144"/>
        <v>NO</v>
      </c>
      <c r="P1149" s="41" t="str">
        <f t="shared" si="145"/>
        <v>🟡</v>
      </c>
      <c r="Q1149" s="41"/>
    </row>
    <row r="1150" spans="1:17" ht="18" hidden="1" customHeight="1" x14ac:dyDescent="0.4">
      <c r="A1150" s="41">
        <f t="shared" si="142"/>
        <v>1149</v>
      </c>
      <c r="B1150" s="41" t="str">
        <f t="shared" si="143"/>
        <v/>
      </c>
      <c r="C1150" s="41"/>
      <c r="D1150" s="41"/>
      <c r="E1150" s="41">
        <f t="shared" si="146"/>
        <v>0</v>
      </c>
      <c r="F1150" s="41"/>
      <c r="G1150" s="41"/>
      <c r="H1150" s="41"/>
      <c r="I1150" s="41"/>
      <c r="J1150" s="42"/>
      <c r="K1150" s="41"/>
      <c r="L1150" s="41"/>
      <c r="M1150" s="41"/>
      <c r="N1150" s="41"/>
      <c r="O1150" s="41" t="str">
        <f t="shared" si="144"/>
        <v>NO</v>
      </c>
      <c r="P1150" s="41" t="str">
        <f t="shared" si="145"/>
        <v>🟡</v>
      </c>
      <c r="Q1150" s="41"/>
    </row>
    <row r="1151" spans="1:17" ht="18" hidden="1" customHeight="1" x14ac:dyDescent="0.4">
      <c r="A1151" s="41">
        <f t="shared" si="142"/>
        <v>1150</v>
      </c>
      <c r="B1151" s="41" t="str">
        <f t="shared" si="143"/>
        <v/>
      </c>
      <c r="C1151" s="41"/>
      <c r="D1151" s="41"/>
      <c r="E1151" s="41">
        <f t="shared" si="146"/>
        <v>0</v>
      </c>
      <c r="F1151" s="41"/>
      <c r="G1151" s="41"/>
      <c r="H1151" s="41"/>
      <c r="I1151" s="41"/>
      <c r="J1151" s="42"/>
      <c r="K1151" s="41"/>
      <c r="L1151" s="41"/>
      <c r="M1151" s="41"/>
      <c r="N1151" s="41"/>
      <c r="O1151" s="41" t="str">
        <f t="shared" si="144"/>
        <v>NO</v>
      </c>
      <c r="P1151" s="41" t="str">
        <f t="shared" si="145"/>
        <v>🟡</v>
      </c>
      <c r="Q1151" s="41"/>
    </row>
    <row r="1152" spans="1:17" ht="18" hidden="1" customHeight="1" x14ac:dyDescent="0.4">
      <c r="A1152" s="41">
        <f t="shared" si="142"/>
        <v>1151</v>
      </c>
      <c r="B1152" s="41" t="str">
        <f t="shared" si="143"/>
        <v/>
      </c>
      <c r="C1152" s="41"/>
      <c r="D1152" s="41"/>
      <c r="E1152" s="41">
        <f t="shared" si="146"/>
        <v>0</v>
      </c>
      <c r="F1152" s="41"/>
      <c r="G1152" s="41"/>
      <c r="H1152" s="41"/>
      <c r="I1152" s="41"/>
      <c r="J1152" s="42"/>
      <c r="K1152" s="41"/>
      <c r="L1152" s="41"/>
      <c r="M1152" s="41"/>
      <c r="N1152" s="41"/>
      <c r="O1152" s="41" t="str">
        <f t="shared" si="144"/>
        <v>NO</v>
      </c>
      <c r="P1152" s="41" t="str">
        <f t="shared" si="145"/>
        <v>🟡</v>
      </c>
      <c r="Q1152" s="41"/>
    </row>
    <row r="1153" spans="1:17" ht="18" hidden="1" customHeight="1" x14ac:dyDescent="0.4">
      <c r="A1153" s="41">
        <f t="shared" si="142"/>
        <v>1152</v>
      </c>
      <c r="B1153" s="41" t="str">
        <f t="shared" si="143"/>
        <v/>
      </c>
      <c r="C1153" s="41"/>
      <c r="D1153" s="41"/>
      <c r="E1153" s="41">
        <f t="shared" si="146"/>
        <v>0</v>
      </c>
      <c r="F1153" s="41"/>
      <c r="G1153" s="41"/>
      <c r="H1153" s="41"/>
      <c r="I1153" s="41"/>
      <c r="J1153" s="42"/>
      <c r="K1153" s="41"/>
      <c r="L1153" s="41"/>
      <c r="M1153" s="41"/>
      <c r="N1153" s="41"/>
      <c r="O1153" s="41" t="str">
        <f t="shared" si="144"/>
        <v>NO</v>
      </c>
      <c r="P1153" s="41" t="str">
        <f t="shared" si="145"/>
        <v>🟡</v>
      </c>
      <c r="Q1153" s="41"/>
    </row>
    <row r="1154" spans="1:17" ht="18" hidden="1" customHeight="1" x14ac:dyDescent="0.4">
      <c r="A1154" s="41">
        <f t="shared" si="142"/>
        <v>1153</v>
      </c>
      <c r="B1154" s="41" t="str">
        <f t="shared" si="143"/>
        <v/>
      </c>
      <c r="C1154" s="41"/>
      <c r="D1154" s="41"/>
      <c r="E1154" s="41">
        <f t="shared" si="146"/>
        <v>0</v>
      </c>
      <c r="F1154" s="41"/>
      <c r="G1154" s="41"/>
      <c r="H1154" s="41"/>
      <c r="I1154" s="41"/>
      <c r="J1154" s="42"/>
      <c r="K1154" s="41"/>
      <c r="L1154" s="41"/>
      <c r="M1154" s="41"/>
      <c r="N1154" s="41"/>
      <c r="O1154" s="41" t="str">
        <f t="shared" si="144"/>
        <v>NO</v>
      </c>
      <c r="P1154" s="41" t="str">
        <f t="shared" si="145"/>
        <v>🟡</v>
      </c>
      <c r="Q1154" s="41"/>
    </row>
    <row r="1155" spans="1:17" ht="18" hidden="1" customHeight="1" x14ac:dyDescent="0.4">
      <c r="A1155" s="41">
        <f t="shared" si="142"/>
        <v>1154</v>
      </c>
      <c r="B1155" s="41" t="str">
        <f t="shared" si="143"/>
        <v/>
      </c>
      <c r="C1155" s="41"/>
      <c r="D1155" s="41"/>
      <c r="E1155" s="41">
        <f t="shared" si="146"/>
        <v>0</v>
      </c>
      <c r="F1155" s="41"/>
      <c r="G1155" s="41"/>
      <c r="H1155" s="41"/>
      <c r="I1155" s="41"/>
      <c r="J1155" s="42"/>
      <c r="K1155" s="41"/>
      <c r="L1155" s="41"/>
      <c r="M1155" s="41"/>
      <c r="N1155" s="41"/>
      <c r="O1155" s="41" t="str">
        <f t="shared" si="144"/>
        <v>NO</v>
      </c>
      <c r="P1155" s="41" t="str">
        <f t="shared" si="145"/>
        <v>🟡</v>
      </c>
      <c r="Q1155" s="41"/>
    </row>
    <row r="1156" spans="1:17" ht="18" hidden="1" customHeight="1" x14ac:dyDescent="0.4">
      <c r="A1156" s="41">
        <f t="shared" si="142"/>
        <v>1155</v>
      </c>
      <c r="B1156" s="41" t="str">
        <f t="shared" si="143"/>
        <v/>
      </c>
      <c r="C1156" s="41"/>
      <c r="D1156" s="41"/>
      <c r="E1156" s="41">
        <f t="shared" si="146"/>
        <v>0</v>
      </c>
      <c r="F1156" s="41"/>
      <c r="G1156" s="41"/>
      <c r="H1156" s="41"/>
      <c r="I1156" s="41"/>
      <c r="J1156" s="42"/>
      <c r="K1156" s="41"/>
      <c r="L1156" s="41"/>
      <c r="M1156" s="41"/>
      <c r="N1156" s="41"/>
      <c r="O1156" s="41" t="str">
        <f t="shared" si="144"/>
        <v>NO</v>
      </c>
      <c r="P1156" s="41" t="str">
        <f t="shared" si="145"/>
        <v>🟡</v>
      </c>
      <c r="Q1156" s="41"/>
    </row>
    <row r="1157" spans="1:17" ht="18" hidden="1" customHeight="1" x14ac:dyDescent="0.4">
      <c r="A1157" s="41">
        <f t="shared" si="142"/>
        <v>1156</v>
      </c>
      <c r="B1157" s="41" t="str">
        <f t="shared" si="143"/>
        <v/>
      </c>
      <c r="C1157" s="41"/>
      <c r="D1157" s="41"/>
      <c r="E1157" s="41">
        <f t="shared" si="146"/>
        <v>0</v>
      </c>
      <c r="F1157" s="41"/>
      <c r="G1157" s="41"/>
      <c r="H1157" s="41"/>
      <c r="I1157" s="41"/>
      <c r="J1157" s="42"/>
      <c r="K1157" s="41"/>
      <c r="L1157" s="41"/>
      <c r="M1157" s="41"/>
      <c r="N1157" s="41"/>
      <c r="O1157" s="41" t="str">
        <f t="shared" si="144"/>
        <v>NO</v>
      </c>
      <c r="P1157" s="41" t="str">
        <f t="shared" si="145"/>
        <v>🟡</v>
      </c>
      <c r="Q1157" s="41"/>
    </row>
    <row r="1158" spans="1:17" ht="18" hidden="1" customHeight="1" x14ac:dyDescent="0.4">
      <c r="A1158" s="41">
        <f t="shared" si="142"/>
        <v>1157</v>
      </c>
      <c r="B1158" s="41" t="str">
        <f t="shared" si="143"/>
        <v/>
      </c>
      <c r="C1158" s="41"/>
      <c r="D1158" s="41"/>
      <c r="E1158" s="41">
        <f t="shared" si="146"/>
        <v>0</v>
      </c>
      <c r="F1158" s="41"/>
      <c r="G1158" s="41"/>
      <c r="H1158" s="41"/>
      <c r="I1158" s="41"/>
      <c r="J1158" s="42"/>
      <c r="K1158" s="41"/>
      <c r="L1158" s="41"/>
      <c r="M1158" s="41"/>
      <c r="N1158" s="41"/>
      <c r="O1158" s="41" t="str">
        <f t="shared" si="144"/>
        <v>NO</v>
      </c>
      <c r="P1158" s="41" t="str">
        <f t="shared" si="145"/>
        <v>🟡</v>
      </c>
      <c r="Q1158" s="41"/>
    </row>
    <row r="1159" spans="1:17" ht="18" hidden="1" customHeight="1" x14ac:dyDescent="0.4">
      <c r="A1159" s="41">
        <f t="shared" si="142"/>
        <v>1158</v>
      </c>
      <c r="B1159" s="41" t="str">
        <f t="shared" si="143"/>
        <v/>
      </c>
      <c r="C1159" s="41"/>
      <c r="D1159" s="41"/>
      <c r="E1159" s="41">
        <f t="shared" si="146"/>
        <v>0</v>
      </c>
      <c r="F1159" s="41"/>
      <c r="G1159" s="41"/>
      <c r="H1159" s="41"/>
      <c r="I1159" s="41"/>
      <c r="J1159" s="42"/>
      <c r="K1159" s="41"/>
      <c r="L1159" s="41"/>
      <c r="M1159" s="41"/>
      <c r="N1159" s="41"/>
      <c r="O1159" s="41" t="str">
        <f t="shared" si="144"/>
        <v>NO</v>
      </c>
      <c r="P1159" s="41" t="str">
        <f t="shared" si="145"/>
        <v>🟡</v>
      </c>
      <c r="Q1159" s="41"/>
    </row>
    <row r="1160" spans="1:17" ht="18" hidden="1" customHeight="1" x14ac:dyDescent="0.4">
      <c r="A1160" s="41">
        <f t="shared" si="142"/>
        <v>1159</v>
      </c>
      <c r="B1160" s="41" t="str">
        <f t="shared" si="143"/>
        <v/>
      </c>
      <c r="C1160" s="41"/>
      <c r="D1160" s="41"/>
      <c r="E1160" s="41">
        <f t="shared" si="146"/>
        <v>0</v>
      </c>
      <c r="F1160" s="41"/>
      <c r="G1160" s="41"/>
      <c r="H1160" s="41"/>
      <c r="I1160" s="41"/>
      <c r="J1160" s="42"/>
      <c r="K1160" s="41"/>
      <c r="L1160" s="41"/>
      <c r="M1160" s="41"/>
      <c r="N1160" s="41"/>
      <c r="O1160" s="41" t="str">
        <f t="shared" si="144"/>
        <v>NO</v>
      </c>
      <c r="P1160" s="41" t="str">
        <f t="shared" si="145"/>
        <v>🟡</v>
      </c>
      <c r="Q1160" s="41"/>
    </row>
    <row r="1161" spans="1:17" ht="18" hidden="1" customHeight="1" x14ac:dyDescent="0.4">
      <c r="A1161" s="41">
        <f t="shared" si="142"/>
        <v>1160</v>
      </c>
      <c r="B1161" s="41" t="str">
        <f t="shared" si="143"/>
        <v/>
      </c>
      <c r="C1161" s="41"/>
      <c r="D1161" s="41"/>
      <c r="E1161" s="41">
        <f t="shared" si="146"/>
        <v>0</v>
      </c>
      <c r="F1161" s="41"/>
      <c r="G1161" s="41"/>
      <c r="H1161" s="41"/>
      <c r="I1161" s="41"/>
      <c r="J1161" s="42"/>
      <c r="K1161" s="41"/>
      <c r="L1161" s="41"/>
      <c r="M1161" s="41"/>
      <c r="N1161" s="41"/>
      <c r="O1161" s="41" t="str">
        <f t="shared" si="144"/>
        <v>NO</v>
      </c>
      <c r="P1161" s="41" t="str">
        <f t="shared" si="145"/>
        <v>🟡</v>
      </c>
      <c r="Q1161" s="41"/>
    </row>
    <row r="1162" spans="1:17" ht="18" hidden="1" customHeight="1" x14ac:dyDescent="0.4">
      <c r="A1162" s="41">
        <f t="shared" si="142"/>
        <v>1161</v>
      </c>
      <c r="B1162" s="41" t="str">
        <f t="shared" si="143"/>
        <v/>
      </c>
      <c r="C1162" s="41"/>
      <c r="D1162" s="41"/>
      <c r="E1162" s="41">
        <f t="shared" si="146"/>
        <v>0</v>
      </c>
      <c r="F1162" s="41"/>
      <c r="G1162" s="41"/>
      <c r="H1162" s="41"/>
      <c r="I1162" s="41"/>
      <c r="J1162" s="42"/>
      <c r="K1162" s="41"/>
      <c r="L1162" s="41"/>
      <c r="M1162" s="41"/>
      <c r="N1162" s="41"/>
      <c r="O1162" s="41" t="str">
        <f t="shared" si="144"/>
        <v>NO</v>
      </c>
      <c r="P1162" s="41" t="str">
        <f t="shared" si="145"/>
        <v>🟡</v>
      </c>
      <c r="Q1162" s="41"/>
    </row>
    <row r="1163" spans="1:17" ht="18" hidden="1" customHeight="1" x14ac:dyDescent="0.4">
      <c r="A1163" s="41">
        <f t="shared" si="142"/>
        <v>1162</v>
      </c>
      <c r="B1163" s="41" t="str">
        <f t="shared" si="143"/>
        <v/>
      </c>
      <c r="C1163" s="41"/>
      <c r="D1163" s="41"/>
      <c r="E1163" s="41">
        <f t="shared" si="146"/>
        <v>0</v>
      </c>
      <c r="F1163" s="41"/>
      <c r="G1163" s="41"/>
      <c r="H1163" s="41"/>
      <c r="I1163" s="41"/>
      <c r="J1163" s="42"/>
      <c r="K1163" s="41"/>
      <c r="L1163" s="41"/>
      <c r="M1163" s="41"/>
      <c r="N1163" s="41"/>
      <c r="O1163" s="41" t="str">
        <f t="shared" si="144"/>
        <v>NO</v>
      </c>
      <c r="P1163" s="41" t="str">
        <f t="shared" si="145"/>
        <v>🟡</v>
      </c>
      <c r="Q1163" s="41"/>
    </row>
    <row r="1164" spans="1:17" ht="18" hidden="1" customHeight="1" x14ac:dyDescent="0.4">
      <c r="A1164" s="41">
        <f t="shared" si="142"/>
        <v>1163</v>
      </c>
      <c r="B1164" s="41" t="str">
        <f t="shared" si="143"/>
        <v/>
      </c>
      <c r="C1164" s="41"/>
      <c r="D1164" s="41"/>
      <c r="E1164" s="41">
        <f t="shared" si="146"/>
        <v>0</v>
      </c>
      <c r="F1164" s="41"/>
      <c r="G1164" s="41"/>
      <c r="H1164" s="41"/>
      <c r="I1164" s="41"/>
      <c r="J1164" s="42"/>
      <c r="K1164" s="41"/>
      <c r="L1164" s="41"/>
      <c r="M1164" s="41"/>
      <c r="N1164" s="41"/>
      <c r="O1164" s="41" t="str">
        <f t="shared" si="144"/>
        <v>NO</v>
      </c>
      <c r="P1164" s="41" t="str">
        <f t="shared" si="145"/>
        <v>🟡</v>
      </c>
      <c r="Q1164" s="41"/>
    </row>
    <row r="1165" spans="1:17" ht="18" hidden="1" customHeight="1" x14ac:dyDescent="0.4">
      <c r="A1165" s="41">
        <f t="shared" si="142"/>
        <v>1164</v>
      </c>
      <c r="B1165" s="41" t="str">
        <f t="shared" si="143"/>
        <v/>
      </c>
      <c r="C1165" s="41"/>
      <c r="D1165" s="41"/>
      <c r="E1165" s="41">
        <f t="shared" si="146"/>
        <v>0</v>
      </c>
      <c r="F1165" s="41"/>
      <c r="G1165" s="41"/>
      <c r="H1165" s="41"/>
      <c r="I1165" s="41"/>
      <c r="J1165" s="42"/>
      <c r="K1165" s="41"/>
      <c r="L1165" s="41"/>
      <c r="M1165" s="41"/>
      <c r="N1165" s="41"/>
      <c r="O1165" s="41" t="str">
        <f t="shared" si="144"/>
        <v>NO</v>
      </c>
      <c r="P1165" s="41" t="str">
        <f t="shared" si="145"/>
        <v>🟡</v>
      </c>
      <c r="Q1165" s="41"/>
    </row>
    <row r="1166" spans="1:17" ht="18" hidden="1" customHeight="1" x14ac:dyDescent="0.4">
      <c r="A1166" s="41">
        <f t="shared" si="142"/>
        <v>1165</v>
      </c>
      <c r="B1166" s="41" t="str">
        <f t="shared" si="143"/>
        <v/>
      </c>
      <c r="C1166" s="41"/>
      <c r="D1166" s="41"/>
      <c r="E1166" s="41">
        <f t="shared" si="146"/>
        <v>0</v>
      </c>
      <c r="F1166" s="41"/>
      <c r="G1166" s="41"/>
      <c r="H1166" s="41"/>
      <c r="I1166" s="41"/>
      <c r="J1166" s="42"/>
      <c r="K1166" s="41"/>
      <c r="L1166" s="41"/>
      <c r="M1166" s="41"/>
      <c r="N1166" s="41"/>
      <c r="O1166" s="41" t="str">
        <f t="shared" si="144"/>
        <v>NO</v>
      </c>
      <c r="P1166" s="41" t="str">
        <f t="shared" si="145"/>
        <v>🟡</v>
      </c>
      <c r="Q1166" s="41"/>
    </row>
    <row r="1167" spans="1:17" ht="18" hidden="1" customHeight="1" x14ac:dyDescent="0.4">
      <c r="A1167" s="41">
        <f t="shared" si="142"/>
        <v>1166</v>
      </c>
      <c r="B1167" s="41" t="str">
        <f t="shared" si="143"/>
        <v/>
      </c>
      <c r="C1167" s="41"/>
      <c r="D1167" s="41"/>
      <c r="E1167" s="41">
        <f t="shared" si="146"/>
        <v>0</v>
      </c>
      <c r="F1167" s="41"/>
      <c r="G1167" s="41"/>
      <c r="H1167" s="41"/>
      <c r="I1167" s="41"/>
      <c r="J1167" s="42"/>
      <c r="K1167" s="41"/>
      <c r="L1167" s="41"/>
      <c r="M1167" s="41"/>
      <c r="N1167" s="41"/>
      <c r="O1167" s="41" t="str">
        <f t="shared" si="144"/>
        <v>NO</v>
      </c>
      <c r="P1167" s="41" t="str">
        <f t="shared" si="145"/>
        <v>🟡</v>
      </c>
      <c r="Q1167" s="41"/>
    </row>
    <row r="1168" spans="1:17" ht="18" hidden="1" customHeight="1" x14ac:dyDescent="0.4">
      <c r="A1168" s="41">
        <f t="shared" si="142"/>
        <v>1167</v>
      </c>
      <c r="B1168" s="41" t="str">
        <f t="shared" si="143"/>
        <v/>
      </c>
      <c r="C1168" s="41"/>
      <c r="D1168" s="41"/>
      <c r="E1168" s="41">
        <f t="shared" si="146"/>
        <v>0</v>
      </c>
      <c r="F1168" s="41"/>
      <c r="G1168" s="41"/>
      <c r="H1168" s="41"/>
      <c r="I1168" s="41"/>
      <c r="J1168" s="42"/>
      <c r="K1168" s="41"/>
      <c r="L1168" s="41"/>
      <c r="M1168" s="41"/>
      <c r="N1168" s="41"/>
      <c r="O1168" s="41" t="str">
        <f t="shared" si="144"/>
        <v>NO</v>
      </c>
      <c r="P1168" s="41" t="str">
        <f t="shared" si="145"/>
        <v>🟡</v>
      </c>
      <c r="Q1168" s="41"/>
    </row>
    <row r="1169" spans="1:17" ht="18" hidden="1" customHeight="1" x14ac:dyDescent="0.4">
      <c r="A1169" s="41">
        <f t="shared" si="142"/>
        <v>1168</v>
      </c>
      <c r="B1169" s="41" t="str">
        <f t="shared" si="143"/>
        <v/>
      </c>
      <c r="C1169" s="41"/>
      <c r="D1169" s="41"/>
      <c r="E1169" s="41">
        <f t="shared" si="146"/>
        <v>0</v>
      </c>
      <c r="F1169" s="41"/>
      <c r="G1169" s="41"/>
      <c r="H1169" s="41"/>
      <c r="I1169" s="41"/>
      <c r="J1169" s="42"/>
      <c r="K1169" s="41"/>
      <c r="L1169" s="41"/>
      <c r="M1169" s="41"/>
      <c r="N1169" s="41"/>
      <c r="O1169" s="41" t="str">
        <f t="shared" si="144"/>
        <v>NO</v>
      </c>
      <c r="P1169" s="41" t="str">
        <f t="shared" si="145"/>
        <v>🟡</v>
      </c>
      <c r="Q1169" s="41"/>
    </row>
    <row r="1170" spans="1:17" ht="18" hidden="1" customHeight="1" x14ac:dyDescent="0.4">
      <c r="A1170" s="41">
        <f t="shared" si="142"/>
        <v>1169</v>
      </c>
      <c r="B1170" s="41" t="str">
        <f t="shared" si="143"/>
        <v/>
      </c>
      <c r="C1170" s="41"/>
      <c r="D1170" s="41"/>
      <c r="E1170" s="41">
        <f t="shared" si="146"/>
        <v>0</v>
      </c>
      <c r="F1170" s="41"/>
      <c r="G1170" s="41"/>
      <c r="H1170" s="41"/>
      <c r="I1170" s="41"/>
      <c r="J1170" s="42"/>
      <c r="K1170" s="41"/>
      <c r="L1170" s="41"/>
      <c r="M1170" s="41"/>
      <c r="N1170" s="41"/>
      <c r="O1170" s="41" t="str">
        <f t="shared" si="144"/>
        <v>NO</v>
      </c>
      <c r="P1170" s="41" t="str">
        <f t="shared" si="145"/>
        <v>🟡</v>
      </c>
      <c r="Q1170" s="41"/>
    </row>
    <row r="1171" spans="1:17" ht="18" hidden="1" customHeight="1" x14ac:dyDescent="0.4">
      <c r="A1171" s="41">
        <f t="shared" si="142"/>
        <v>1170</v>
      </c>
      <c r="B1171" s="41" t="str">
        <f t="shared" si="143"/>
        <v/>
      </c>
      <c r="C1171" s="41"/>
      <c r="D1171" s="41"/>
      <c r="E1171" s="41">
        <f t="shared" si="146"/>
        <v>0</v>
      </c>
      <c r="F1171" s="41"/>
      <c r="G1171" s="41"/>
      <c r="H1171" s="41"/>
      <c r="I1171" s="41"/>
      <c r="J1171" s="42"/>
      <c r="K1171" s="41"/>
      <c r="L1171" s="41"/>
      <c r="M1171" s="41"/>
      <c r="N1171" s="41"/>
      <c r="O1171" s="41" t="str">
        <f t="shared" si="144"/>
        <v>NO</v>
      </c>
      <c r="P1171" s="41" t="str">
        <f t="shared" si="145"/>
        <v>🟡</v>
      </c>
      <c r="Q1171" s="41"/>
    </row>
    <row r="1172" spans="1:17" ht="18" hidden="1" customHeight="1" x14ac:dyDescent="0.4">
      <c r="A1172" s="41">
        <f t="shared" si="142"/>
        <v>1171</v>
      </c>
      <c r="B1172" s="41" t="str">
        <f t="shared" si="143"/>
        <v/>
      </c>
      <c r="C1172" s="41"/>
      <c r="D1172" s="41"/>
      <c r="E1172" s="41">
        <f t="shared" si="146"/>
        <v>0</v>
      </c>
      <c r="F1172" s="41"/>
      <c r="G1172" s="41"/>
      <c r="H1172" s="41"/>
      <c r="I1172" s="41"/>
      <c r="J1172" s="42"/>
      <c r="K1172" s="41"/>
      <c r="L1172" s="41"/>
      <c r="M1172" s="41"/>
      <c r="N1172" s="41"/>
      <c r="O1172" s="41" t="str">
        <f t="shared" si="144"/>
        <v>NO</v>
      </c>
      <c r="P1172" s="41" t="str">
        <f t="shared" si="145"/>
        <v>🟡</v>
      </c>
      <c r="Q1172" s="41"/>
    </row>
    <row r="1173" spans="1:17" ht="18" hidden="1" customHeight="1" x14ac:dyDescent="0.4">
      <c r="A1173" s="41">
        <f t="shared" si="142"/>
        <v>1172</v>
      </c>
      <c r="B1173" s="41" t="str">
        <f t="shared" si="143"/>
        <v/>
      </c>
      <c r="C1173" s="41"/>
      <c r="D1173" s="41"/>
      <c r="E1173" s="41">
        <f t="shared" si="146"/>
        <v>0</v>
      </c>
      <c r="F1173" s="41"/>
      <c r="G1173" s="41"/>
      <c r="H1173" s="41"/>
      <c r="I1173" s="41"/>
      <c r="J1173" s="42"/>
      <c r="K1173" s="41"/>
      <c r="L1173" s="41"/>
      <c r="M1173" s="41"/>
      <c r="N1173" s="41"/>
      <c r="O1173" s="41" t="str">
        <f t="shared" si="144"/>
        <v>NO</v>
      </c>
      <c r="P1173" s="41" t="str">
        <f t="shared" si="145"/>
        <v>🟡</v>
      </c>
      <c r="Q1173" s="41"/>
    </row>
    <row r="1174" spans="1:17" ht="18" hidden="1" customHeight="1" x14ac:dyDescent="0.4">
      <c r="A1174" s="41">
        <f t="shared" si="142"/>
        <v>1173</v>
      </c>
      <c r="B1174" s="41" t="str">
        <f t="shared" si="143"/>
        <v/>
      </c>
      <c r="C1174" s="41"/>
      <c r="D1174" s="41"/>
      <c r="E1174" s="41">
        <f t="shared" si="146"/>
        <v>0</v>
      </c>
      <c r="F1174" s="41"/>
      <c r="G1174" s="41"/>
      <c r="H1174" s="41"/>
      <c r="I1174" s="41"/>
      <c r="J1174" s="42"/>
      <c r="K1174" s="41"/>
      <c r="L1174" s="41"/>
      <c r="M1174" s="41"/>
      <c r="N1174" s="41"/>
      <c r="O1174" s="41" t="str">
        <f t="shared" si="144"/>
        <v>NO</v>
      </c>
      <c r="P1174" s="41" t="str">
        <f t="shared" si="145"/>
        <v>🟡</v>
      </c>
      <c r="Q1174" s="41"/>
    </row>
    <row r="1175" spans="1:17" ht="18" hidden="1" customHeight="1" x14ac:dyDescent="0.4">
      <c r="A1175" s="41">
        <f t="shared" si="142"/>
        <v>1174</v>
      </c>
      <c r="B1175" s="41" t="str">
        <f t="shared" si="143"/>
        <v/>
      </c>
      <c r="C1175" s="41"/>
      <c r="D1175" s="41"/>
      <c r="E1175" s="41">
        <f t="shared" si="146"/>
        <v>0</v>
      </c>
      <c r="F1175" s="41"/>
      <c r="G1175" s="41"/>
      <c r="H1175" s="41"/>
      <c r="I1175" s="41"/>
      <c r="J1175" s="42"/>
      <c r="K1175" s="41"/>
      <c r="L1175" s="41"/>
      <c r="M1175" s="41"/>
      <c r="N1175" s="41"/>
      <c r="O1175" s="41" t="str">
        <f t="shared" si="144"/>
        <v>NO</v>
      </c>
      <c r="P1175" s="41" t="str">
        <f t="shared" si="145"/>
        <v>🟡</v>
      </c>
      <c r="Q1175" s="41"/>
    </row>
    <row r="1176" spans="1:17" ht="18" hidden="1" customHeight="1" x14ac:dyDescent="0.4">
      <c r="A1176" s="41">
        <f t="shared" si="142"/>
        <v>1175</v>
      </c>
      <c r="B1176" s="41" t="str">
        <f t="shared" si="143"/>
        <v/>
      </c>
      <c r="C1176" s="41"/>
      <c r="D1176" s="41"/>
      <c r="E1176" s="41">
        <f t="shared" si="146"/>
        <v>0</v>
      </c>
      <c r="F1176" s="41"/>
      <c r="G1176" s="41"/>
      <c r="H1176" s="41"/>
      <c r="I1176" s="41"/>
      <c r="J1176" s="42"/>
      <c r="K1176" s="41"/>
      <c r="L1176" s="41"/>
      <c r="M1176" s="41"/>
      <c r="N1176" s="41"/>
      <c r="O1176" s="41" t="str">
        <f t="shared" si="144"/>
        <v>NO</v>
      </c>
      <c r="P1176" s="41" t="str">
        <f t="shared" si="145"/>
        <v>🟡</v>
      </c>
      <c r="Q1176" s="41"/>
    </row>
    <row r="1177" spans="1:17" ht="18" hidden="1" customHeight="1" x14ac:dyDescent="0.4">
      <c r="A1177" s="41">
        <f t="shared" si="142"/>
        <v>1176</v>
      </c>
      <c r="B1177" s="41" t="str">
        <f t="shared" si="143"/>
        <v/>
      </c>
      <c r="C1177" s="41"/>
      <c r="D1177" s="41"/>
      <c r="E1177" s="41">
        <f t="shared" si="146"/>
        <v>0</v>
      </c>
      <c r="F1177" s="41"/>
      <c r="G1177" s="41"/>
      <c r="H1177" s="41"/>
      <c r="I1177" s="41"/>
      <c r="J1177" s="42"/>
      <c r="K1177" s="41"/>
      <c r="L1177" s="41"/>
      <c r="M1177" s="41"/>
      <c r="N1177" s="41"/>
      <c r="O1177" s="41" t="str">
        <f t="shared" si="144"/>
        <v>NO</v>
      </c>
      <c r="P1177" s="41" t="str">
        <f t="shared" si="145"/>
        <v>🟡</v>
      </c>
      <c r="Q1177" s="41"/>
    </row>
    <row r="1178" spans="1:17" ht="18" hidden="1" customHeight="1" x14ac:dyDescent="0.4">
      <c r="A1178" s="41">
        <f t="shared" si="142"/>
        <v>1177</v>
      </c>
      <c r="B1178" s="41" t="str">
        <f t="shared" si="143"/>
        <v/>
      </c>
      <c r="C1178" s="41"/>
      <c r="D1178" s="41"/>
      <c r="E1178" s="41">
        <f t="shared" si="146"/>
        <v>0</v>
      </c>
      <c r="F1178" s="41"/>
      <c r="G1178" s="41"/>
      <c r="H1178" s="41"/>
      <c r="I1178" s="41"/>
      <c r="J1178" s="42"/>
      <c r="K1178" s="41"/>
      <c r="L1178" s="41"/>
      <c r="M1178" s="41"/>
      <c r="N1178" s="41"/>
      <c r="O1178" s="41" t="str">
        <f t="shared" si="144"/>
        <v>NO</v>
      </c>
      <c r="P1178" s="41" t="str">
        <f t="shared" si="145"/>
        <v>🟡</v>
      </c>
      <c r="Q1178" s="41"/>
    </row>
    <row r="1179" spans="1:17" ht="18" hidden="1" customHeight="1" x14ac:dyDescent="0.4">
      <c r="A1179" s="41">
        <f t="shared" si="142"/>
        <v>1178</v>
      </c>
      <c r="B1179" s="41" t="str">
        <f t="shared" si="143"/>
        <v/>
      </c>
      <c r="C1179" s="41"/>
      <c r="D1179" s="41"/>
      <c r="E1179" s="41">
        <f t="shared" si="146"/>
        <v>0</v>
      </c>
      <c r="F1179" s="41"/>
      <c r="G1179" s="41"/>
      <c r="H1179" s="41"/>
      <c r="I1179" s="41"/>
      <c r="J1179" s="42"/>
      <c r="K1179" s="41"/>
      <c r="L1179" s="41"/>
      <c r="M1179" s="41"/>
      <c r="N1179" s="41"/>
      <c r="O1179" s="41" t="str">
        <f t="shared" si="144"/>
        <v>NO</v>
      </c>
      <c r="P1179" s="41" t="str">
        <f t="shared" si="145"/>
        <v>🟡</v>
      </c>
      <c r="Q1179" s="41"/>
    </row>
    <row r="1180" spans="1:17" ht="18" hidden="1" customHeight="1" x14ac:dyDescent="0.4">
      <c r="A1180" s="41">
        <f t="shared" si="142"/>
        <v>1179</v>
      </c>
      <c r="B1180" s="41" t="str">
        <f t="shared" si="143"/>
        <v/>
      </c>
      <c r="C1180" s="41"/>
      <c r="D1180" s="41"/>
      <c r="E1180" s="41">
        <f t="shared" si="146"/>
        <v>0</v>
      </c>
      <c r="F1180" s="41"/>
      <c r="G1180" s="41"/>
      <c r="H1180" s="41"/>
      <c r="I1180" s="41"/>
      <c r="J1180" s="42"/>
      <c r="K1180" s="41"/>
      <c r="L1180" s="41"/>
      <c r="M1180" s="41"/>
      <c r="N1180" s="41"/>
      <c r="O1180" s="41" t="str">
        <f t="shared" si="144"/>
        <v>NO</v>
      </c>
      <c r="P1180" s="41" t="str">
        <f t="shared" si="145"/>
        <v>🟡</v>
      </c>
      <c r="Q1180" s="41"/>
    </row>
    <row r="1181" spans="1:17" ht="18" hidden="1" customHeight="1" x14ac:dyDescent="0.4">
      <c r="A1181" s="41">
        <f t="shared" ref="A1181:A1244" si="147">IF(COUNTA(C1181:K1181)=0,"",ROW()-1)</f>
        <v>1180</v>
      </c>
      <c r="B1181" s="41" t="str">
        <f t="shared" ref="B1181:B1244" si="148">IF($F1181&lt;&gt;"",$A1181,"")</f>
        <v/>
      </c>
      <c r="C1181" s="41"/>
      <c r="D1181" s="41"/>
      <c r="E1181" s="41">
        <f t="shared" si="146"/>
        <v>0</v>
      </c>
      <c r="F1181" s="41"/>
      <c r="G1181" s="41"/>
      <c r="H1181" s="41"/>
      <c r="I1181" s="41"/>
      <c r="J1181" s="42"/>
      <c r="K1181" s="41"/>
      <c r="L1181" s="41"/>
      <c r="M1181" s="41"/>
      <c r="N1181" s="41"/>
      <c r="O1181" s="41" t="str">
        <f t="shared" ref="O1181:O1244" si="149">IF(AND(UPPER($N1181)="VIP",UPPER($J1181)&lt;&gt;"NO",$F1181&lt;&gt;""),"SI","NO")</f>
        <v>NO</v>
      </c>
      <c r="P1181" s="41" t="str">
        <f t="shared" si="145"/>
        <v>🟡</v>
      </c>
      <c r="Q1181" s="41"/>
    </row>
    <row r="1182" spans="1:17" ht="18" hidden="1" customHeight="1" x14ac:dyDescent="0.4">
      <c r="A1182" s="41">
        <f t="shared" si="147"/>
        <v>1181</v>
      </c>
      <c r="B1182" s="41" t="str">
        <f t="shared" si="148"/>
        <v/>
      </c>
      <c r="C1182" s="41"/>
      <c r="D1182" s="41"/>
      <c r="E1182" s="41">
        <f t="shared" si="146"/>
        <v>0</v>
      </c>
      <c r="F1182" s="41"/>
      <c r="G1182" s="41"/>
      <c r="H1182" s="41"/>
      <c r="I1182" s="41"/>
      <c r="J1182" s="42"/>
      <c r="K1182" s="41"/>
      <c r="L1182" s="41"/>
      <c r="M1182" s="41"/>
      <c r="N1182" s="41"/>
      <c r="O1182" s="41" t="str">
        <f t="shared" si="149"/>
        <v>NO</v>
      </c>
      <c r="P1182" s="41" t="str">
        <f t="shared" si="145"/>
        <v>🟡</v>
      </c>
      <c r="Q1182" s="41"/>
    </row>
    <row r="1183" spans="1:17" ht="18" hidden="1" customHeight="1" x14ac:dyDescent="0.4">
      <c r="A1183" s="41">
        <f t="shared" si="147"/>
        <v>1182</v>
      </c>
      <c r="B1183" s="41" t="str">
        <f t="shared" si="148"/>
        <v/>
      </c>
      <c r="C1183" s="41"/>
      <c r="D1183" s="41"/>
      <c r="E1183" s="41">
        <f t="shared" si="146"/>
        <v>0</v>
      </c>
      <c r="F1183" s="41"/>
      <c r="G1183" s="41"/>
      <c r="H1183" s="41"/>
      <c r="I1183" s="41"/>
      <c r="J1183" s="42"/>
      <c r="K1183" s="41"/>
      <c r="L1183" s="41"/>
      <c r="M1183" s="41"/>
      <c r="N1183" s="41"/>
      <c r="O1183" s="41" t="str">
        <f t="shared" si="149"/>
        <v>NO</v>
      </c>
      <c r="P1183" s="41" t="str">
        <f t="shared" ref="P1183:P1246" si="150">IF(UPPER($J1183)="SI","🟢",IF(UPPER($J1183)="NO","🔴","🟡"))</f>
        <v>🟡</v>
      </c>
      <c r="Q1183" s="41"/>
    </row>
    <row r="1184" spans="1:17" ht="18" hidden="1" customHeight="1" x14ac:dyDescent="0.4">
      <c r="A1184" s="41">
        <f t="shared" si="147"/>
        <v>1183</v>
      </c>
      <c r="B1184" s="41" t="str">
        <f t="shared" si="148"/>
        <v/>
      </c>
      <c r="C1184" s="41"/>
      <c r="D1184" s="41"/>
      <c r="E1184" s="41">
        <f t="shared" si="146"/>
        <v>0</v>
      </c>
      <c r="F1184" s="41"/>
      <c r="G1184" s="41"/>
      <c r="H1184" s="41"/>
      <c r="I1184" s="41"/>
      <c r="J1184" s="42"/>
      <c r="K1184" s="41"/>
      <c r="L1184" s="41"/>
      <c r="M1184" s="41"/>
      <c r="N1184" s="41"/>
      <c r="O1184" s="41" t="str">
        <f t="shared" si="149"/>
        <v>NO</v>
      </c>
      <c r="P1184" s="41" t="str">
        <f t="shared" si="150"/>
        <v>🟡</v>
      </c>
      <c r="Q1184" s="41"/>
    </row>
    <row r="1185" spans="1:17" ht="18" hidden="1" customHeight="1" x14ac:dyDescent="0.4">
      <c r="A1185" s="41">
        <f t="shared" si="147"/>
        <v>1184</v>
      </c>
      <c r="B1185" s="41" t="str">
        <f t="shared" si="148"/>
        <v/>
      </c>
      <c r="C1185" s="41"/>
      <c r="D1185" s="41"/>
      <c r="E1185" s="41">
        <f t="shared" si="146"/>
        <v>0</v>
      </c>
      <c r="F1185" s="41"/>
      <c r="G1185" s="41"/>
      <c r="H1185" s="41"/>
      <c r="I1185" s="41"/>
      <c r="J1185" s="42"/>
      <c r="K1185" s="41"/>
      <c r="L1185" s="41"/>
      <c r="M1185" s="41"/>
      <c r="N1185" s="41"/>
      <c r="O1185" s="41" t="str">
        <f t="shared" si="149"/>
        <v>NO</v>
      </c>
      <c r="P1185" s="41" t="str">
        <f t="shared" si="150"/>
        <v>🟡</v>
      </c>
      <c r="Q1185" s="41"/>
    </row>
    <row r="1186" spans="1:17" ht="18" hidden="1" customHeight="1" x14ac:dyDescent="0.4">
      <c r="A1186" s="41">
        <f t="shared" si="147"/>
        <v>1185</v>
      </c>
      <c r="B1186" s="41" t="str">
        <f t="shared" si="148"/>
        <v/>
      </c>
      <c r="C1186" s="41"/>
      <c r="D1186" s="41"/>
      <c r="E1186" s="41">
        <f t="shared" si="146"/>
        <v>0</v>
      </c>
      <c r="F1186" s="41"/>
      <c r="G1186" s="41"/>
      <c r="H1186" s="41"/>
      <c r="I1186" s="41"/>
      <c r="J1186" s="42"/>
      <c r="K1186" s="41"/>
      <c r="L1186" s="41"/>
      <c r="M1186" s="41"/>
      <c r="N1186" s="41"/>
      <c r="O1186" s="41" t="str">
        <f t="shared" si="149"/>
        <v>NO</v>
      </c>
      <c r="P1186" s="41" t="str">
        <f t="shared" si="150"/>
        <v>🟡</v>
      </c>
      <c r="Q1186" s="41"/>
    </row>
    <row r="1187" spans="1:17" ht="18" hidden="1" customHeight="1" x14ac:dyDescent="0.4">
      <c r="A1187" s="41">
        <f t="shared" si="147"/>
        <v>1186</v>
      </c>
      <c r="B1187" s="41" t="str">
        <f t="shared" si="148"/>
        <v/>
      </c>
      <c r="C1187" s="41"/>
      <c r="D1187" s="41"/>
      <c r="E1187" s="41">
        <f t="shared" si="146"/>
        <v>0</v>
      </c>
      <c r="F1187" s="41"/>
      <c r="G1187" s="41"/>
      <c r="H1187" s="41"/>
      <c r="I1187" s="41"/>
      <c r="J1187" s="42"/>
      <c r="K1187" s="41"/>
      <c r="L1187" s="41"/>
      <c r="M1187" s="41"/>
      <c r="N1187" s="41"/>
      <c r="O1187" s="41" t="str">
        <f t="shared" si="149"/>
        <v>NO</v>
      </c>
      <c r="P1187" s="41" t="str">
        <f t="shared" si="150"/>
        <v>🟡</v>
      </c>
      <c r="Q1187" s="41"/>
    </row>
    <row r="1188" spans="1:17" ht="18" hidden="1" customHeight="1" x14ac:dyDescent="0.4">
      <c r="A1188" s="41">
        <f t="shared" si="147"/>
        <v>1187</v>
      </c>
      <c r="B1188" s="41" t="str">
        <f t="shared" si="148"/>
        <v/>
      </c>
      <c r="C1188" s="41"/>
      <c r="D1188" s="41"/>
      <c r="E1188" s="41">
        <f t="shared" ref="E1188:E1251" si="151">IF(UPPER($J1188)="NO","",$N1188)</f>
        <v>0</v>
      </c>
      <c r="F1188" s="41"/>
      <c r="G1188" s="41"/>
      <c r="H1188" s="41"/>
      <c r="I1188" s="41"/>
      <c r="J1188" s="42"/>
      <c r="K1188" s="41"/>
      <c r="L1188" s="41"/>
      <c r="M1188" s="41"/>
      <c r="N1188" s="41"/>
      <c r="O1188" s="41" t="str">
        <f t="shared" si="149"/>
        <v>NO</v>
      </c>
      <c r="P1188" s="41" t="str">
        <f t="shared" si="150"/>
        <v>🟡</v>
      </c>
      <c r="Q1188" s="41"/>
    </row>
    <row r="1189" spans="1:17" ht="18" hidden="1" customHeight="1" x14ac:dyDescent="0.4">
      <c r="A1189" s="41">
        <f t="shared" si="147"/>
        <v>1188</v>
      </c>
      <c r="B1189" s="41" t="str">
        <f t="shared" si="148"/>
        <v/>
      </c>
      <c r="C1189" s="41"/>
      <c r="D1189" s="41"/>
      <c r="E1189" s="41">
        <f t="shared" si="151"/>
        <v>0</v>
      </c>
      <c r="F1189" s="41"/>
      <c r="G1189" s="41"/>
      <c r="H1189" s="41"/>
      <c r="I1189" s="41"/>
      <c r="J1189" s="42"/>
      <c r="K1189" s="41"/>
      <c r="L1189" s="41"/>
      <c r="M1189" s="41"/>
      <c r="N1189" s="41"/>
      <c r="O1189" s="41" t="str">
        <f t="shared" si="149"/>
        <v>NO</v>
      </c>
      <c r="P1189" s="41" t="str">
        <f t="shared" si="150"/>
        <v>🟡</v>
      </c>
      <c r="Q1189" s="41"/>
    </row>
    <row r="1190" spans="1:17" ht="18" hidden="1" customHeight="1" x14ac:dyDescent="0.4">
      <c r="A1190" s="41">
        <f t="shared" si="147"/>
        <v>1189</v>
      </c>
      <c r="B1190" s="41" t="str">
        <f t="shared" si="148"/>
        <v/>
      </c>
      <c r="C1190" s="41"/>
      <c r="D1190" s="41"/>
      <c r="E1190" s="41">
        <f t="shared" si="151"/>
        <v>0</v>
      </c>
      <c r="F1190" s="41"/>
      <c r="G1190" s="41"/>
      <c r="H1190" s="41"/>
      <c r="I1190" s="41"/>
      <c r="J1190" s="42"/>
      <c r="K1190" s="41"/>
      <c r="L1190" s="41"/>
      <c r="M1190" s="41"/>
      <c r="N1190" s="41"/>
      <c r="O1190" s="41" t="str">
        <f t="shared" si="149"/>
        <v>NO</v>
      </c>
      <c r="P1190" s="41" t="str">
        <f t="shared" si="150"/>
        <v>🟡</v>
      </c>
      <c r="Q1190" s="41"/>
    </row>
    <row r="1191" spans="1:17" ht="18" hidden="1" customHeight="1" x14ac:dyDescent="0.4">
      <c r="A1191" s="41">
        <f t="shared" si="147"/>
        <v>1190</v>
      </c>
      <c r="B1191" s="41" t="str">
        <f t="shared" si="148"/>
        <v/>
      </c>
      <c r="C1191" s="41"/>
      <c r="D1191" s="41"/>
      <c r="E1191" s="41">
        <f t="shared" si="151"/>
        <v>0</v>
      </c>
      <c r="F1191" s="41"/>
      <c r="G1191" s="41"/>
      <c r="H1191" s="41"/>
      <c r="I1191" s="41"/>
      <c r="J1191" s="42"/>
      <c r="K1191" s="41"/>
      <c r="L1191" s="41"/>
      <c r="M1191" s="41"/>
      <c r="N1191" s="41"/>
      <c r="O1191" s="41" t="str">
        <f t="shared" si="149"/>
        <v>NO</v>
      </c>
      <c r="P1191" s="41" t="str">
        <f t="shared" si="150"/>
        <v>🟡</v>
      </c>
      <c r="Q1191" s="41"/>
    </row>
    <row r="1192" spans="1:17" ht="18" hidden="1" customHeight="1" x14ac:dyDescent="0.4">
      <c r="A1192" s="41">
        <f t="shared" si="147"/>
        <v>1191</v>
      </c>
      <c r="B1192" s="41" t="str">
        <f t="shared" si="148"/>
        <v/>
      </c>
      <c r="C1192" s="41"/>
      <c r="D1192" s="41"/>
      <c r="E1192" s="41">
        <f t="shared" si="151"/>
        <v>0</v>
      </c>
      <c r="F1192" s="41"/>
      <c r="G1192" s="41"/>
      <c r="H1192" s="41"/>
      <c r="I1192" s="41"/>
      <c r="J1192" s="42"/>
      <c r="K1192" s="41"/>
      <c r="L1192" s="41"/>
      <c r="M1192" s="41"/>
      <c r="N1192" s="41"/>
      <c r="O1192" s="41" t="str">
        <f t="shared" si="149"/>
        <v>NO</v>
      </c>
      <c r="P1192" s="41" t="str">
        <f t="shared" si="150"/>
        <v>🟡</v>
      </c>
      <c r="Q1192" s="41"/>
    </row>
    <row r="1193" spans="1:17" ht="18" hidden="1" customHeight="1" x14ac:dyDescent="0.4">
      <c r="A1193" s="41">
        <f t="shared" si="147"/>
        <v>1192</v>
      </c>
      <c r="B1193" s="41" t="str">
        <f t="shared" si="148"/>
        <v/>
      </c>
      <c r="C1193" s="41"/>
      <c r="D1193" s="41"/>
      <c r="E1193" s="41">
        <f t="shared" si="151"/>
        <v>0</v>
      </c>
      <c r="F1193" s="41"/>
      <c r="G1193" s="41"/>
      <c r="H1193" s="41"/>
      <c r="I1193" s="41"/>
      <c r="J1193" s="42"/>
      <c r="K1193" s="41"/>
      <c r="L1193" s="41"/>
      <c r="M1193" s="41"/>
      <c r="N1193" s="41"/>
      <c r="O1193" s="41" t="str">
        <f t="shared" si="149"/>
        <v>NO</v>
      </c>
      <c r="P1193" s="41" t="str">
        <f t="shared" si="150"/>
        <v>🟡</v>
      </c>
      <c r="Q1193" s="41"/>
    </row>
    <row r="1194" spans="1:17" ht="18" hidden="1" customHeight="1" x14ac:dyDescent="0.4">
      <c r="A1194" s="41">
        <f t="shared" si="147"/>
        <v>1193</v>
      </c>
      <c r="B1194" s="41" t="str">
        <f t="shared" si="148"/>
        <v/>
      </c>
      <c r="C1194" s="41"/>
      <c r="D1194" s="41"/>
      <c r="E1194" s="41">
        <f t="shared" si="151"/>
        <v>0</v>
      </c>
      <c r="F1194" s="41"/>
      <c r="G1194" s="41"/>
      <c r="H1194" s="41"/>
      <c r="I1194" s="41"/>
      <c r="J1194" s="42"/>
      <c r="K1194" s="41"/>
      <c r="L1194" s="41"/>
      <c r="M1194" s="41"/>
      <c r="N1194" s="41"/>
      <c r="O1194" s="41" t="str">
        <f t="shared" si="149"/>
        <v>NO</v>
      </c>
      <c r="P1194" s="41" t="str">
        <f t="shared" si="150"/>
        <v>🟡</v>
      </c>
      <c r="Q1194" s="41"/>
    </row>
    <row r="1195" spans="1:17" ht="18" hidden="1" customHeight="1" x14ac:dyDescent="0.4">
      <c r="A1195" s="41">
        <f t="shared" si="147"/>
        <v>1194</v>
      </c>
      <c r="B1195" s="41" t="str">
        <f t="shared" si="148"/>
        <v/>
      </c>
      <c r="C1195" s="41"/>
      <c r="D1195" s="41"/>
      <c r="E1195" s="41">
        <f t="shared" si="151"/>
        <v>0</v>
      </c>
      <c r="F1195" s="41"/>
      <c r="G1195" s="41"/>
      <c r="H1195" s="41"/>
      <c r="I1195" s="41"/>
      <c r="J1195" s="42"/>
      <c r="K1195" s="41"/>
      <c r="L1195" s="41"/>
      <c r="M1195" s="41"/>
      <c r="N1195" s="41"/>
      <c r="O1195" s="41" t="str">
        <f t="shared" si="149"/>
        <v>NO</v>
      </c>
      <c r="P1195" s="41" t="str">
        <f t="shared" si="150"/>
        <v>🟡</v>
      </c>
      <c r="Q1195" s="41"/>
    </row>
    <row r="1196" spans="1:17" ht="18" hidden="1" customHeight="1" x14ac:dyDescent="0.4">
      <c r="A1196" s="41">
        <f t="shared" si="147"/>
        <v>1195</v>
      </c>
      <c r="B1196" s="41" t="str">
        <f t="shared" si="148"/>
        <v/>
      </c>
      <c r="C1196" s="41"/>
      <c r="D1196" s="41"/>
      <c r="E1196" s="41">
        <f t="shared" si="151"/>
        <v>0</v>
      </c>
      <c r="F1196" s="41"/>
      <c r="G1196" s="41"/>
      <c r="H1196" s="41"/>
      <c r="I1196" s="41"/>
      <c r="J1196" s="42"/>
      <c r="K1196" s="41"/>
      <c r="L1196" s="41"/>
      <c r="M1196" s="41"/>
      <c r="N1196" s="41"/>
      <c r="O1196" s="41" t="str">
        <f t="shared" si="149"/>
        <v>NO</v>
      </c>
      <c r="P1196" s="41" t="str">
        <f t="shared" si="150"/>
        <v>🟡</v>
      </c>
      <c r="Q1196" s="41"/>
    </row>
    <row r="1197" spans="1:17" ht="18" hidden="1" customHeight="1" x14ac:dyDescent="0.4">
      <c r="A1197" s="41">
        <f t="shared" si="147"/>
        <v>1196</v>
      </c>
      <c r="B1197" s="41" t="str">
        <f t="shared" si="148"/>
        <v/>
      </c>
      <c r="C1197" s="41"/>
      <c r="D1197" s="41"/>
      <c r="E1197" s="41">
        <f t="shared" si="151"/>
        <v>0</v>
      </c>
      <c r="F1197" s="41"/>
      <c r="G1197" s="41"/>
      <c r="H1197" s="41"/>
      <c r="I1197" s="41"/>
      <c r="J1197" s="42"/>
      <c r="K1197" s="41"/>
      <c r="L1197" s="41"/>
      <c r="M1197" s="41"/>
      <c r="N1197" s="41"/>
      <c r="O1197" s="41" t="str">
        <f t="shared" si="149"/>
        <v>NO</v>
      </c>
      <c r="P1197" s="41" t="str">
        <f t="shared" si="150"/>
        <v>🟡</v>
      </c>
      <c r="Q1197" s="41"/>
    </row>
    <row r="1198" spans="1:17" ht="18" hidden="1" customHeight="1" x14ac:dyDescent="0.4">
      <c r="A1198" s="41">
        <f t="shared" si="147"/>
        <v>1197</v>
      </c>
      <c r="B1198" s="41" t="str">
        <f t="shared" si="148"/>
        <v/>
      </c>
      <c r="C1198" s="41"/>
      <c r="D1198" s="41"/>
      <c r="E1198" s="41">
        <f t="shared" si="151"/>
        <v>0</v>
      </c>
      <c r="F1198" s="41"/>
      <c r="G1198" s="41"/>
      <c r="H1198" s="41"/>
      <c r="I1198" s="41"/>
      <c r="J1198" s="42"/>
      <c r="K1198" s="41"/>
      <c r="L1198" s="41"/>
      <c r="M1198" s="41"/>
      <c r="N1198" s="41"/>
      <c r="O1198" s="41" t="str">
        <f t="shared" si="149"/>
        <v>NO</v>
      </c>
      <c r="P1198" s="41" t="str">
        <f t="shared" si="150"/>
        <v>🟡</v>
      </c>
      <c r="Q1198" s="41"/>
    </row>
    <row r="1199" spans="1:17" ht="18" hidden="1" customHeight="1" x14ac:dyDescent="0.4">
      <c r="A1199" s="41">
        <f t="shared" si="147"/>
        <v>1198</v>
      </c>
      <c r="B1199" s="41" t="str">
        <f t="shared" si="148"/>
        <v/>
      </c>
      <c r="C1199" s="41"/>
      <c r="D1199" s="41"/>
      <c r="E1199" s="41">
        <f t="shared" si="151"/>
        <v>0</v>
      </c>
      <c r="F1199" s="41"/>
      <c r="G1199" s="41"/>
      <c r="H1199" s="41"/>
      <c r="I1199" s="41"/>
      <c r="J1199" s="42"/>
      <c r="K1199" s="41"/>
      <c r="L1199" s="41"/>
      <c r="M1199" s="41"/>
      <c r="N1199" s="41"/>
      <c r="O1199" s="41" t="str">
        <f t="shared" si="149"/>
        <v>NO</v>
      </c>
      <c r="P1199" s="41" t="str">
        <f t="shared" si="150"/>
        <v>🟡</v>
      </c>
      <c r="Q1199" s="41"/>
    </row>
    <row r="1200" spans="1:17" ht="18" hidden="1" customHeight="1" x14ac:dyDescent="0.4">
      <c r="A1200" s="41">
        <f t="shared" si="147"/>
        <v>1199</v>
      </c>
      <c r="B1200" s="41" t="str">
        <f t="shared" si="148"/>
        <v/>
      </c>
      <c r="C1200" s="41"/>
      <c r="D1200" s="41"/>
      <c r="E1200" s="41">
        <f t="shared" si="151"/>
        <v>0</v>
      </c>
      <c r="F1200" s="41"/>
      <c r="G1200" s="41"/>
      <c r="H1200" s="41"/>
      <c r="I1200" s="41"/>
      <c r="J1200" s="42"/>
      <c r="K1200" s="41"/>
      <c r="L1200" s="41"/>
      <c r="M1200" s="41"/>
      <c r="N1200" s="41"/>
      <c r="O1200" s="41" t="str">
        <f t="shared" si="149"/>
        <v>NO</v>
      </c>
      <c r="P1200" s="41" t="str">
        <f t="shared" si="150"/>
        <v>🟡</v>
      </c>
      <c r="Q1200" s="41"/>
    </row>
    <row r="1201" spans="1:17" ht="18" hidden="1" customHeight="1" x14ac:dyDescent="0.4">
      <c r="A1201" s="41">
        <f t="shared" si="147"/>
        <v>1200</v>
      </c>
      <c r="B1201" s="41" t="str">
        <f t="shared" si="148"/>
        <v/>
      </c>
      <c r="C1201" s="41"/>
      <c r="D1201" s="41"/>
      <c r="E1201" s="41">
        <f t="shared" si="151"/>
        <v>0</v>
      </c>
      <c r="F1201" s="41"/>
      <c r="G1201" s="41"/>
      <c r="H1201" s="41"/>
      <c r="I1201" s="41"/>
      <c r="J1201" s="42"/>
      <c r="K1201" s="41"/>
      <c r="L1201" s="41"/>
      <c r="M1201" s="41"/>
      <c r="N1201" s="41"/>
      <c r="O1201" s="41" t="str">
        <f t="shared" si="149"/>
        <v>NO</v>
      </c>
      <c r="P1201" s="41" t="str">
        <f t="shared" si="150"/>
        <v>🟡</v>
      </c>
      <c r="Q1201" s="41"/>
    </row>
    <row r="1202" spans="1:17" ht="18" hidden="1" customHeight="1" x14ac:dyDescent="0.4">
      <c r="A1202" s="41">
        <f t="shared" si="147"/>
        <v>1201</v>
      </c>
      <c r="B1202" s="41" t="str">
        <f t="shared" si="148"/>
        <v/>
      </c>
      <c r="C1202" s="41"/>
      <c r="D1202" s="41"/>
      <c r="E1202" s="41">
        <f t="shared" si="151"/>
        <v>0</v>
      </c>
      <c r="F1202" s="41"/>
      <c r="G1202" s="41"/>
      <c r="H1202" s="41"/>
      <c r="I1202" s="41"/>
      <c r="J1202" s="42"/>
      <c r="K1202" s="41"/>
      <c r="L1202" s="41"/>
      <c r="M1202" s="41"/>
      <c r="N1202" s="41"/>
      <c r="O1202" s="41" t="str">
        <f t="shared" si="149"/>
        <v>NO</v>
      </c>
      <c r="P1202" s="41" t="str">
        <f t="shared" si="150"/>
        <v>🟡</v>
      </c>
      <c r="Q1202" s="41"/>
    </row>
    <row r="1203" spans="1:17" ht="18" hidden="1" customHeight="1" x14ac:dyDescent="0.4">
      <c r="A1203" s="41">
        <f t="shared" si="147"/>
        <v>1202</v>
      </c>
      <c r="B1203" s="41" t="str">
        <f t="shared" si="148"/>
        <v/>
      </c>
      <c r="C1203" s="41"/>
      <c r="D1203" s="41"/>
      <c r="E1203" s="41">
        <f t="shared" si="151"/>
        <v>0</v>
      </c>
      <c r="F1203" s="41"/>
      <c r="G1203" s="41"/>
      <c r="H1203" s="41"/>
      <c r="I1203" s="41"/>
      <c r="J1203" s="42"/>
      <c r="K1203" s="41"/>
      <c r="L1203" s="41"/>
      <c r="M1203" s="41"/>
      <c r="N1203" s="41"/>
      <c r="O1203" s="41" t="str">
        <f t="shared" si="149"/>
        <v>NO</v>
      </c>
      <c r="P1203" s="41" t="str">
        <f t="shared" si="150"/>
        <v>🟡</v>
      </c>
      <c r="Q1203" s="41"/>
    </row>
    <row r="1204" spans="1:17" ht="18" hidden="1" customHeight="1" x14ac:dyDescent="0.4">
      <c r="A1204" s="41">
        <f t="shared" si="147"/>
        <v>1203</v>
      </c>
      <c r="B1204" s="41" t="str">
        <f t="shared" si="148"/>
        <v/>
      </c>
      <c r="C1204" s="41"/>
      <c r="D1204" s="41"/>
      <c r="E1204" s="41">
        <f t="shared" si="151"/>
        <v>0</v>
      </c>
      <c r="F1204" s="41"/>
      <c r="G1204" s="41"/>
      <c r="H1204" s="41"/>
      <c r="I1204" s="41"/>
      <c r="J1204" s="42"/>
      <c r="K1204" s="41"/>
      <c r="L1204" s="41"/>
      <c r="M1204" s="41"/>
      <c r="N1204" s="41"/>
      <c r="O1204" s="41" t="str">
        <f t="shared" si="149"/>
        <v>NO</v>
      </c>
      <c r="P1204" s="41" t="str">
        <f t="shared" si="150"/>
        <v>🟡</v>
      </c>
      <c r="Q1204" s="41"/>
    </row>
    <row r="1205" spans="1:17" ht="18" hidden="1" customHeight="1" x14ac:dyDescent="0.4">
      <c r="A1205" s="41">
        <f t="shared" si="147"/>
        <v>1204</v>
      </c>
      <c r="B1205" s="41" t="str">
        <f t="shared" si="148"/>
        <v/>
      </c>
      <c r="C1205" s="41"/>
      <c r="D1205" s="41"/>
      <c r="E1205" s="41">
        <f t="shared" si="151"/>
        <v>0</v>
      </c>
      <c r="F1205" s="41"/>
      <c r="G1205" s="41"/>
      <c r="H1205" s="41"/>
      <c r="I1205" s="41"/>
      <c r="J1205" s="42"/>
      <c r="K1205" s="41"/>
      <c r="L1205" s="41"/>
      <c r="M1205" s="41"/>
      <c r="N1205" s="41"/>
      <c r="O1205" s="41" t="str">
        <f t="shared" si="149"/>
        <v>NO</v>
      </c>
      <c r="P1205" s="41" t="str">
        <f t="shared" si="150"/>
        <v>🟡</v>
      </c>
      <c r="Q1205" s="41"/>
    </row>
    <row r="1206" spans="1:17" ht="18" hidden="1" customHeight="1" x14ac:dyDescent="0.4">
      <c r="A1206" s="41">
        <f t="shared" si="147"/>
        <v>1205</v>
      </c>
      <c r="B1206" s="41" t="str">
        <f t="shared" si="148"/>
        <v/>
      </c>
      <c r="C1206" s="41"/>
      <c r="D1206" s="41"/>
      <c r="E1206" s="41">
        <f t="shared" si="151"/>
        <v>0</v>
      </c>
      <c r="F1206" s="41"/>
      <c r="G1206" s="41"/>
      <c r="H1206" s="41"/>
      <c r="I1206" s="41"/>
      <c r="J1206" s="42"/>
      <c r="K1206" s="41"/>
      <c r="L1206" s="41"/>
      <c r="M1206" s="41"/>
      <c r="N1206" s="41"/>
      <c r="O1206" s="41" t="str">
        <f t="shared" si="149"/>
        <v>NO</v>
      </c>
      <c r="P1206" s="41" t="str">
        <f t="shared" si="150"/>
        <v>🟡</v>
      </c>
      <c r="Q1206" s="41"/>
    </row>
    <row r="1207" spans="1:17" ht="18" hidden="1" customHeight="1" x14ac:dyDescent="0.4">
      <c r="A1207" s="41">
        <f t="shared" si="147"/>
        <v>1206</v>
      </c>
      <c r="B1207" s="41" t="str">
        <f t="shared" si="148"/>
        <v/>
      </c>
      <c r="C1207" s="41"/>
      <c r="D1207" s="41"/>
      <c r="E1207" s="41">
        <f t="shared" si="151"/>
        <v>0</v>
      </c>
      <c r="F1207" s="41"/>
      <c r="G1207" s="41"/>
      <c r="H1207" s="41"/>
      <c r="I1207" s="41"/>
      <c r="J1207" s="42"/>
      <c r="K1207" s="41"/>
      <c r="L1207" s="41"/>
      <c r="M1207" s="41"/>
      <c r="N1207" s="41"/>
      <c r="O1207" s="41" t="str">
        <f t="shared" si="149"/>
        <v>NO</v>
      </c>
      <c r="P1207" s="41" t="str">
        <f t="shared" si="150"/>
        <v>🟡</v>
      </c>
      <c r="Q1207" s="41"/>
    </row>
    <row r="1208" spans="1:17" ht="18" hidden="1" customHeight="1" x14ac:dyDescent="0.4">
      <c r="A1208" s="41">
        <f t="shared" si="147"/>
        <v>1207</v>
      </c>
      <c r="B1208" s="41" t="str">
        <f t="shared" si="148"/>
        <v/>
      </c>
      <c r="C1208" s="41"/>
      <c r="D1208" s="41"/>
      <c r="E1208" s="41">
        <f t="shared" si="151"/>
        <v>0</v>
      </c>
      <c r="F1208" s="41"/>
      <c r="G1208" s="41"/>
      <c r="H1208" s="41"/>
      <c r="I1208" s="41"/>
      <c r="J1208" s="42"/>
      <c r="K1208" s="41"/>
      <c r="L1208" s="41"/>
      <c r="M1208" s="41"/>
      <c r="N1208" s="41"/>
      <c r="O1208" s="41" t="str">
        <f t="shared" si="149"/>
        <v>NO</v>
      </c>
      <c r="P1208" s="41" t="str">
        <f t="shared" si="150"/>
        <v>🟡</v>
      </c>
      <c r="Q1208" s="41"/>
    </row>
    <row r="1209" spans="1:17" ht="18" hidden="1" customHeight="1" x14ac:dyDescent="0.4">
      <c r="A1209" s="41">
        <f t="shared" si="147"/>
        <v>1208</v>
      </c>
      <c r="B1209" s="41" t="str">
        <f t="shared" si="148"/>
        <v/>
      </c>
      <c r="C1209" s="41"/>
      <c r="D1209" s="41"/>
      <c r="E1209" s="41">
        <f t="shared" si="151"/>
        <v>0</v>
      </c>
      <c r="F1209" s="41"/>
      <c r="G1209" s="41"/>
      <c r="H1209" s="41"/>
      <c r="I1209" s="41"/>
      <c r="J1209" s="42"/>
      <c r="K1209" s="41"/>
      <c r="L1209" s="41"/>
      <c r="M1209" s="41"/>
      <c r="N1209" s="41"/>
      <c r="O1209" s="41" t="str">
        <f t="shared" si="149"/>
        <v>NO</v>
      </c>
      <c r="P1209" s="41" t="str">
        <f t="shared" si="150"/>
        <v>🟡</v>
      </c>
      <c r="Q1209" s="41"/>
    </row>
    <row r="1210" spans="1:17" ht="18" hidden="1" customHeight="1" x14ac:dyDescent="0.4">
      <c r="A1210" s="41">
        <f t="shared" si="147"/>
        <v>1209</v>
      </c>
      <c r="B1210" s="41" t="str">
        <f t="shared" si="148"/>
        <v/>
      </c>
      <c r="C1210" s="41"/>
      <c r="D1210" s="41"/>
      <c r="E1210" s="41">
        <f t="shared" si="151"/>
        <v>0</v>
      </c>
      <c r="F1210" s="41"/>
      <c r="G1210" s="41"/>
      <c r="H1210" s="41"/>
      <c r="I1210" s="41"/>
      <c r="J1210" s="42"/>
      <c r="K1210" s="41"/>
      <c r="L1210" s="41"/>
      <c r="M1210" s="41"/>
      <c r="N1210" s="41"/>
      <c r="O1210" s="41" t="str">
        <f t="shared" si="149"/>
        <v>NO</v>
      </c>
      <c r="P1210" s="41" t="str">
        <f t="shared" si="150"/>
        <v>🟡</v>
      </c>
      <c r="Q1210" s="41"/>
    </row>
    <row r="1211" spans="1:17" ht="18" hidden="1" customHeight="1" x14ac:dyDescent="0.4">
      <c r="A1211" s="41">
        <f t="shared" si="147"/>
        <v>1210</v>
      </c>
      <c r="B1211" s="41" t="str">
        <f t="shared" si="148"/>
        <v/>
      </c>
      <c r="C1211" s="41"/>
      <c r="D1211" s="41"/>
      <c r="E1211" s="41">
        <f t="shared" si="151"/>
        <v>0</v>
      </c>
      <c r="F1211" s="41"/>
      <c r="G1211" s="41"/>
      <c r="H1211" s="41"/>
      <c r="I1211" s="41"/>
      <c r="J1211" s="42"/>
      <c r="K1211" s="41"/>
      <c r="L1211" s="41"/>
      <c r="M1211" s="41"/>
      <c r="N1211" s="41"/>
      <c r="O1211" s="41" t="str">
        <f t="shared" si="149"/>
        <v>NO</v>
      </c>
      <c r="P1211" s="41" t="str">
        <f t="shared" si="150"/>
        <v>🟡</v>
      </c>
      <c r="Q1211" s="41"/>
    </row>
    <row r="1212" spans="1:17" ht="18" hidden="1" customHeight="1" x14ac:dyDescent="0.4">
      <c r="A1212" s="41">
        <f t="shared" si="147"/>
        <v>1211</v>
      </c>
      <c r="B1212" s="41" t="str">
        <f t="shared" si="148"/>
        <v/>
      </c>
      <c r="C1212" s="41"/>
      <c r="D1212" s="41"/>
      <c r="E1212" s="41">
        <f t="shared" si="151"/>
        <v>0</v>
      </c>
      <c r="F1212" s="41"/>
      <c r="G1212" s="41"/>
      <c r="H1212" s="41"/>
      <c r="I1212" s="41"/>
      <c r="J1212" s="42"/>
      <c r="K1212" s="41"/>
      <c r="L1212" s="41"/>
      <c r="M1212" s="41"/>
      <c r="N1212" s="41"/>
      <c r="O1212" s="41" t="str">
        <f t="shared" si="149"/>
        <v>NO</v>
      </c>
      <c r="P1212" s="41" t="str">
        <f t="shared" si="150"/>
        <v>🟡</v>
      </c>
      <c r="Q1212" s="41"/>
    </row>
    <row r="1213" spans="1:17" ht="18" hidden="1" customHeight="1" x14ac:dyDescent="0.4">
      <c r="A1213" s="41">
        <f t="shared" si="147"/>
        <v>1212</v>
      </c>
      <c r="B1213" s="41" t="str">
        <f t="shared" si="148"/>
        <v/>
      </c>
      <c r="C1213" s="41"/>
      <c r="D1213" s="41"/>
      <c r="E1213" s="41">
        <f t="shared" si="151"/>
        <v>0</v>
      </c>
      <c r="F1213" s="41"/>
      <c r="G1213" s="41"/>
      <c r="H1213" s="41"/>
      <c r="I1213" s="41"/>
      <c r="J1213" s="42"/>
      <c r="K1213" s="41"/>
      <c r="L1213" s="41"/>
      <c r="M1213" s="41"/>
      <c r="N1213" s="41"/>
      <c r="O1213" s="41" t="str">
        <f t="shared" si="149"/>
        <v>NO</v>
      </c>
      <c r="P1213" s="41" t="str">
        <f t="shared" si="150"/>
        <v>🟡</v>
      </c>
      <c r="Q1213" s="41"/>
    </row>
    <row r="1214" spans="1:17" ht="18" hidden="1" customHeight="1" x14ac:dyDescent="0.4">
      <c r="A1214" s="41">
        <f t="shared" si="147"/>
        <v>1213</v>
      </c>
      <c r="B1214" s="41" t="str">
        <f t="shared" si="148"/>
        <v/>
      </c>
      <c r="C1214" s="41"/>
      <c r="D1214" s="41"/>
      <c r="E1214" s="41">
        <f t="shared" si="151"/>
        <v>0</v>
      </c>
      <c r="F1214" s="41"/>
      <c r="G1214" s="41"/>
      <c r="H1214" s="41"/>
      <c r="I1214" s="41"/>
      <c r="J1214" s="42"/>
      <c r="K1214" s="41"/>
      <c r="L1214" s="41"/>
      <c r="M1214" s="41"/>
      <c r="N1214" s="41"/>
      <c r="O1214" s="41" t="str">
        <f t="shared" si="149"/>
        <v>NO</v>
      </c>
      <c r="P1214" s="41" t="str">
        <f t="shared" si="150"/>
        <v>🟡</v>
      </c>
      <c r="Q1214" s="41"/>
    </row>
    <row r="1215" spans="1:17" ht="18" hidden="1" customHeight="1" x14ac:dyDescent="0.4">
      <c r="A1215" s="41">
        <f t="shared" si="147"/>
        <v>1214</v>
      </c>
      <c r="B1215" s="41" t="str">
        <f t="shared" si="148"/>
        <v/>
      </c>
      <c r="C1215" s="41"/>
      <c r="D1215" s="41"/>
      <c r="E1215" s="41">
        <f t="shared" si="151"/>
        <v>0</v>
      </c>
      <c r="F1215" s="41"/>
      <c r="G1215" s="41"/>
      <c r="H1215" s="41"/>
      <c r="I1215" s="41"/>
      <c r="J1215" s="42"/>
      <c r="K1215" s="41"/>
      <c r="L1215" s="41"/>
      <c r="M1215" s="41"/>
      <c r="N1215" s="41"/>
      <c r="O1215" s="41" t="str">
        <f t="shared" si="149"/>
        <v>NO</v>
      </c>
      <c r="P1215" s="41" t="str">
        <f t="shared" si="150"/>
        <v>🟡</v>
      </c>
      <c r="Q1215" s="41"/>
    </row>
    <row r="1216" spans="1:17" ht="18" hidden="1" customHeight="1" x14ac:dyDescent="0.4">
      <c r="A1216" s="41">
        <f t="shared" si="147"/>
        <v>1215</v>
      </c>
      <c r="B1216" s="41" t="str">
        <f t="shared" si="148"/>
        <v/>
      </c>
      <c r="C1216" s="41"/>
      <c r="D1216" s="41"/>
      <c r="E1216" s="41">
        <f t="shared" si="151"/>
        <v>0</v>
      </c>
      <c r="F1216" s="41"/>
      <c r="G1216" s="41"/>
      <c r="H1216" s="41"/>
      <c r="I1216" s="41"/>
      <c r="J1216" s="42"/>
      <c r="K1216" s="41"/>
      <c r="L1216" s="41"/>
      <c r="M1216" s="41"/>
      <c r="N1216" s="41"/>
      <c r="O1216" s="41" t="str">
        <f t="shared" si="149"/>
        <v>NO</v>
      </c>
      <c r="P1216" s="41" t="str">
        <f t="shared" si="150"/>
        <v>🟡</v>
      </c>
      <c r="Q1216" s="41"/>
    </row>
    <row r="1217" spans="1:17" ht="18" hidden="1" customHeight="1" x14ac:dyDescent="0.4">
      <c r="A1217" s="41">
        <f t="shared" si="147"/>
        <v>1216</v>
      </c>
      <c r="B1217" s="41" t="str">
        <f t="shared" si="148"/>
        <v/>
      </c>
      <c r="C1217" s="41"/>
      <c r="D1217" s="41"/>
      <c r="E1217" s="41">
        <f t="shared" si="151"/>
        <v>0</v>
      </c>
      <c r="F1217" s="41"/>
      <c r="G1217" s="41"/>
      <c r="H1217" s="41"/>
      <c r="I1217" s="41"/>
      <c r="J1217" s="42"/>
      <c r="K1217" s="41"/>
      <c r="L1217" s="41"/>
      <c r="M1217" s="41"/>
      <c r="N1217" s="41"/>
      <c r="O1217" s="41" t="str">
        <f t="shared" si="149"/>
        <v>NO</v>
      </c>
      <c r="P1217" s="41" t="str">
        <f t="shared" si="150"/>
        <v>🟡</v>
      </c>
      <c r="Q1217" s="41"/>
    </row>
    <row r="1218" spans="1:17" ht="18" hidden="1" customHeight="1" x14ac:dyDescent="0.4">
      <c r="A1218" s="41">
        <f t="shared" si="147"/>
        <v>1217</v>
      </c>
      <c r="B1218" s="41" t="str">
        <f t="shared" si="148"/>
        <v/>
      </c>
      <c r="C1218" s="41"/>
      <c r="D1218" s="41"/>
      <c r="E1218" s="41">
        <f t="shared" si="151"/>
        <v>0</v>
      </c>
      <c r="F1218" s="41"/>
      <c r="G1218" s="41"/>
      <c r="H1218" s="41"/>
      <c r="I1218" s="41"/>
      <c r="J1218" s="42"/>
      <c r="K1218" s="41"/>
      <c r="L1218" s="41"/>
      <c r="M1218" s="41"/>
      <c r="N1218" s="41"/>
      <c r="O1218" s="41" t="str">
        <f t="shared" si="149"/>
        <v>NO</v>
      </c>
      <c r="P1218" s="41" t="str">
        <f t="shared" si="150"/>
        <v>🟡</v>
      </c>
      <c r="Q1218" s="41"/>
    </row>
    <row r="1219" spans="1:17" ht="18" hidden="1" customHeight="1" x14ac:dyDescent="0.4">
      <c r="A1219" s="41">
        <f t="shared" si="147"/>
        <v>1218</v>
      </c>
      <c r="B1219" s="41" t="str">
        <f t="shared" si="148"/>
        <v/>
      </c>
      <c r="C1219" s="41"/>
      <c r="D1219" s="41"/>
      <c r="E1219" s="41">
        <f t="shared" si="151"/>
        <v>0</v>
      </c>
      <c r="F1219" s="41"/>
      <c r="G1219" s="41"/>
      <c r="H1219" s="41"/>
      <c r="I1219" s="41"/>
      <c r="J1219" s="42"/>
      <c r="K1219" s="41"/>
      <c r="L1219" s="41"/>
      <c r="M1219" s="41"/>
      <c r="N1219" s="41"/>
      <c r="O1219" s="41" t="str">
        <f t="shared" si="149"/>
        <v>NO</v>
      </c>
      <c r="P1219" s="41" t="str">
        <f t="shared" si="150"/>
        <v>🟡</v>
      </c>
      <c r="Q1219" s="41"/>
    </row>
    <row r="1220" spans="1:17" ht="18" hidden="1" customHeight="1" x14ac:dyDescent="0.4">
      <c r="A1220" s="41">
        <f t="shared" si="147"/>
        <v>1219</v>
      </c>
      <c r="B1220" s="41" t="str">
        <f t="shared" si="148"/>
        <v/>
      </c>
      <c r="C1220" s="41"/>
      <c r="D1220" s="41"/>
      <c r="E1220" s="41">
        <f t="shared" si="151"/>
        <v>0</v>
      </c>
      <c r="F1220" s="41"/>
      <c r="G1220" s="41"/>
      <c r="H1220" s="41"/>
      <c r="I1220" s="41"/>
      <c r="J1220" s="42"/>
      <c r="K1220" s="41"/>
      <c r="L1220" s="41"/>
      <c r="M1220" s="41"/>
      <c r="N1220" s="41"/>
      <c r="O1220" s="41" t="str">
        <f t="shared" si="149"/>
        <v>NO</v>
      </c>
      <c r="P1220" s="41" t="str">
        <f t="shared" si="150"/>
        <v>🟡</v>
      </c>
      <c r="Q1220" s="41"/>
    </row>
    <row r="1221" spans="1:17" hidden="1" x14ac:dyDescent="0.4">
      <c r="A1221" s="41">
        <f t="shared" si="147"/>
        <v>1220</v>
      </c>
      <c r="B1221" s="41" t="str">
        <f t="shared" si="148"/>
        <v/>
      </c>
      <c r="C1221" s="41"/>
      <c r="D1221" s="41"/>
      <c r="E1221" s="41">
        <f t="shared" si="151"/>
        <v>0</v>
      </c>
      <c r="F1221" s="41"/>
      <c r="G1221" s="41"/>
      <c r="H1221" s="41"/>
      <c r="I1221" s="41"/>
      <c r="J1221" s="42"/>
      <c r="K1221" s="41"/>
      <c r="L1221" s="41"/>
      <c r="M1221" s="41"/>
      <c r="N1221" s="41"/>
      <c r="O1221" s="41" t="str">
        <f t="shared" si="149"/>
        <v>NO</v>
      </c>
      <c r="P1221" s="41" t="str">
        <f t="shared" si="150"/>
        <v>🟡</v>
      </c>
      <c r="Q1221" s="41"/>
    </row>
    <row r="1222" spans="1:17" hidden="1" x14ac:dyDescent="0.4">
      <c r="A1222" s="41">
        <f t="shared" si="147"/>
        <v>1221</v>
      </c>
      <c r="B1222" s="41" t="str">
        <f t="shared" si="148"/>
        <v/>
      </c>
      <c r="C1222" s="41"/>
      <c r="D1222" s="41"/>
      <c r="E1222" s="41">
        <f t="shared" si="151"/>
        <v>0</v>
      </c>
      <c r="F1222" s="41"/>
      <c r="G1222" s="41"/>
      <c r="H1222" s="41"/>
      <c r="I1222" s="41"/>
      <c r="J1222" s="42"/>
      <c r="K1222" s="41"/>
      <c r="L1222" s="41"/>
      <c r="M1222" s="41"/>
      <c r="N1222" s="41"/>
      <c r="O1222" s="41" t="str">
        <f t="shared" si="149"/>
        <v>NO</v>
      </c>
      <c r="P1222" s="41" t="str">
        <f t="shared" si="150"/>
        <v>🟡</v>
      </c>
      <c r="Q1222" s="41"/>
    </row>
    <row r="1223" spans="1:17" hidden="1" x14ac:dyDescent="0.4">
      <c r="A1223" s="41">
        <f t="shared" si="147"/>
        <v>1222</v>
      </c>
      <c r="B1223" s="41" t="str">
        <f t="shared" si="148"/>
        <v/>
      </c>
      <c r="C1223" s="41"/>
      <c r="D1223" s="41"/>
      <c r="E1223" s="41">
        <f t="shared" si="151"/>
        <v>0</v>
      </c>
      <c r="F1223" s="41"/>
      <c r="G1223" s="41"/>
      <c r="H1223" s="41"/>
      <c r="I1223" s="41"/>
      <c r="J1223" s="42"/>
      <c r="K1223" s="41"/>
      <c r="L1223" s="41"/>
      <c r="M1223" s="41"/>
      <c r="N1223" s="41"/>
      <c r="O1223" s="41" t="str">
        <f t="shared" si="149"/>
        <v>NO</v>
      </c>
      <c r="P1223" s="41" t="str">
        <f t="shared" si="150"/>
        <v>🟡</v>
      </c>
      <c r="Q1223" s="41"/>
    </row>
    <row r="1224" spans="1:17" hidden="1" x14ac:dyDescent="0.4">
      <c r="A1224" s="41">
        <f t="shared" si="147"/>
        <v>1223</v>
      </c>
      <c r="B1224" s="41" t="str">
        <f t="shared" si="148"/>
        <v/>
      </c>
      <c r="C1224" s="41"/>
      <c r="D1224" s="41"/>
      <c r="E1224" s="41">
        <f t="shared" si="151"/>
        <v>0</v>
      </c>
      <c r="F1224" s="41"/>
      <c r="G1224" s="41"/>
      <c r="H1224" s="41"/>
      <c r="I1224" s="41"/>
      <c r="J1224" s="42"/>
      <c r="K1224" s="41"/>
      <c r="L1224" s="41"/>
      <c r="M1224" s="41"/>
      <c r="N1224" s="41"/>
      <c r="O1224" s="41" t="str">
        <f t="shared" si="149"/>
        <v>NO</v>
      </c>
      <c r="P1224" s="41" t="str">
        <f t="shared" si="150"/>
        <v>🟡</v>
      </c>
      <c r="Q1224" s="41"/>
    </row>
    <row r="1225" spans="1:17" hidden="1" x14ac:dyDescent="0.4">
      <c r="A1225" s="41">
        <f t="shared" si="147"/>
        <v>1224</v>
      </c>
      <c r="B1225" s="41" t="str">
        <f t="shared" si="148"/>
        <v/>
      </c>
      <c r="C1225" s="41"/>
      <c r="D1225" s="41"/>
      <c r="E1225" s="41">
        <f t="shared" si="151"/>
        <v>0</v>
      </c>
      <c r="F1225" s="41"/>
      <c r="G1225" s="41"/>
      <c r="H1225" s="41"/>
      <c r="I1225" s="41"/>
      <c r="J1225" s="42"/>
      <c r="K1225" s="41"/>
      <c r="L1225" s="41"/>
      <c r="M1225" s="41"/>
      <c r="N1225" s="41"/>
      <c r="O1225" s="41" t="str">
        <f t="shared" si="149"/>
        <v>NO</v>
      </c>
      <c r="P1225" s="41" t="str">
        <f t="shared" si="150"/>
        <v>🟡</v>
      </c>
      <c r="Q1225" s="41"/>
    </row>
    <row r="1226" spans="1:17" hidden="1" x14ac:dyDescent="0.4">
      <c r="A1226" s="41">
        <f t="shared" si="147"/>
        <v>1225</v>
      </c>
      <c r="B1226" s="41" t="str">
        <f t="shared" si="148"/>
        <v/>
      </c>
      <c r="C1226" s="41"/>
      <c r="D1226" s="41"/>
      <c r="E1226" s="41">
        <f t="shared" si="151"/>
        <v>0</v>
      </c>
      <c r="F1226" s="41"/>
      <c r="G1226" s="41"/>
      <c r="H1226" s="41"/>
      <c r="I1226" s="41"/>
      <c r="J1226" s="42"/>
      <c r="K1226" s="41"/>
      <c r="L1226" s="41"/>
      <c r="M1226" s="41"/>
      <c r="N1226" s="41"/>
      <c r="O1226" s="41" t="str">
        <f t="shared" si="149"/>
        <v>NO</v>
      </c>
      <c r="P1226" s="41" t="str">
        <f t="shared" si="150"/>
        <v>🟡</v>
      </c>
      <c r="Q1226" s="41"/>
    </row>
    <row r="1227" spans="1:17" hidden="1" x14ac:dyDescent="0.4">
      <c r="A1227" s="41">
        <f t="shared" si="147"/>
        <v>1226</v>
      </c>
      <c r="B1227" s="41" t="str">
        <f t="shared" si="148"/>
        <v/>
      </c>
      <c r="C1227" s="41"/>
      <c r="D1227" s="41"/>
      <c r="E1227" s="41">
        <f t="shared" si="151"/>
        <v>0</v>
      </c>
      <c r="F1227" s="41"/>
      <c r="G1227" s="41"/>
      <c r="H1227" s="41"/>
      <c r="I1227" s="41"/>
      <c r="J1227" s="42"/>
      <c r="K1227" s="41"/>
      <c r="L1227" s="41"/>
      <c r="M1227" s="41"/>
      <c r="N1227" s="41"/>
      <c r="O1227" s="41" t="str">
        <f t="shared" si="149"/>
        <v>NO</v>
      </c>
      <c r="P1227" s="41" t="str">
        <f t="shared" si="150"/>
        <v>🟡</v>
      </c>
      <c r="Q1227" s="41"/>
    </row>
    <row r="1228" spans="1:17" hidden="1" x14ac:dyDescent="0.4">
      <c r="A1228" s="41">
        <f t="shared" si="147"/>
        <v>1227</v>
      </c>
      <c r="B1228" s="41" t="str">
        <f t="shared" si="148"/>
        <v/>
      </c>
      <c r="C1228" s="41"/>
      <c r="D1228" s="41"/>
      <c r="E1228" s="41">
        <f t="shared" si="151"/>
        <v>0</v>
      </c>
      <c r="F1228" s="41"/>
      <c r="G1228" s="41"/>
      <c r="H1228" s="41"/>
      <c r="I1228" s="41"/>
      <c r="J1228" s="42"/>
      <c r="K1228" s="41"/>
      <c r="L1228" s="41"/>
      <c r="M1228" s="41"/>
      <c r="N1228" s="41"/>
      <c r="O1228" s="41" t="str">
        <f t="shared" si="149"/>
        <v>NO</v>
      </c>
      <c r="P1228" s="41" t="str">
        <f t="shared" si="150"/>
        <v>🟡</v>
      </c>
      <c r="Q1228" s="41"/>
    </row>
    <row r="1229" spans="1:17" hidden="1" x14ac:dyDescent="0.4">
      <c r="A1229" s="41">
        <f t="shared" si="147"/>
        <v>1228</v>
      </c>
      <c r="B1229" s="41" t="str">
        <f t="shared" si="148"/>
        <v/>
      </c>
      <c r="C1229" s="41"/>
      <c r="D1229" s="41"/>
      <c r="E1229" s="41">
        <f t="shared" si="151"/>
        <v>0</v>
      </c>
      <c r="F1229" s="41"/>
      <c r="G1229" s="41"/>
      <c r="H1229" s="41"/>
      <c r="I1229" s="41"/>
      <c r="J1229" s="42"/>
      <c r="K1229" s="41"/>
      <c r="L1229" s="41"/>
      <c r="M1229" s="41"/>
      <c r="N1229" s="41"/>
      <c r="O1229" s="41" t="str">
        <f t="shared" si="149"/>
        <v>NO</v>
      </c>
      <c r="P1229" s="41" t="str">
        <f t="shared" si="150"/>
        <v>🟡</v>
      </c>
      <c r="Q1229" s="41"/>
    </row>
    <row r="1230" spans="1:17" hidden="1" x14ac:dyDescent="0.4">
      <c r="A1230" s="41">
        <f t="shared" si="147"/>
        <v>1229</v>
      </c>
      <c r="B1230" s="41" t="str">
        <f t="shared" si="148"/>
        <v/>
      </c>
      <c r="C1230" s="41"/>
      <c r="D1230" s="41"/>
      <c r="E1230" s="41">
        <f t="shared" si="151"/>
        <v>0</v>
      </c>
      <c r="F1230" s="41"/>
      <c r="G1230" s="41"/>
      <c r="H1230" s="41"/>
      <c r="I1230" s="41"/>
      <c r="J1230" s="42"/>
      <c r="K1230" s="41"/>
      <c r="L1230" s="41"/>
      <c r="M1230" s="41"/>
      <c r="N1230" s="41"/>
      <c r="O1230" s="41" t="str">
        <f t="shared" si="149"/>
        <v>NO</v>
      </c>
      <c r="P1230" s="41" t="str">
        <f t="shared" si="150"/>
        <v>🟡</v>
      </c>
      <c r="Q1230" s="41"/>
    </row>
    <row r="1231" spans="1:17" hidden="1" x14ac:dyDescent="0.4">
      <c r="A1231" s="41">
        <f t="shared" si="147"/>
        <v>1230</v>
      </c>
      <c r="B1231" s="41" t="str">
        <f t="shared" si="148"/>
        <v/>
      </c>
      <c r="C1231" s="41"/>
      <c r="D1231" s="41"/>
      <c r="E1231" s="41">
        <f t="shared" si="151"/>
        <v>0</v>
      </c>
      <c r="F1231" s="41"/>
      <c r="G1231" s="41"/>
      <c r="H1231" s="41"/>
      <c r="I1231" s="41"/>
      <c r="J1231" s="42"/>
      <c r="K1231" s="41"/>
      <c r="L1231" s="41"/>
      <c r="M1231" s="41"/>
      <c r="N1231" s="41"/>
      <c r="O1231" s="41" t="str">
        <f t="shared" si="149"/>
        <v>NO</v>
      </c>
      <c r="P1231" s="41" t="str">
        <f t="shared" si="150"/>
        <v>🟡</v>
      </c>
      <c r="Q1231" s="41"/>
    </row>
    <row r="1232" spans="1:17" hidden="1" x14ac:dyDescent="0.4">
      <c r="A1232" s="41">
        <f t="shared" si="147"/>
        <v>1231</v>
      </c>
      <c r="B1232" s="41" t="str">
        <f t="shared" si="148"/>
        <v/>
      </c>
      <c r="C1232" s="41"/>
      <c r="D1232" s="41"/>
      <c r="E1232" s="41">
        <f t="shared" si="151"/>
        <v>0</v>
      </c>
      <c r="F1232" s="41"/>
      <c r="G1232" s="41"/>
      <c r="H1232" s="41"/>
      <c r="I1232" s="41"/>
      <c r="J1232" s="42"/>
      <c r="K1232" s="41"/>
      <c r="L1232" s="41"/>
      <c r="M1232" s="41"/>
      <c r="N1232" s="41"/>
      <c r="O1232" s="41" t="str">
        <f t="shared" si="149"/>
        <v>NO</v>
      </c>
      <c r="P1232" s="41" t="str">
        <f t="shared" si="150"/>
        <v>🟡</v>
      </c>
      <c r="Q1232" s="41"/>
    </row>
    <row r="1233" spans="1:17" hidden="1" x14ac:dyDescent="0.4">
      <c r="A1233" s="41">
        <f t="shared" si="147"/>
        <v>1232</v>
      </c>
      <c r="B1233" s="41" t="str">
        <f t="shared" si="148"/>
        <v/>
      </c>
      <c r="C1233" s="41"/>
      <c r="D1233" s="41"/>
      <c r="E1233" s="41">
        <f t="shared" si="151"/>
        <v>0</v>
      </c>
      <c r="F1233" s="41"/>
      <c r="G1233" s="41"/>
      <c r="H1233" s="41"/>
      <c r="I1233" s="41"/>
      <c r="J1233" s="42"/>
      <c r="K1233" s="41"/>
      <c r="L1233" s="41"/>
      <c r="M1233" s="41"/>
      <c r="N1233" s="41"/>
      <c r="O1233" s="41" t="str">
        <f t="shared" si="149"/>
        <v>NO</v>
      </c>
      <c r="P1233" s="41" t="str">
        <f t="shared" si="150"/>
        <v>🟡</v>
      </c>
      <c r="Q1233" s="41"/>
    </row>
    <row r="1234" spans="1:17" hidden="1" x14ac:dyDescent="0.4">
      <c r="A1234" s="41">
        <f t="shared" si="147"/>
        <v>1233</v>
      </c>
      <c r="B1234" s="41" t="str">
        <f t="shared" si="148"/>
        <v/>
      </c>
      <c r="C1234" s="41"/>
      <c r="D1234" s="41"/>
      <c r="E1234" s="41">
        <f t="shared" si="151"/>
        <v>0</v>
      </c>
      <c r="F1234" s="41"/>
      <c r="G1234" s="41"/>
      <c r="H1234" s="41"/>
      <c r="I1234" s="41"/>
      <c r="J1234" s="42"/>
      <c r="K1234" s="41"/>
      <c r="L1234" s="41"/>
      <c r="M1234" s="41"/>
      <c r="N1234" s="41"/>
      <c r="O1234" s="41" t="str">
        <f t="shared" si="149"/>
        <v>NO</v>
      </c>
      <c r="P1234" s="41" t="str">
        <f t="shared" si="150"/>
        <v>🟡</v>
      </c>
      <c r="Q1234" s="41"/>
    </row>
    <row r="1235" spans="1:17" hidden="1" x14ac:dyDescent="0.4">
      <c r="A1235" s="41">
        <f t="shared" si="147"/>
        <v>1234</v>
      </c>
      <c r="B1235" s="41" t="str">
        <f t="shared" si="148"/>
        <v/>
      </c>
      <c r="C1235" s="41"/>
      <c r="D1235" s="41"/>
      <c r="E1235" s="41">
        <f t="shared" si="151"/>
        <v>0</v>
      </c>
      <c r="F1235" s="41"/>
      <c r="G1235" s="41"/>
      <c r="H1235" s="41"/>
      <c r="I1235" s="41"/>
      <c r="J1235" s="42"/>
      <c r="K1235" s="41"/>
      <c r="L1235" s="41"/>
      <c r="M1235" s="41"/>
      <c r="N1235" s="41"/>
      <c r="O1235" s="41" t="str">
        <f t="shared" si="149"/>
        <v>NO</v>
      </c>
      <c r="P1235" s="41" t="str">
        <f t="shared" si="150"/>
        <v>🟡</v>
      </c>
      <c r="Q1235" s="41"/>
    </row>
    <row r="1236" spans="1:17" hidden="1" x14ac:dyDescent="0.4">
      <c r="A1236" s="41">
        <f t="shared" si="147"/>
        <v>1235</v>
      </c>
      <c r="B1236" s="41" t="str">
        <f t="shared" si="148"/>
        <v/>
      </c>
      <c r="C1236" s="41"/>
      <c r="D1236" s="41"/>
      <c r="E1236" s="41">
        <f t="shared" si="151"/>
        <v>0</v>
      </c>
      <c r="F1236" s="41"/>
      <c r="G1236" s="41"/>
      <c r="H1236" s="41"/>
      <c r="I1236" s="41"/>
      <c r="J1236" s="42"/>
      <c r="K1236" s="41"/>
      <c r="L1236" s="41"/>
      <c r="M1236" s="41"/>
      <c r="N1236" s="41"/>
      <c r="O1236" s="41" t="str">
        <f t="shared" si="149"/>
        <v>NO</v>
      </c>
      <c r="P1236" s="41" t="str">
        <f t="shared" si="150"/>
        <v>🟡</v>
      </c>
      <c r="Q1236" s="41"/>
    </row>
    <row r="1237" spans="1:17" hidden="1" x14ac:dyDescent="0.4">
      <c r="A1237" s="41">
        <f t="shared" si="147"/>
        <v>1236</v>
      </c>
      <c r="B1237" s="41" t="str">
        <f t="shared" si="148"/>
        <v/>
      </c>
      <c r="C1237" s="41"/>
      <c r="D1237" s="41"/>
      <c r="E1237" s="41">
        <f t="shared" si="151"/>
        <v>0</v>
      </c>
      <c r="F1237" s="41"/>
      <c r="G1237" s="41"/>
      <c r="H1237" s="41"/>
      <c r="I1237" s="41"/>
      <c r="J1237" s="42"/>
      <c r="K1237" s="41"/>
      <c r="L1237" s="41"/>
      <c r="M1237" s="41"/>
      <c r="N1237" s="41"/>
      <c r="O1237" s="41" t="str">
        <f t="shared" si="149"/>
        <v>NO</v>
      </c>
      <c r="P1237" s="41" t="str">
        <f t="shared" si="150"/>
        <v>🟡</v>
      </c>
      <c r="Q1237" s="41"/>
    </row>
    <row r="1238" spans="1:17" hidden="1" x14ac:dyDescent="0.4">
      <c r="A1238" s="41">
        <f t="shared" si="147"/>
        <v>1237</v>
      </c>
      <c r="B1238" s="41" t="str">
        <f t="shared" si="148"/>
        <v/>
      </c>
      <c r="C1238" s="41"/>
      <c r="D1238" s="41"/>
      <c r="E1238" s="41">
        <f t="shared" si="151"/>
        <v>0</v>
      </c>
      <c r="F1238" s="41"/>
      <c r="G1238" s="41"/>
      <c r="H1238" s="41"/>
      <c r="I1238" s="41"/>
      <c r="J1238" s="42"/>
      <c r="K1238" s="41"/>
      <c r="L1238" s="41"/>
      <c r="M1238" s="41"/>
      <c r="N1238" s="41"/>
      <c r="O1238" s="41" t="str">
        <f t="shared" si="149"/>
        <v>NO</v>
      </c>
      <c r="P1238" s="41" t="str">
        <f t="shared" si="150"/>
        <v>🟡</v>
      </c>
      <c r="Q1238" s="41"/>
    </row>
    <row r="1239" spans="1:17" hidden="1" x14ac:dyDescent="0.4">
      <c r="A1239" s="41">
        <f t="shared" si="147"/>
        <v>1238</v>
      </c>
      <c r="B1239" s="41" t="str">
        <f t="shared" si="148"/>
        <v/>
      </c>
      <c r="C1239" s="41"/>
      <c r="D1239" s="41"/>
      <c r="E1239" s="41">
        <f t="shared" si="151"/>
        <v>0</v>
      </c>
      <c r="F1239" s="41"/>
      <c r="G1239" s="41"/>
      <c r="H1239" s="41"/>
      <c r="I1239" s="41"/>
      <c r="J1239" s="42"/>
      <c r="K1239" s="41"/>
      <c r="L1239" s="41"/>
      <c r="M1239" s="41"/>
      <c r="N1239" s="41"/>
      <c r="O1239" s="41" t="str">
        <f t="shared" si="149"/>
        <v>NO</v>
      </c>
      <c r="P1239" s="41" t="str">
        <f t="shared" si="150"/>
        <v>🟡</v>
      </c>
      <c r="Q1239" s="41"/>
    </row>
    <row r="1240" spans="1:17" hidden="1" x14ac:dyDescent="0.4">
      <c r="A1240" s="41">
        <f t="shared" si="147"/>
        <v>1239</v>
      </c>
      <c r="B1240" s="41" t="str">
        <f t="shared" si="148"/>
        <v/>
      </c>
      <c r="C1240" s="41"/>
      <c r="D1240" s="41"/>
      <c r="E1240" s="41">
        <f t="shared" si="151"/>
        <v>0</v>
      </c>
      <c r="F1240" s="41"/>
      <c r="G1240" s="41"/>
      <c r="H1240" s="41"/>
      <c r="I1240" s="41"/>
      <c r="J1240" s="42"/>
      <c r="K1240" s="41"/>
      <c r="L1240" s="41"/>
      <c r="M1240" s="41"/>
      <c r="N1240" s="41"/>
      <c r="O1240" s="41" t="str">
        <f t="shared" si="149"/>
        <v>NO</v>
      </c>
      <c r="P1240" s="41" t="str">
        <f t="shared" si="150"/>
        <v>🟡</v>
      </c>
      <c r="Q1240" s="41"/>
    </row>
    <row r="1241" spans="1:17" hidden="1" x14ac:dyDescent="0.4">
      <c r="A1241" s="41">
        <f t="shared" si="147"/>
        <v>1240</v>
      </c>
      <c r="B1241" s="41" t="str">
        <f t="shared" si="148"/>
        <v/>
      </c>
      <c r="C1241" s="41"/>
      <c r="D1241" s="41"/>
      <c r="E1241" s="41">
        <f t="shared" si="151"/>
        <v>0</v>
      </c>
      <c r="F1241" s="41"/>
      <c r="G1241" s="41"/>
      <c r="H1241" s="41"/>
      <c r="I1241" s="41"/>
      <c r="J1241" s="42"/>
      <c r="K1241" s="41"/>
      <c r="L1241" s="41"/>
      <c r="M1241" s="41"/>
      <c r="N1241" s="41"/>
      <c r="O1241" s="41" t="str">
        <f t="shared" si="149"/>
        <v>NO</v>
      </c>
      <c r="P1241" s="41" t="str">
        <f t="shared" si="150"/>
        <v>🟡</v>
      </c>
      <c r="Q1241" s="41"/>
    </row>
    <row r="1242" spans="1:17" hidden="1" x14ac:dyDescent="0.4">
      <c r="A1242" s="41">
        <f t="shared" si="147"/>
        <v>1241</v>
      </c>
      <c r="B1242" s="41" t="str">
        <f t="shared" si="148"/>
        <v/>
      </c>
      <c r="C1242" s="41"/>
      <c r="D1242" s="41"/>
      <c r="E1242" s="41">
        <f t="shared" si="151"/>
        <v>0</v>
      </c>
      <c r="F1242" s="41"/>
      <c r="G1242" s="41"/>
      <c r="H1242" s="41"/>
      <c r="I1242" s="41"/>
      <c r="J1242" s="42"/>
      <c r="K1242" s="41"/>
      <c r="L1242" s="41"/>
      <c r="M1242" s="41"/>
      <c r="N1242" s="41"/>
      <c r="O1242" s="41" t="str">
        <f t="shared" si="149"/>
        <v>NO</v>
      </c>
      <c r="P1242" s="41" t="str">
        <f t="shared" si="150"/>
        <v>🟡</v>
      </c>
      <c r="Q1242" s="41"/>
    </row>
    <row r="1243" spans="1:17" hidden="1" x14ac:dyDescent="0.4">
      <c r="A1243" s="41">
        <f t="shared" si="147"/>
        <v>1242</v>
      </c>
      <c r="B1243" s="41" t="str">
        <f t="shared" si="148"/>
        <v/>
      </c>
      <c r="C1243" s="41"/>
      <c r="D1243" s="41"/>
      <c r="E1243" s="41">
        <f t="shared" si="151"/>
        <v>0</v>
      </c>
      <c r="F1243" s="41"/>
      <c r="G1243" s="41"/>
      <c r="H1243" s="41"/>
      <c r="I1243" s="41"/>
      <c r="J1243" s="42"/>
      <c r="K1243" s="41"/>
      <c r="L1243" s="41"/>
      <c r="M1243" s="41"/>
      <c r="N1243" s="41"/>
      <c r="O1243" s="41" t="str">
        <f t="shared" si="149"/>
        <v>NO</v>
      </c>
      <c r="P1243" s="41" t="str">
        <f t="shared" si="150"/>
        <v>🟡</v>
      </c>
      <c r="Q1243" s="41"/>
    </row>
    <row r="1244" spans="1:17" hidden="1" x14ac:dyDescent="0.4">
      <c r="A1244" s="41">
        <f t="shared" si="147"/>
        <v>1243</v>
      </c>
      <c r="B1244" s="41" t="str">
        <f t="shared" si="148"/>
        <v/>
      </c>
      <c r="C1244" s="41"/>
      <c r="D1244" s="41"/>
      <c r="E1244" s="41">
        <f t="shared" si="151"/>
        <v>0</v>
      </c>
      <c r="F1244" s="41"/>
      <c r="G1244" s="41"/>
      <c r="H1244" s="41"/>
      <c r="I1244" s="41"/>
      <c r="J1244" s="42"/>
      <c r="K1244" s="41"/>
      <c r="L1244" s="41"/>
      <c r="M1244" s="41"/>
      <c r="N1244" s="41"/>
      <c r="O1244" s="41" t="str">
        <f t="shared" si="149"/>
        <v>NO</v>
      </c>
      <c r="P1244" s="41" t="str">
        <f t="shared" si="150"/>
        <v>🟡</v>
      </c>
      <c r="Q1244" s="41"/>
    </row>
    <row r="1245" spans="1:17" hidden="1" x14ac:dyDescent="0.4">
      <c r="A1245" s="41">
        <f t="shared" ref="A1245:A1272" si="152">IF(COUNTA(C1245:K1245)=0,"",ROW()-1)</f>
        <v>1244</v>
      </c>
      <c r="B1245" s="41" t="str">
        <f t="shared" ref="B1245:B1272" si="153">IF($F1245&lt;&gt;"",$A1245,"")</f>
        <v/>
      </c>
      <c r="C1245" s="41"/>
      <c r="D1245" s="41"/>
      <c r="E1245" s="41">
        <f t="shared" si="151"/>
        <v>0</v>
      </c>
      <c r="F1245" s="41"/>
      <c r="G1245" s="41"/>
      <c r="H1245" s="41"/>
      <c r="I1245" s="41"/>
      <c r="J1245" s="42"/>
      <c r="K1245" s="41"/>
      <c r="L1245" s="41"/>
      <c r="M1245" s="41"/>
      <c r="N1245" s="41"/>
      <c r="O1245" s="41" t="str">
        <f t="shared" ref="O1245:O1272" si="154">IF(AND(UPPER($N1245)="VIP",UPPER($J1245)&lt;&gt;"NO",$F1245&lt;&gt;""),"SI","NO")</f>
        <v>NO</v>
      </c>
      <c r="P1245" s="41" t="str">
        <f t="shared" si="150"/>
        <v>🟡</v>
      </c>
      <c r="Q1245" s="41"/>
    </row>
    <row r="1246" spans="1:17" hidden="1" x14ac:dyDescent="0.4">
      <c r="A1246" s="41">
        <f t="shared" si="152"/>
        <v>1245</v>
      </c>
      <c r="B1246" s="41" t="str">
        <f t="shared" si="153"/>
        <v/>
      </c>
      <c r="C1246" s="41"/>
      <c r="D1246" s="41"/>
      <c r="E1246" s="41">
        <f t="shared" si="151"/>
        <v>0</v>
      </c>
      <c r="F1246" s="41"/>
      <c r="G1246" s="41"/>
      <c r="H1246" s="41"/>
      <c r="I1246" s="41"/>
      <c r="J1246" s="42"/>
      <c r="K1246" s="41"/>
      <c r="L1246" s="41"/>
      <c r="M1246" s="41"/>
      <c r="N1246" s="41"/>
      <c r="O1246" s="41" t="str">
        <f t="shared" si="154"/>
        <v>NO</v>
      </c>
      <c r="P1246" s="41" t="str">
        <f t="shared" si="150"/>
        <v>🟡</v>
      </c>
      <c r="Q1246" s="41"/>
    </row>
    <row r="1247" spans="1:17" hidden="1" x14ac:dyDescent="0.4">
      <c r="A1247" s="41">
        <f t="shared" si="152"/>
        <v>1246</v>
      </c>
      <c r="B1247" s="41" t="str">
        <f t="shared" si="153"/>
        <v/>
      </c>
      <c r="C1247" s="41"/>
      <c r="D1247" s="41"/>
      <c r="E1247" s="41">
        <f t="shared" si="151"/>
        <v>0</v>
      </c>
      <c r="F1247" s="41"/>
      <c r="G1247" s="41"/>
      <c r="H1247" s="41"/>
      <c r="I1247" s="41"/>
      <c r="J1247" s="42"/>
      <c r="K1247" s="41"/>
      <c r="L1247" s="41"/>
      <c r="M1247" s="41"/>
      <c r="N1247" s="41"/>
      <c r="O1247" s="41" t="str">
        <f t="shared" si="154"/>
        <v>NO</v>
      </c>
      <c r="P1247" s="41" t="str">
        <f t="shared" ref="P1247:P1272" si="155">IF(UPPER($J1247)="SI","🟢",IF(UPPER($J1247)="NO","🔴","🟡"))</f>
        <v>🟡</v>
      </c>
      <c r="Q1247" s="41"/>
    </row>
    <row r="1248" spans="1:17" hidden="1" x14ac:dyDescent="0.4">
      <c r="A1248" s="41">
        <f t="shared" si="152"/>
        <v>1247</v>
      </c>
      <c r="B1248" s="41" t="str">
        <f t="shared" si="153"/>
        <v/>
      </c>
      <c r="C1248" s="41"/>
      <c r="D1248" s="41"/>
      <c r="E1248" s="41">
        <f t="shared" si="151"/>
        <v>0</v>
      </c>
      <c r="F1248" s="41"/>
      <c r="G1248" s="41"/>
      <c r="H1248" s="41"/>
      <c r="I1248" s="41"/>
      <c r="J1248" s="42"/>
      <c r="K1248" s="41"/>
      <c r="L1248" s="41"/>
      <c r="M1248" s="41"/>
      <c r="N1248" s="41"/>
      <c r="O1248" s="41" t="str">
        <f t="shared" si="154"/>
        <v>NO</v>
      </c>
      <c r="P1248" s="41" t="str">
        <f t="shared" si="155"/>
        <v>🟡</v>
      </c>
      <c r="Q1248" s="41"/>
    </row>
    <row r="1249" spans="1:17" hidden="1" x14ac:dyDescent="0.4">
      <c r="A1249" s="41">
        <f t="shared" si="152"/>
        <v>1248</v>
      </c>
      <c r="B1249" s="41" t="str">
        <f t="shared" si="153"/>
        <v/>
      </c>
      <c r="C1249" s="41"/>
      <c r="D1249" s="41"/>
      <c r="E1249" s="41">
        <f t="shared" si="151"/>
        <v>0</v>
      </c>
      <c r="F1249" s="41"/>
      <c r="G1249" s="41"/>
      <c r="H1249" s="41"/>
      <c r="I1249" s="41"/>
      <c r="J1249" s="42"/>
      <c r="K1249" s="41"/>
      <c r="L1249" s="41"/>
      <c r="M1249" s="41"/>
      <c r="N1249" s="41"/>
      <c r="O1249" s="41" t="str">
        <f t="shared" si="154"/>
        <v>NO</v>
      </c>
      <c r="P1249" s="41" t="str">
        <f t="shared" si="155"/>
        <v>🟡</v>
      </c>
      <c r="Q1249" s="41"/>
    </row>
    <row r="1250" spans="1:17" hidden="1" x14ac:dyDescent="0.4">
      <c r="A1250" s="41">
        <f t="shared" si="152"/>
        <v>1249</v>
      </c>
      <c r="B1250" s="41" t="str">
        <f t="shared" si="153"/>
        <v/>
      </c>
      <c r="C1250" s="41"/>
      <c r="D1250" s="41"/>
      <c r="E1250" s="41">
        <f t="shared" si="151"/>
        <v>0</v>
      </c>
      <c r="F1250" s="41"/>
      <c r="G1250" s="41"/>
      <c r="H1250" s="41"/>
      <c r="I1250" s="41"/>
      <c r="J1250" s="42"/>
      <c r="K1250" s="41"/>
      <c r="L1250" s="41"/>
      <c r="M1250" s="41"/>
      <c r="N1250" s="41"/>
      <c r="O1250" s="41" t="str">
        <f t="shared" si="154"/>
        <v>NO</v>
      </c>
      <c r="P1250" s="41" t="str">
        <f t="shared" si="155"/>
        <v>🟡</v>
      </c>
      <c r="Q1250" s="41"/>
    </row>
    <row r="1251" spans="1:17" hidden="1" x14ac:dyDescent="0.4">
      <c r="A1251" s="41">
        <f t="shared" si="152"/>
        <v>1250</v>
      </c>
      <c r="B1251" s="41" t="str">
        <f t="shared" si="153"/>
        <v/>
      </c>
      <c r="C1251" s="41"/>
      <c r="D1251" s="41"/>
      <c r="E1251" s="41">
        <f t="shared" si="151"/>
        <v>0</v>
      </c>
      <c r="F1251" s="41"/>
      <c r="G1251" s="41"/>
      <c r="H1251" s="41"/>
      <c r="I1251" s="41"/>
      <c r="J1251" s="42"/>
      <c r="K1251" s="41"/>
      <c r="L1251" s="41"/>
      <c r="M1251" s="41"/>
      <c r="N1251" s="41"/>
      <c r="O1251" s="41" t="str">
        <f t="shared" si="154"/>
        <v>NO</v>
      </c>
      <c r="P1251" s="41" t="str">
        <f t="shared" si="155"/>
        <v>🟡</v>
      </c>
      <c r="Q1251" s="41"/>
    </row>
    <row r="1252" spans="1:17" hidden="1" x14ac:dyDescent="0.4">
      <c r="A1252" s="41">
        <f t="shared" si="152"/>
        <v>1251</v>
      </c>
      <c r="B1252" s="41" t="str">
        <f t="shared" si="153"/>
        <v/>
      </c>
      <c r="C1252" s="41"/>
      <c r="D1252" s="41"/>
      <c r="E1252" s="41">
        <f t="shared" ref="E1252:E1270" si="156">IF(UPPER($J1252)="NO","",$N1252)</f>
        <v>0</v>
      </c>
      <c r="F1252" s="41"/>
      <c r="G1252" s="41"/>
      <c r="H1252" s="41"/>
      <c r="I1252" s="41"/>
      <c r="J1252" s="42"/>
      <c r="K1252" s="41"/>
      <c r="L1252" s="41"/>
      <c r="M1252" s="41"/>
      <c r="N1252" s="41"/>
      <c r="O1252" s="41" t="str">
        <f t="shared" si="154"/>
        <v>NO</v>
      </c>
      <c r="P1252" s="41" t="str">
        <f t="shared" si="155"/>
        <v>🟡</v>
      </c>
      <c r="Q1252" s="41"/>
    </row>
    <row r="1253" spans="1:17" hidden="1" x14ac:dyDescent="0.4">
      <c r="A1253" s="41">
        <f t="shared" si="152"/>
        <v>1252</v>
      </c>
      <c r="B1253" s="41" t="str">
        <f t="shared" si="153"/>
        <v/>
      </c>
      <c r="C1253" s="41"/>
      <c r="D1253" s="41"/>
      <c r="E1253" s="41">
        <f t="shared" si="156"/>
        <v>0</v>
      </c>
      <c r="F1253" s="41"/>
      <c r="G1253" s="41"/>
      <c r="H1253" s="41"/>
      <c r="I1253" s="41"/>
      <c r="J1253" s="42"/>
      <c r="K1253" s="41"/>
      <c r="L1253" s="41"/>
      <c r="M1253" s="41"/>
      <c r="N1253" s="41"/>
      <c r="O1253" s="41" t="str">
        <f t="shared" si="154"/>
        <v>NO</v>
      </c>
      <c r="P1253" s="41" t="str">
        <f t="shared" si="155"/>
        <v>🟡</v>
      </c>
      <c r="Q1253" s="41"/>
    </row>
    <row r="1254" spans="1:17" hidden="1" x14ac:dyDescent="0.4">
      <c r="A1254" s="41">
        <f t="shared" si="152"/>
        <v>1253</v>
      </c>
      <c r="B1254" s="41" t="str">
        <f t="shared" si="153"/>
        <v/>
      </c>
      <c r="C1254" s="41"/>
      <c r="D1254" s="41"/>
      <c r="E1254" s="41">
        <f t="shared" si="156"/>
        <v>0</v>
      </c>
      <c r="F1254" s="41"/>
      <c r="G1254" s="41"/>
      <c r="H1254" s="41"/>
      <c r="I1254" s="41"/>
      <c r="J1254" s="42"/>
      <c r="K1254" s="41"/>
      <c r="L1254" s="41"/>
      <c r="M1254" s="41"/>
      <c r="N1254" s="41"/>
      <c r="O1254" s="41" t="str">
        <f t="shared" si="154"/>
        <v>NO</v>
      </c>
      <c r="P1254" s="41" t="str">
        <f t="shared" si="155"/>
        <v>🟡</v>
      </c>
      <c r="Q1254" s="41"/>
    </row>
    <row r="1255" spans="1:17" hidden="1" x14ac:dyDescent="0.4">
      <c r="A1255" s="41">
        <f t="shared" si="152"/>
        <v>1254</v>
      </c>
      <c r="B1255" s="41" t="str">
        <f t="shared" si="153"/>
        <v/>
      </c>
      <c r="C1255" s="41"/>
      <c r="D1255" s="41"/>
      <c r="E1255" s="41">
        <f t="shared" si="156"/>
        <v>0</v>
      </c>
      <c r="F1255" s="41"/>
      <c r="G1255" s="41"/>
      <c r="H1255" s="41"/>
      <c r="I1255" s="41"/>
      <c r="J1255" s="42"/>
      <c r="K1255" s="41"/>
      <c r="L1255" s="41"/>
      <c r="M1255" s="41"/>
      <c r="N1255" s="41"/>
      <c r="O1255" s="41" t="str">
        <f t="shared" si="154"/>
        <v>NO</v>
      </c>
      <c r="P1255" s="41" t="str">
        <f t="shared" si="155"/>
        <v>🟡</v>
      </c>
      <c r="Q1255" s="41"/>
    </row>
    <row r="1256" spans="1:17" hidden="1" x14ac:dyDescent="0.4">
      <c r="A1256" s="41">
        <f t="shared" si="152"/>
        <v>1255</v>
      </c>
      <c r="B1256" s="41" t="str">
        <f t="shared" si="153"/>
        <v/>
      </c>
      <c r="C1256" s="41"/>
      <c r="D1256" s="41"/>
      <c r="E1256" s="41">
        <f t="shared" si="156"/>
        <v>0</v>
      </c>
      <c r="F1256" s="41"/>
      <c r="G1256" s="41"/>
      <c r="H1256" s="41"/>
      <c r="I1256" s="41"/>
      <c r="J1256" s="42"/>
      <c r="K1256" s="41"/>
      <c r="L1256" s="41"/>
      <c r="M1256" s="41"/>
      <c r="N1256" s="41"/>
      <c r="O1256" s="41" t="str">
        <f t="shared" si="154"/>
        <v>NO</v>
      </c>
      <c r="P1256" s="41" t="str">
        <f t="shared" si="155"/>
        <v>🟡</v>
      </c>
      <c r="Q1256" s="41"/>
    </row>
    <row r="1257" spans="1:17" hidden="1" x14ac:dyDescent="0.4">
      <c r="A1257" s="41">
        <f t="shared" si="152"/>
        <v>1256</v>
      </c>
      <c r="B1257" s="41" t="str">
        <f t="shared" si="153"/>
        <v/>
      </c>
      <c r="C1257" s="41"/>
      <c r="D1257" s="41"/>
      <c r="E1257" s="41">
        <f t="shared" si="156"/>
        <v>0</v>
      </c>
      <c r="F1257" s="41"/>
      <c r="G1257" s="41"/>
      <c r="H1257" s="41"/>
      <c r="I1257" s="41"/>
      <c r="J1257" s="42"/>
      <c r="K1257" s="41"/>
      <c r="L1257" s="41"/>
      <c r="M1257" s="41"/>
      <c r="N1257" s="41"/>
      <c r="O1257" s="41" t="str">
        <f t="shared" si="154"/>
        <v>NO</v>
      </c>
      <c r="P1257" s="41" t="str">
        <f t="shared" si="155"/>
        <v>🟡</v>
      </c>
      <c r="Q1257" s="41"/>
    </row>
    <row r="1258" spans="1:17" hidden="1" x14ac:dyDescent="0.4">
      <c r="A1258" s="41">
        <f t="shared" si="152"/>
        <v>1257</v>
      </c>
      <c r="B1258" s="41" t="str">
        <f t="shared" si="153"/>
        <v/>
      </c>
      <c r="C1258" s="41"/>
      <c r="D1258" s="41"/>
      <c r="E1258" s="41">
        <f t="shared" si="156"/>
        <v>0</v>
      </c>
      <c r="F1258" s="41"/>
      <c r="G1258" s="41"/>
      <c r="H1258" s="41"/>
      <c r="I1258" s="41"/>
      <c r="J1258" s="42"/>
      <c r="K1258" s="41"/>
      <c r="L1258" s="41"/>
      <c r="M1258" s="41"/>
      <c r="N1258" s="41"/>
      <c r="O1258" s="41" t="str">
        <f t="shared" si="154"/>
        <v>NO</v>
      </c>
      <c r="P1258" s="41" t="str">
        <f t="shared" si="155"/>
        <v>🟡</v>
      </c>
      <c r="Q1258" s="41"/>
    </row>
    <row r="1259" spans="1:17" hidden="1" x14ac:dyDescent="0.4">
      <c r="A1259" s="41">
        <f t="shared" si="152"/>
        <v>1258</v>
      </c>
      <c r="B1259" s="41" t="str">
        <f t="shared" si="153"/>
        <v/>
      </c>
      <c r="C1259" s="41"/>
      <c r="D1259" s="41"/>
      <c r="E1259" s="41">
        <f t="shared" si="156"/>
        <v>0</v>
      </c>
      <c r="F1259" s="41"/>
      <c r="G1259" s="41"/>
      <c r="H1259" s="41"/>
      <c r="I1259" s="41"/>
      <c r="J1259" s="42"/>
      <c r="K1259" s="41"/>
      <c r="L1259" s="41"/>
      <c r="M1259" s="41"/>
      <c r="N1259" s="41"/>
      <c r="O1259" s="41" t="str">
        <f t="shared" si="154"/>
        <v>NO</v>
      </c>
      <c r="P1259" s="41" t="str">
        <f t="shared" si="155"/>
        <v>🟡</v>
      </c>
      <c r="Q1259" s="41"/>
    </row>
    <row r="1260" spans="1:17" hidden="1" x14ac:dyDescent="0.4">
      <c r="A1260" s="41">
        <f t="shared" si="152"/>
        <v>1259</v>
      </c>
      <c r="B1260" s="41" t="str">
        <f t="shared" si="153"/>
        <v/>
      </c>
      <c r="C1260" s="41"/>
      <c r="D1260" s="41"/>
      <c r="E1260" s="41">
        <f t="shared" si="156"/>
        <v>0</v>
      </c>
      <c r="F1260" s="41"/>
      <c r="G1260" s="41"/>
      <c r="H1260" s="41"/>
      <c r="I1260" s="41"/>
      <c r="J1260" s="42"/>
      <c r="K1260" s="41"/>
      <c r="L1260" s="41"/>
      <c r="M1260" s="41"/>
      <c r="N1260" s="41"/>
      <c r="O1260" s="41" t="str">
        <f t="shared" si="154"/>
        <v>NO</v>
      </c>
      <c r="P1260" s="41" t="str">
        <f t="shared" si="155"/>
        <v>🟡</v>
      </c>
      <c r="Q1260" s="41"/>
    </row>
    <row r="1261" spans="1:17" hidden="1" x14ac:dyDescent="0.4">
      <c r="A1261" s="41">
        <f t="shared" si="152"/>
        <v>1260</v>
      </c>
      <c r="B1261" s="41" t="str">
        <f t="shared" si="153"/>
        <v/>
      </c>
      <c r="C1261" s="41"/>
      <c r="D1261" s="41"/>
      <c r="E1261" s="41">
        <f t="shared" si="156"/>
        <v>0</v>
      </c>
      <c r="F1261" s="41"/>
      <c r="G1261" s="41"/>
      <c r="H1261" s="41"/>
      <c r="I1261" s="41"/>
      <c r="J1261" s="42"/>
      <c r="K1261" s="41"/>
      <c r="L1261" s="41"/>
      <c r="M1261" s="41"/>
      <c r="N1261" s="41"/>
      <c r="O1261" s="41" t="str">
        <f t="shared" si="154"/>
        <v>NO</v>
      </c>
      <c r="P1261" s="41" t="str">
        <f t="shared" si="155"/>
        <v>🟡</v>
      </c>
      <c r="Q1261" s="41"/>
    </row>
    <row r="1262" spans="1:17" hidden="1" x14ac:dyDescent="0.4">
      <c r="A1262" s="41">
        <f t="shared" si="152"/>
        <v>1261</v>
      </c>
      <c r="B1262" s="41" t="str">
        <f t="shared" si="153"/>
        <v/>
      </c>
      <c r="C1262" s="41"/>
      <c r="D1262" s="41"/>
      <c r="E1262" s="41">
        <f t="shared" si="156"/>
        <v>0</v>
      </c>
      <c r="F1262" s="41"/>
      <c r="G1262" s="41"/>
      <c r="H1262" s="41"/>
      <c r="I1262" s="41"/>
      <c r="J1262" s="42"/>
      <c r="K1262" s="41"/>
      <c r="L1262" s="41"/>
      <c r="M1262" s="41"/>
      <c r="N1262" s="41"/>
      <c r="O1262" s="41" t="str">
        <f t="shared" si="154"/>
        <v>NO</v>
      </c>
      <c r="P1262" s="41" t="str">
        <f t="shared" si="155"/>
        <v>🟡</v>
      </c>
      <c r="Q1262" s="41"/>
    </row>
    <row r="1263" spans="1:17" hidden="1" x14ac:dyDescent="0.4">
      <c r="A1263" s="41">
        <f t="shared" si="152"/>
        <v>1262</v>
      </c>
      <c r="B1263" s="41" t="str">
        <f t="shared" si="153"/>
        <v/>
      </c>
      <c r="C1263" s="41"/>
      <c r="D1263" s="41"/>
      <c r="E1263" s="41">
        <f t="shared" si="156"/>
        <v>0</v>
      </c>
      <c r="F1263" s="41"/>
      <c r="G1263" s="41"/>
      <c r="H1263" s="41"/>
      <c r="I1263" s="41"/>
      <c r="J1263" s="42"/>
      <c r="K1263" s="41"/>
      <c r="L1263" s="41"/>
      <c r="M1263" s="41"/>
      <c r="N1263" s="41"/>
      <c r="O1263" s="41" t="str">
        <f t="shared" si="154"/>
        <v>NO</v>
      </c>
      <c r="P1263" s="41" t="str">
        <f t="shared" si="155"/>
        <v>🟡</v>
      </c>
      <c r="Q1263" s="41"/>
    </row>
    <row r="1264" spans="1:17" hidden="1" x14ac:dyDescent="0.4">
      <c r="A1264" s="41">
        <f t="shared" si="152"/>
        <v>1263</v>
      </c>
      <c r="B1264" s="41" t="str">
        <f t="shared" si="153"/>
        <v/>
      </c>
      <c r="C1264" s="41"/>
      <c r="D1264" s="41"/>
      <c r="E1264" s="41">
        <f t="shared" si="156"/>
        <v>0</v>
      </c>
      <c r="F1264" s="41"/>
      <c r="G1264" s="41"/>
      <c r="H1264" s="41"/>
      <c r="I1264" s="41"/>
      <c r="J1264" s="42"/>
      <c r="K1264" s="41"/>
      <c r="L1264" s="41"/>
      <c r="M1264" s="41"/>
      <c r="N1264" s="41"/>
      <c r="O1264" s="41" t="str">
        <f t="shared" si="154"/>
        <v>NO</v>
      </c>
      <c r="P1264" s="41" t="str">
        <f t="shared" si="155"/>
        <v>🟡</v>
      </c>
      <c r="Q1264" s="41"/>
    </row>
    <row r="1265" spans="1:17" hidden="1" x14ac:dyDescent="0.4">
      <c r="A1265" s="41">
        <f t="shared" si="152"/>
        <v>1264</v>
      </c>
      <c r="B1265" s="41" t="str">
        <f t="shared" si="153"/>
        <v/>
      </c>
      <c r="C1265" s="41"/>
      <c r="D1265" s="41"/>
      <c r="E1265" s="41">
        <f t="shared" si="156"/>
        <v>0</v>
      </c>
      <c r="F1265" s="41"/>
      <c r="G1265" s="41"/>
      <c r="H1265" s="41"/>
      <c r="I1265" s="41"/>
      <c r="J1265" s="42"/>
      <c r="K1265" s="41"/>
      <c r="L1265" s="41"/>
      <c r="M1265" s="41"/>
      <c r="N1265" s="41"/>
      <c r="O1265" s="41" t="str">
        <f t="shared" si="154"/>
        <v>NO</v>
      </c>
      <c r="P1265" s="41" t="str">
        <f t="shared" si="155"/>
        <v>🟡</v>
      </c>
      <c r="Q1265" s="41"/>
    </row>
    <row r="1266" spans="1:17" hidden="1" x14ac:dyDescent="0.4">
      <c r="A1266" s="41">
        <f t="shared" si="152"/>
        <v>1265</v>
      </c>
      <c r="B1266" s="41" t="str">
        <f t="shared" si="153"/>
        <v/>
      </c>
      <c r="C1266" s="41"/>
      <c r="D1266" s="41"/>
      <c r="E1266" s="41">
        <f t="shared" si="156"/>
        <v>0</v>
      </c>
      <c r="F1266" s="41"/>
      <c r="G1266" s="41"/>
      <c r="H1266" s="41"/>
      <c r="I1266" s="41"/>
      <c r="J1266" s="42"/>
      <c r="K1266" s="41"/>
      <c r="L1266" s="41"/>
      <c r="M1266" s="41"/>
      <c r="N1266" s="41"/>
      <c r="O1266" s="41" t="str">
        <f t="shared" si="154"/>
        <v>NO</v>
      </c>
      <c r="P1266" s="41" t="str">
        <f t="shared" si="155"/>
        <v>🟡</v>
      </c>
      <c r="Q1266" s="41"/>
    </row>
    <row r="1267" spans="1:17" hidden="1" x14ac:dyDescent="0.4">
      <c r="A1267" s="41">
        <f t="shared" si="152"/>
        <v>1266</v>
      </c>
      <c r="B1267" s="41" t="str">
        <f t="shared" si="153"/>
        <v/>
      </c>
      <c r="C1267" s="41"/>
      <c r="D1267" s="41"/>
      <c r="E1267" s="41">
        <f t="shared" si="156"/>
        <v>0</v>
      </c>
      <c r="F1267" s="41"/>
      <c r="G1267" s="41"/>
      <c r="H1267" s="41"/>
      <c r="I1267" s="41"/>
      <c r="J1267" s="42"/>
      <c r="K1267" s="41"/>
      <c r="L1267" s="41"/>
      <c r="M1267" s="41"/>
      <c r="N1267" s="41"/>
      <c r="O1267" s="41" t="str">
        <f t="shared" si="154"/>
        <v>NO</v>
      </c>
      <c r="P1267" s="41" t="str">
        <f t="shared" si="155"/>
        <v>🟡</v>
      </c>
      <c r="Q1267" s="41"/>
    </row>
    <row r="1268" spans="1:17" hidden="1" x14ac:dyDescent="0.4">
      <c r="A1268" s="41">
        <f t="shared" si="152"/>
        <v>1267</v>
      </c>
      <c r="B1268" s="41" t="str">
        <f t="shared" si="153"/>
        <v/>
      </c>
      <c r="C1268" s="41"/>
      <c r="D1268" s="41"/>
      <c r="E1268" s="41">
        <f t="shared" si="156"/>
        <v>0</v>
      </c>
      <c r="F1268" s="41"/>
      <c r="G1268" s="41"/>
      <c r="H1268" s="41"/>
      <c r="I1268" s="41"/>
      <c r="J1268" s="42"/>
      <c r="K1268" s="41"/>
      <c r="L1268" s="41"/>
      <c r="M1268" s="41"/>
      <c r="N1268" s="41"/>
      <c r="O1268" s="41" t="str">
        <f t="shared" si="154"/>
        <v>NO</v>
      </c>
      <c r="P1268" s="41" t="str">
        <f t="shared" si="155"/>
        <v>🟡</v>
      </c>
      <c r="Q1268" s="41"/>
    </row>
    <row r="1269" spans="1:17" hidden="1" x14ac:dyDescent="0.4">
      <c r="A1269" s="41">
        <f t="shared" si="152"/>
        <v>1268</v>
      </c>
      <c r="B1269" s="41" t="str">
        <f t="shared" si="153"/>
        <v/>
      </c>
      <c r="C1269" s="41"/>
      <c r="D1269" s="41"/>
      <c r="E1269" s="41">
        <f t="shared" si="156"/>
        <v>0</v>
      </c>
      <c r="F1269" s="41"/>
      <c r="G1269" s="41"/>
      <c r="H1269" s="41"/>
      <c r="I1269" s="41"/>
      <c r="J1269" s="42"/>
      <c r="K1269" s="41"/>
      <c r="L1269" s="41"/>
      <c r="M1269" s="41"/>
      <c r="N1269" s="41"/>
      <c r="O1269" s="41" t="str">
        <f t="shared" si="154"/>
        <v>NO</v>
      </c>
      <c r="P1269" s="41" t="str">
        <f t="shared" si="155"/>
        <v>🟡</v>
      </c>
      <c r="Q1269" s="41"/>
    </row>
    <row r="1270" spans="1:17" hidden="1" x14ac:dyDescent="0.4">
      <c r="A1270" s="41">
        <f t="shared" si="152"/>
        <v>1269</v>
      </c>
      <c r="B1270" s="41" t="str">
        <f t="shared" si="153"/>
        <v/>
      </c>
      <c r="C1270" s="41"/>
      <c r="D1270" s="41"/>
      <c r="E1270" s="41">
        <f t="shared" si="156"/>
        <v>0</v>
      </c>
      <c r="F1270" s="41"/>
      <c r="G1270" s="41"/>
      <c r="H1270" s="41"/>
      <c r="I1270" s="41"/>
      <c r="J1270" s="42"/>
      <c r="K1270" s="41"/>
      <c r="L1270" s="41"/>
      <c r="M1270" s="41"/>
      <c r="N1270" s="41"/>
      <c r="O1270" s="41" t="str">
        <f t="shared" si="154"/>
        <v>NO</v>
      </c>
      <c r="P1270" s="41" t="str">
        <f t="shared" si="155"/>
        <v>🟡</v>
      </c>
      <c r="Q1270" s="41"/>
    </row>
    <row r="1271" spans="1:17" x14ac:dyDescent="0.4">
      <c r="A1271" s="79">
        <f t="shared" si="152"/>
        <v>1270</v>
      </c>
      <c r="B1271" s="75">
        <f t="shared" si="153"/>
        <v>1270</v>
      </c>
      <c r="C1271" s="73" t="s">
        <v>1770</v>
      </c>
      <c r="D1271" s="73"/>
      <c r="E1271" s="77" t="s">
        <v>1257</v>
      </c>
      <c r="F1271" s="78" t="s">
        <v>2152</v>
      </c>
      <c r="G1271" s="73" t="s">
        <v>2153</v>
      </c>
      <c r="H1271" s="73" t="s">
        <v>1215</v>
      </c>
      <c r="I1271" s="73" t="s">
        <v>1010</v>
      </c>
      <c r="J1271" s="61" t="s">
        <v>22</v>
      </c>
      <c r="K1271" s="73" t="s">
        <v>2154</v>
      </c>
      <c r="L1271" s="78" t="s">
        <v>3324</v>
      </c>
      <c r="M1271" s="78">
        <v>64</v>
      </c>
      <c r="N1271" s="77" t="s">
        <v>659</v>
      </c>
      <c r="O1271" s="77" t="str">
        <f t="shared" si="154"/>
        <v>NO</v>
      </c>
      <c r="P1271" s="77" t="str">
        <f t="shared" si="155"/>
        <v>🟢</v>
      </c>
      <c r="Q1271" s="77"/>
    </row>
    <row r="1272" spans="1:17" x14ac:dyDescent="0.4">
      <c r="A1272" s="74">
        <f t="shared" si="152"/>
        <v>1271</v>
      </c>
      <c r="B1272" s="75">
        <f t="shared" si="153"/>
        <v>1271</v>
      </c>
      <c r="C1272" s="76" t="s">
        <v>2569</v>
      </c>
      <c r="D1272" s="76" t="s">
        <v>817</v>
      </c>
      <c r="E1272" s="80" t="str">
        <f>IF(UPPER($J1272)="NO","",$N1272)</f>
        <v>LATERAL</v>
      </c>
      <c r="F1272" s="78" t="s">
        <v>2575</v>
      </c>
      <c r="G1272" s="76" t="s">
        <v>541</v>
      </c>
      <c r="H1272" s="76" t="s">
        <v>168</v>
      </c>
      <c r="I1272" s="76" t="s">
        <v>705</v>
      </c>
      <c r="J1272" s="61" t="s">
        <v>22</v>
      </c>
      <c r="K1272" s="76" t="s">
        <v>2576</v>
      </c>
      <c r="L1272" s="78" t="s">
        <v>3321</v>
      </c>
      <c r="M1272" s="78">
        <v>57</v>
      </c>
      <c r="N1272" s="77" t="s">
        <v>1257</v>
      </c>
      <c r="O1272" s="77" t="str">
        <f t="shared" si="154"/>
        <v>NO</v>
      </c>
      <c r="P1272" s="77" t="str">
        <f t="shared" si="155"/>
        <v>🟢</v>
      </c>
      <c r="Q1272" s="77"/>
    </row>
  </sheetData>
  <autoFilter ref="A1:CH1272" xr:uid="{00000000-0001-0000-0000-000000000000}">
    <filterColumn colId="4">
      <filters>
        <filter val="LATERAL"/>
      </filters>
    </filterColumn>
    <filterColumn colId="9">
      <filters>
        <filter val="SI"/>
      </filters>
    </filterColumn>
    <sortState xmlns:xlrd2="http://schemas.microsoft.com/office/spreadsheetml/2017/richdata2" ref="A297:CH1271">
      <sortCondition ref="M1:M1272"/>
    </sortState>
  </autoFilter>
  <conditionalFormatting sqref="J2:J739">
    <cfRule type="expression" dxfId="30" priority="48">
      <formula>OR($J2="PENDIENTE",$J2="")</formula>
    </cfRule>
    <cfRule type="expression" dxfId="29" priority="47">
      <formula>$J2="NO"</formula>
    </cfRule>
    <cfRule type="cellIs" dxfId="28" priority="52" operator="equal">
      <formula>"NO"</formula>
    </cfRule>
    <cfRule type="cellIs" dxfId="27" priority="51" operator="equal">
      <formula>"SI"</formula>
    </cfRule>
    <cfRule type="expression" dxfId="26" priority="46">
      <formula>$J2="SI"</formula>
    </cfRule>
    <cfRule type="expression" dxfId="25" priority="50">
      <formula>$J2="NO"</formula>
    </cfRule>
    <cfRule type="expression" dxfId="24" priority="49">
      <formula>$J2="SI"</formula>
    </cfRule>
    <cfRule type="cellIs" dxfId="23" priority="53" operator="equal">
      <formula>"PENDIENTE"</formula>
    </cfRule>
  </conditionalFormatting>
  <conditionalFormatting sqref="J2:J1220">
    <cfRule type="expression" dxfId="22" priority="56">
      <formula>OR(UPPER($J2)="PENDIENTE",$J2="")</formula>
    </cfRule>
    <cfRule type="expression" dxfId="21" priority="54">
      <formula>UPPER($J2)="SI"</formula>
    </cfRule>
    <cfRule type="expression" dxfId="20" priority="55">
      <formula>UPPER($J2)="NO"</formula>
    </cfRule>
  </conditionalFormatting>
  <conditionalFormatting sqref="J1271">
    <cfRule type="cellIs" dxfId="19" priority="7" operator="equal">
      <formula>"NO"</formula>
    </cfRule>
    <cfRule type="cellIs" dxfId="18" priority="8" operator="equal">
      <formula>"PENDIENTE"</formula>
    </cfRule>
    <cfRule type="expression" dxfId="17" priority="9">
      <formula>UPPER($J1271)="SI"</formula>
    </cfRule>
    <cfRule type="expression" dxfId="16" priority="10">
      <formula>UPPER($J1271)="NO"</formula>
    </cfRule>
    <cfRule type="expression" dxfId="15" priority="11">
      <formula>OR(UPPER($J1271)="PENDIENTE",$J1271="")</formula>
    </cfRule>
    <cfRule type="expression" dxfId="14" priority="1">
      <formula>$J1271="SI"</formula>
    </cfRule>
    <cfRule type="expression" dxfId="13" priority="2">
      <formula>$J1271="NO"</formula>
    </cfRule>
    <cfRule type="expression" dxfId="12" priority="3">
      <formula>OR($J1271="PENDIENTE",$J1271="")</formula>
    </cfRule>
    <cfRule type="cellIs" dxfId="11" priority="6" operator="equal">
      <formula>"SI"</formula>
    </cfRule>
  </conditionalFormatting>
  <conditionalFormatting sqref="J1271:J1272">
    <cfRule type="expression" dxfId="10" priority="5">
      <formula>$J1271="NO"</formula>
    </cfRule>
    <cfRule type="expression" dxfId="9" priority="4">
      <formula>$J1271="SI"</formula>
    </cfRule>
  </conditionalFormatting>
  <conditionalFormatting sqref="J1272">
    <cfRule type="expression" dxfId="8" priority="21">
      <formula>UPPER($J1272)="NO"</formula>
    </cfRule>
    <cfRule type="expression" dxfId="7" priority="22">
      <formula>OR(UPPER($J1272)="PENDIENTE",$J1272="")</formula>
    </cfRule>
    <cfRule type="expression" dxfId="6" priority="16">
      <formula>$J1272="NO"</formula>
    </cfRule>
    <cfRule type="expression" dxfId="5" priority="15">
      <formula>$J1272="SI"</formula>
    </cfRule>
    <cfRule type="expression" dxfId="4" priority="14">
      <formula>OR($J1272="PENDIENTE",$J1272="")</formula>
    </cfRule>
    <cfRule type="cellIs" dxfId="3" priority="18" operator="equal">
      <formula>"NO"</formula>
    </cfRule>
    <cfRule type="cellIs" dxfId="2" priority="19" operator="equal">
      <formula>"PENDIENTE"</formula>
    </cfRule>
    <cfRule type="expression" dxfId="1" priority="20">
      <formula>UPPER($J1272)="SI"</formula>
    </cfRule>
    <cfRule type="cellIs" dxfId="0" priority="17" operator="equal">
      <formula>"SI"</formula>
    </cfRule>
  </conditionalFormatting>
  <dataValidations count="4">
    <dataValidation type="list" showInputMessage="1" promptTitle="Asistencia" prompt="Seleccione SI, NO o Pendiente." sqref="I276 I318 K475 K488:K525" xr:uid="{00000000-0002-0000-0000-000000000000}">
      <formula1>"SI,NO,Pendiente,"</formula1>
      <formula2>0</formula2>
    </dataValidation>
    <dataValidation type="list" sqref="J2:J1033 J1271:J1272" xr:uid="{00000000-0002-0000-0000-000001000000}">
      <formula1>"SI,NO,PENDIENTE"</formula1>
      <formula2>0</formula2>
    </dataValidation>
    <dataValidation type="list" sqref="J2:J1220 J1271:J1272" xr:uid="{00000000-0002-0000-0000-000002000000}">
      <formula1>"SI,NO,PENDIENTE"</formula1>
    </dataValidation>
    <dataValidation type="list" allowBlank="1" sqref="J2:J1220 J1271:J1272" xr:uid="{00000000-0002-0000-0000-000003000000}">
      <formula1>"SI,NO,PENDIENTE"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3CF00-1B27-45E7-9D2E-048CD3E34ADA}">
  <dimension ref="A3:BM8"/>
  <sheetViews>
    <sheetView zoomScale="70" zoomScaleNormal="70" workbookViewId="0">
      <selection activeCell="BO21" sqref="BO21"/>
    </sheetView>
  </sheetViews>
  <sheetFormatPr baseColWidth="10" defaultRowHeight="12.5" x14ac:dyDescent="0.25"/>
  <cols>
    <col min="60" max="60" width="10.36328125" customWidth="1"/>
  </cols>
  <sheetData>
    <row r="3" spans="1:65" x14ac:dyDescent="0.25">
      <c r="A3" s="66">
        <v>1</v>
      </c>
      <c r="B3" s="66">
        <v>2</v>
      </c>
      <c r="C3" s="66">
        <v>3</v>
      </c>
      <c r="D3" s="66">
        <v>4</v>
      </c>
      <c r="E3" s="66">
        <v>5</v>
      </c>
      <c r="F3" s="66">
        <v>6</v>
      </c>
      <c r="G3" s="66">
        <v>7</v>
      </c>
      <c r="H3" s="66">
        <v>8</v>
      </c>
      <c r="I3" s="66">
        <v>9</v>
      </c>
      <c r="J3" s="66">
        <v>10</v>
      </c>
      <c r="K3" s="66">
        <v>11</v>
      </c>
      <c r="L3" s="66">
        <v>12</v>
      </c>
      <c r="M3" s="66">
        <v>13</v>
      </c>
      <c r="N3" s="66">
        <v>14</v>
      </c>
      <c r="O3" s="66">
        <v>15</v>
      </c>
      <c r="P3" s="66">
        <v>16</v>
      </c>
      <c r="Q3" s="66">
        <v>17</v>
      </c>
      <c r="R3" s="66">
        <v>18</v>
      </c>
      <c r="S3" s="66">
        <v>19</v>
      </c>
      <c r="T3" s="66">
        <v>20</v>
      </c>
      <c r="U3" s="66">
        <v>21</v>
      </c>
      <c r="V3" s="66">
        <v>22</v>
      </c>
      <c r="W3" s="66">
        <v>23</v>
      </c>
      <c r="X3" s="66">
        <v>24</v>
      </c>
      <c r="Y3" s="66">
        <v>25</v>
      </c>
      <c r="Z3" s="66">
        <v>26</v>
      </c>
      <c r="AA3" s="66">
        <v>27</v>
      </c>
      <c r="AB3" s="66">
        <v>28</v>
      </c>
      <c r="AC3" s="66">
        <v>29</v>
      </c>
      <c r="AD3" s="66">
        <v>30</v>
      </c>
      <c r="AE3" s="66">
        <v>31</v>
      </c>
      <c r="AF3" s="66">
        <v>32</v>
      </c>
      <c r="AG3" s="66">
        <v>33</v>
      </c>
      <c r="AH3" s="66">
        <v>34</v>
      </c>
      <c r="AI3" s="66">
        <v>35</v>
      </c>
      <c r="AJ3" s="66">
        <v>36</v>
      </c>
      <c r="AK3" s="66">
        <v>37</v>
      </c>
      <c r="AL3" s="66">
        <v>38</v>
      </c>
      <c r="AM3" s="66">
        <v>39</v>
      </c>
      <c r="AN3" s="66">
        <v>40</v>
      </c>
      <c r="AO3" s="66">
        <v>41</v>
      </c>
      <c r="AP3" s="66">
        <v>42</v>
      </c>
      <c r="AQ3" s="66">
        <v>43</v>
      </c>
      <c r="AR3" s="66">
        <v>44</v>
      </c>
      <c r="AS3" s="66">
        <v>45</v>
      </c>
      <c r="AT3" s="66">
        <v>46</v>
      </c>
      <c r="AU3" s="66">
        <v>47</v>
      </c>
      <c r="AV3" s="66">
        <v>48</v>
      </c>
      <c r="AW3" s="66">
        <v>49</v>
      </c>
      <c r="AX3" s="66">
        <v>50</v>
      </c>
      <c r="AY3" s="66">
        <v>51</v>
      </c>
      <c r="AZ3" s="66">
        <v>52</v>
      </c>
      <c r="BA3" s="66">
        <v>53</v>
      </c>
      <c r="BB3" s="66">
        <v>54</v>
      </c>
      <c r="BC3" s="66">
        <v>55</v>
      </c>
      <c r="BD3" s="66">
        <v>56</v>
      </c>
      <c r="BE3" s="66">
        <v>57</v>
      </c>
      <c r="BF3" s="66">
        <v>58</v>
      </c>
      <c r="BG3" s="66">
        <v>59</v>
      </c>
      <c r="BH3" s="66">
        <v>60</v>
      </c>
      <c r="BI3" s="66">
        <v>61</v>
      </c>
      <c r="BJ3" s="66">
        <v>62</v>
      </c>
      <c r="BK3" s="66">
        <v>63</v>
      </c>
      <c r="BL3" s="66">
        <v>64</v>
      </c>
      <c r="BM3" t="s">
        <v>3318</v>
      </c>
    </row>
    <row r="4" spans="1:65" x14ac:dyDescent="0.25">
      <c r="A4" s="66">
        <v>1</v>
      </c>
      <c r="B4" s="66">
        <v>2</v>
      </c>
      <c r="C4" s="66">
        <v>3</v>
      </c>
      <c r="D4" s="66">
        <v>4</v>
      </c>
      <c r="E4" s="66">
        <v>5</v>
      </c>
      <c r="F4" s="66">
        <v>6</v>
      </c>
      <c r="G4" s="66">
        <v>7</v>
      </c>
      <c r="H4" s="66">
        <v>8</v>
      </c>
      <c r="I4" s="66">
        <v>9</v>
      </c>
      <c r="J4" s="66">
        <v>10</v>
      </c>
      <c r="K4" s="66">
        <v>11</v>
      </c>
      <c r="L4" s="66">
        <v>12</v>
      </c>
      <c r="M4" s="66">
        <v>13</v>
      </c>
      <c r="N4" s="66">
        <v>14</v>
      </c>
      <c r="O4" s="66">
        <v>15</v>
      </c>
      <c r="P4" s="66">
        <v>16</v>
      </c>
      <c r="Q4" s="66">
        <v>17</v>
      </c>
      <c r="R4" s="66">
        <v>18</v>
      </c>
      <c r="S4" s="66">
        <v>19</v>
      </c>
      <c r="T4" s="66">
        <v>20</v>
      </c>
      <c r="U4" s="66">
        <v>21</v>
      </c>
      <c r="V4" s="66">
        <v>22</v>
      </c>
      <c r="W4" s="66">
        <v>23</v>
      </c>
      <c r="X4" s="66">
        <v>24</v>
      </c>
      <c r="Y4" s="66">
        <v>25</v>
      </c>
      <c r="Z4" s="66">
        <v>26</v>
      </c>
      <c r="AA4" s="66">
        <v>27</v>
      </c>
      <c r="AB4" s="66">
        <v>28</v>
      </c>
      <c r="AC4" s="66">
        <v>29</v>
      </c>
      <c r="AD4" s="66">
        <v>30</v>
      </c>
      <c r="AE4" s="66">
        <v>31</v>
      </c>
      <c r="AF4" s="66">
        <v>32</v>
      </c>
      <c r="AG4" s="66">
        <v>33</v>
      </c>
      <c r="AH4" s="66">
        <v>34</v>
      </c>
      <c r="AI4" s="66">
        <v>35</v>
      </c>
      <c r="AJ4" s="66">
        <v>36</v>
      </c>
      <c r="AK4" s="66">
        <v>37</v>
      </c>
      <c r="AL4" s="66">
        <v>38</v>
      </c>
      <c r="AM4" s="66">
        <v>39</v>
      </c>
      <c r="AN4" s="66">
        <v>40</v>
      </c>
      <c r="AO4" s="66">
        <v>41</v>
      </c>
      <c r="AP4" s="66">
        <v>42</v>
      </c>
      <c r="AQ4" s="66">
        <v>43</v>
      </c>
      <c r="AR4" s="66">
        <v>44</v>
      </c>
      <c r="AS4" s="66">
        <v>45</v>
      </c>
      <c r="AT4" s="66">
        <v>46</v>
      </c>
      <c r="AU4" s="66">
        <v>47</v>
      </c>
      <c r="AV4" s="66">
        <v>48</v>
      </c>
      <c r="AW4" s="66">
        <v>49</v>
      </c>
      <c r="AX4" s="66">
        <v>50</v>
      </c>
      <c r="AY4" s="66">
        <v>51</v>
      </c>
      <c r="AZ4" s="66">
        <v>52</v>
      </c>
      <c r="BA4" s="66">
        <v>53</v>
      </c>
      <c r="BB4" s="66">
        <v>54</v>
      </c>
      <c r="BC4" s="66">
        <v>55</v>
      </c>
      <c r="BD4" s="66">
        <v>56</v>
      </c>
      <c r="BE4" s="66">
        <v>57</v>
      </c>
      <c r="BF4" s="66">
        <v>58</v>
      </c>
      <c r="BG4" s="66">
        <v>59</v>
      </c>
      <c r="BH4" s="66">
        <v>60</v>
      </c>
      <c r="BI4" s="66">
        <v>61</v>
      </c>
      <c r="BJ4" s="66">
        <v>62</v>
      </c>
      <c r="BK4" s="66">
        <v>63</v>
      </c>
      <c r="BL4" s="66">
        <v>64</v>
      </c>
      <c r="BM4" t="s">
        <v>3319</v>
      </c>
    </row>
    <row r="5" spans="1:65" x14ac:dyDescent="0.25">
      <c r="A5" s="66">
        <v>1</v>
      </c>
      <c r="B5" s="66">
        <v>2</v>
      </c>
      <c r="C5" s="66">
        <v>3</v>
      </c>
      <c r="D5" s="66">
        <v>4</v>
      </c>
      <c r="E5" s="66">
        <v>5</v>
      </c>
      <c r="F5" s="66">
        <v>6</v>
      </c>
      <c r="G5" s="66">
        <v>7</v>
      </c>
      <c r="H5" s="66">
        <v>8</v>
      </c>
      <c r="I5" s="66">
        <v>9</v>
      </c>
      <c r="J5" s="66">
        <v>10</v>
      </c>
      <c r="K5" s="66">
        <v>11</v>
      </c>
      <c r="L5" s="66">
        <v>12</v>
      </c>
      <c r="M5" s="66">
        <v>13</v>
      </c>
      <c r="N5" s="66">
        <v>14</v>
      </c>
      <c r="O5" s="66">
        <v>15</v>
      </c>
      <c r="P5" s="66">
        <v>16</v>
      </c>
      <c r="Q5" s="66">
        <v>17</v>
      </c>
      <c r="R5" s="66">
        <v>18</v>
      </c>
      <c r="S5" s="66">
        <v>19</v>
      </c>
      <c r="T5" s="66">
        <v>20</v>
      </c>
      <c r="U5" s="66">
        <v>21</v>
      </c>
      <c r="V5" s="66">
        <v>22</v>
      </c>
      <c r="W5" s="66">
        <v>23</v>
      </c>
      <c r="X5" s="66">
        <v>24</v>
      </c>
      <c r="Y5" s="66">
        <v>25</v>
      </c>
      <c r="Z5" s="66">
        <v>26</v>
      </c>
      <c r="AA5" s="66">
        <v>27</v>
      </c>
      <c r="AB5" s="66">
        <v>28</v>
      </c>
      <c r="AC5" s="66">
        <v>29</v>
      </c>
      <c r="AD5" s="66">
        <v>30</v>
      </c>
      <c r="AE5" s="66">
        <v>31</v>
      </c>
      <c r="AF5" s="66">
        <v>32</v>
      </c>
      <c r="AG5" s="66">
        <v>33</v>
      </c>
      <c r="AH5" s="66">
        <v>34</v>
      </c>
      <c r="AI5" s="66">
        <v>35</v>
      </c>
      <c r="AJ5" s="66">
        <v>36</v>
      </c>
      <c r="AK5" s="66">
        <v>37</v>
      </c>
      <c r="AL5" s="66">
        <v>38</v>
      </c>
      <c r="AM5" s="66">
        <v>39</v>
      </c>
      <c r="AN5" s="66">
        <v>40</v>
      </c>
      <c r="AO5" s="66">
        <v>41</v>
      </c>
      <c r="AP5" s="66">
        <v>42</v>
      </c>
      <c r="AQ5" s="66">
        <v>43</v>
      </c>
      <c r="AR5" s="66">
        <v>44</v>
      </c>
      <c r="AS5" s="66">
        <v>45</v>
      </c>
      <c r="AT5" s="66">
        <v>46</v>
      </c>
      <c r="AU5" s="66">
        <v>47</v>
      </c>
      <c r="AV5" s="66">
        <v>48</v>
      </c>
      <c r="AW5" s="66">
        <v>49</v>
      </c>
      <c r="AX5" s="66">
        <v>50</v>
      </c>
      <c r="AY5" s="66">
        <v>51</v>
      </c>
      <c r="AZ5" s="66">
        <v>52</v>
      </c>
      <c r="BA5" s="66">
        <v>53</v>
      </c>
      <c r="BB5" s="66">
        <v>54</v>
      </c>
      <c r="BC5" s="66">
        <v>55</v>
      </c>
      <c r="BD5" s="66">
        <v>56</v>
      </c>
      <c r="BE5" s="66">
        <v>57</v>
      </c>
      <c r="BF5" s="66">
        <v>58</v>
      </c>
      <c r="BG5" s="66">
        <v>59</v>
      </c>
      <c r="BH5" s="66">
        <v>60</v>
      </c>
      <c r="BI5" s="66">
        <v>61</v>
      </c>
      <c r="BJ5" s="66">
        <v>62</v>
      </c>
      <c r="BK5" s="66">
        <v>63</v>
      </c>
      <c r="BL5" s="66">
        <v>64</v>
      </c>
      <c r="BM5" t="s">
        <v>3320</v>
      </c>
    </row>
    <row r="6" spans="1:65" x14ac:dyDescent="0.25">
      <c r="A6" s="66">
        <v>1</v>
      </c>
      <c r="B6" s="66">
        <v>2</v>
      </c>
      <c r="C6" s="66">
        <v>3</v>
      </c>
      <c r="D6" s="66">
        <v>4</v>
      </c>
      <c r="E6" s="66">
        <v>5</v>
      </c>
      <c r="F6" s="66">
        <v>6</v>
      </c>
      <c r="G6" s="66">
        <v>7</v>
      </c>
      <c r="H6" s="66">
        <v>8</v>
      </c>
      <c r="I6" s="66">
        <v>9</v>
      </c>
      <c r="J6" s="66">
        <v>10</v>
      </c>
      <c r="K6" s="66">
        <v>11</v>
      </c>
      <c r="L6" s="66">
        <v>12</v>
      </c>
      <c r="M6" s="66">
        <v>13</v>
      </c>
      <c r="N6" s="66">
        <v>14</v>
      </c>
      <c r="O6" s="66">
        <v>15</v>
      </c>
      <c r="P6" s="66">
        <v>16</v>
      </c>
      <c r="Q6" s="66">
        <v>17</v>
      </c>
      <c r="R6" s="66">
        <v>18</v>
      </c>
      <c r="S6" s="66">
        <v>19</v>
      </c>
      <c r="T6" s="66">
        <v>20</v>
      </c>
      <c r="U6" s="66">
        <v>21</v>
      </c>
      <c r="V6" s="66">
        <v>22</v>
      </c>
      <c r="W6" s="66">
        <v>23</v>
      </c>
      <c r="X6" s="66">
        <v>24</v>
      </c>
      <c r="Y6" s="66">
        <v>25</v>
      </c>
      <c r="Z6" s="66">
        <v>26</v>
      </c>
      <c r="AA6" s="66">
        <v>27</v>
      </c>
      <c r="AB6" s="66">
        <v>28</v>
      </c>
      <c r="AC6" s="66">
        <v>29</v>
      </c>
      <c r="AD6" s="66">
        <v>30</v>
      </c>
      <c r="AE6" s="66">
        <v>31</v>
      </c>
      <c r="AF6" s="66">
        <v>32</v>
      </c>
      <c r="AG6" s="66">
        <v>33</v>
      </c>
      <c r="AH6" s="66">
        <v>34</v>
      </c>
      <c r="AI6" s="66">
        <v>35</v>
      </c>
      <c r="AJ6" s="66">
        <v>36</v>
      </c>
      <c r="AK6" s="66">
        <v>37</v>
      </c>
      <c r="AL6" s="66">
        <v>38</v>
      </c>
      <c r="AM6" s="66">
        <v>39</v>
      </c>
      <c r="AN6" s="66">
        <v>40</v>
      </c>
      <c r="AO6" s="66">
        <v>41</v>
      </c>
      <c r="AP6" s="66">
        <v>42</v>
      </c>
      <c r="AQ6" s="66">
        <v>43</v>
      </c>
      <c r="AR6" s="66">
        <v>44</v>
      </c>
      <c r="AS6" s="66">
        <v>45</v>
      </c>
      <c r="AT6" s="66">
        <v>46</v>
      </c>
      <c r="AU6" s="66">
        <v>47</v>
      </c>
      <c r="AV6" s="66">
        <v>48</v>
      </c>
      <c r="AW6" s="66">
        <v>49</v>
      </c>
      <c r="AX6" s="66">
        <v>50</v>
      </c>
      <c r="AY6" s="66">
        <v>51</v>
      </c>
      <c r="AZ6" s="66">
        <v>52</v>
      </c>
      <c r="BA6" s="66">
        <v>53</v>
      </c>
      <c r="BB6" s="66">
        <v>54</v>
      </c>
      <c r="BC6" s="66">
        <v>55</v>
      </c>
      <c r="BD6" s="66">
        <v>56</v>
      </c>
      <c r="BE6" s="66">
        <v>57</v>
      </c>
      <c r="BF6" s="66">
        <v>58</v>
      </c>
      <c r="BG6" s="66">
        <v>59</v>
      </c>
      <c r="BH6" s="66">
        <v>60</v>
      </c>
      <c r="BI6" s="66">
        <v>61</v>
      </c>
      <c r="BJ6" s="66">
        <v>62</v>
      </c>
      <c r="BK6" s="66">
        <v>63</v>
      </c>
      <c r="BL6" s="66">
        <v>64</v>
      </c>
      <c r="BM6" t="s">
        <v>3321</v>
      </c>
    </row>
    <row r="7" spans="1:65" x14ac:dyDescent="0.25">
      <c r="A7" s="66">
        <v>1</v>
      </c>
      <c r="B7" s="66">
        <v>2</v>
      </c>
      <c r="C7" s="66">
        <v>3</v>
      </c>
      <c r="D7" s="66">
        <v>4</v>
      </c>
      <c r="E7" s="66">
        <v>5</v>
      </c>
      <c r="F7" s="66">
        <v>6</v>
      </c>
      <c r="G7" s="66">
        <v>7</v>
      </c>
      <c r="H7" s="66">
        <v>8</v>
      </c>
      <c r="I7" s="66">
        <v>9</v>
      </c>
      <c r="J7" s="66">
        <v>10</v>
      </c>
      <c r="K7" s="66">
        <v>11</v>
      </c>
      <c r="L7" s="66">
        <v>12</v>
      </c>
      <c r="M7" s="66">
        <v>13</v>
      </c>
      <c r="N7" s="66">
        <v>14</v>
      </c>
      <c r="O7" s="66">
        <v>15</v>
      </c>
      <c r="P7" s="66">
        <v>16</v>
      </c>
      <c r="Q7" s="66">
        <v>17</v>
      </c>
      <c r="R7" s="66">
        <v>18</v>
      </c>
      <c r="S7" s="66">
        <v>19</v>
      </c>
      <c r="T7" s="66">
        <v>20</v>
      </c>
      <c r="U7" s="66">
        <v>21</v>
      </c>
      <c r="V7" s="66">
        <v>22</v>
      </c>
      <c r="W7" s="66">
        <v>23</v>
      </c>
      <c r="X7" s="66">
        <v>24</v>
      </c>
      <c r="Y7" s="66">
        <v>25</v>
      </c>
      <c r="Z7" s="66">
        <v>26</v>
      </c>
      <c r="AA7" s="66">
        <v>27</v>
      </c>
      <c r="AB7" s="66">
        <v>28</v>
      </c>
      <c r="AC7" s="66">
        <v>29</v>
      </c>
      <c r="AD7" s="66">
        <v>30</v>
      </c>
      <c r="AE7" s="66">
        <v>31</v>
      </c>
      <c r="AF7" s="66">
        <v>32</v>
      </c>
      <c r="AG7" s="66">
        <v>33</v>
      </c>
      <c r="AH7" s="66">
        <v>34</v>
      </c>
      <c r="AI7" s="66">
        <v>35</v>
      </c>
      <c r="AJ7" s="66">
        <v>36</v>
      </c>
      <c r="AK7" s="66">
        <v>37</v>
      </c>
      <c r="AL7" s="66">
        <v>38</v>
      </c>
      <c r="AM7" s="66">
        <v>39</v>
      </c>
      <c r="AN7" s="66">
        <v>40</v>
      </c>
      <c r="AO7" s="66">
        <v>41</v>
      </c>
      <c r="AP7" s="66">
        <v>42</v>
      </c>
      <c r="AQ7" s="66">
        <v>43</v>
      </c>
      <c r="AR7" s="66">
        <v>44</v>
      </c>
      <c r="AS7" s="66">
        <v>45</v>
      </c>
      <c r="AT7" s="66">
        <v>46</v>
      </c>
      <c r="AU7" s="66">
        <v>47</v>
      </c>
      <c r="AV7" s="66">
        <v>48</v>
      </c>
      <c r="AW7" s="66">
        <v>49</v>
      </c>
      <c r="AX7" s="66">
        <v>50</v>
      </c>
      <c r="AY7" s="66">
        <v>51</v>
      </c>
      <c r="AZ7" s="66">
        <v>52</v>
      </c>
      <c r="BA7" s="66">
        <v>53</v>
      </c>
      <c r="BB7" s="66">
        <v>54</v>
      </c>
      <c r="BC7" s="66">
        <v>55</v>
      </c>
      <c r="BD7" s="66">
        <v>56</v>
      </c>
      <c r="BE7" s="66">
        <v>57</v>
      </c>
      <c r="BF7" s="66">
        <v>58</v>
      </c>
      <c r="BG7" s="66">
        <v>59</v>
      </c>
      <c r="BH7" s="66">
        <v>60</v>
      </c>
      <c r="BI7" s="66">
        <v>61</v>
      </c>
      <c r="BJ7" s="66">
        <v>62</v>
      </c>
      <c r="BK7" s="66">
        <v>63</v>
      </c>
      <c r="BL7" s="66">
        <v>64</v>
      </c>
      <c r="BM7" t="s">
        <v>3324</v>
      </c>
    </row>
    <row r="8" spans="1:65" x14ac:dyDescent="0.25">
      <c r="BL8">
        <f>64*5</f>
        <v>320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0"/>
  <sheetViews>
    <sheetView showGridLines="0" workbookViewId="0">
      <selection activeCell="M8" sqref="M8"/>
    </sheetView>
  </sheetViews>
  <sheetFormatPr baseColWidth="10" defaultColWidth="8.7265625" defaultRowHeight="14.5" x14ac:dyDescent="0.35"/>
  <cols>
    <col min="1" max="1" width="24" style="6" customWidth="1"/>
    <col min="2" max="2" width="12" style="6" customWidth="1"/>
    <col min="3" max="3" width="20" style="6" customWidth="1"/>
    <col min="4" max="4" width="3.81640625" style="6" bestFit="1" customWidth="1"/>
    <col min="5" max="5" width="16" style="6" customWidth="1"/>
    <col min="6" max="8" width="12" style="6" customWidth="1"/>
    <col min="9" max="10" width="14" customWidth="1"/>
    <col min="11" max="11" width="12" style="6" customWidth="1"/>
    <col min="12" max="12" width="26.81640625" bestFit="1" customWidth="1"/>
    <col min="13" max="13" width="14" customWidth="1"/>
  </cols>
  <sheetData>
    <row r="1" spans="1:13" ht="18" customHeight="1" x14ac:dyDescent="0.25">
      <c r="A1" s="85" t="s">
        <v>2822</v>
      </c>
      <c r="B1" s="86"/>
      <c r="C1" s="86"/>
      <c r="D1" s="86"/>
      <c r="E1" s="86"/>
      <c r="F1" s="86"/>
      <c r="G1" s="86"/>
      <c r="H1" s="86"/>
      <c r="I1" s="86"/>
      <c r="J1" s="86"/>
      <c r="K1" s="41"/>
      <c r="L1" s="46" t="s">
        <v>2823</v>
      </c>
      <c r="M1" s="41"/>
    </row>
    <row r="2" spans="1:13" ht="18" customHeight="1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2" t="s">
        <v>2824</v>
      </c>
      <c r="M2" s="41">
        <v>239</v>
      </c>
    </row>
    <row r="3" spans="1:13" ht="18" customHeight="1" x14ac:dyDescent="0.25">
      <c r="A3" s="39" t="s">
        <v>2825</v>
      </c>
      <c r="B3" s="39" t="s">
        <v>2826</v>
      </c>
      <c r="C3" s="39" t="s">
        <v>2827</v>
      </c>
      <c r="D3" s="40"/>
      <c r="E3" s="39" t="s">
        <v>4</v>
      </c>
      <c r="F3" s="39" t="s">
        <v>2828</v>
      </c>
      <c r="G3" s="39" t="s">
        <v>22</v>
      </c>
      <c r="H3" s="39" t="s">
        <v>71</v>
      </c>
      <c r="I3" s="39" t="s">
        <v>57</v>
      </c>
      <c r="J3" s="39" t="s">
        <v>13</v>
      </c>
      <c r="K3" s="41"/>
      <c r="L3" s="42" t="s">
        <v>2829</v>
      </c>
      <c r="M3" s="41">
        <v>155</v>
      </c>
    </row>
    <row r="4" spans="1:13" ht="18" customHeight="1" x14ac:dyDescent="0.25">
      <c r="A4" s="16" t="s">
        <v>2830</v>
      </c>
      <c r="B4" s="17">
        <f>COUNTA(MAESTRO!$F$2:$F$1220)</f>
        <v>714</v>
      </c>
      <c r="C4" s="16" t="s">
        <v>5</v>
      </c>
      <c r="D4" s="41"/>
      <c r="E4" s="35" t="s">
        <v>24</v>
      </c>
      <c r="F4" s="36">
        <f>COUNTIFS(MAESTRO!$F$2:$F$1220,"&lt;&gt;",MAESTRO!$N$2:$N$1220,E4)</f>
        <v>316</v>
      </c>
      <c r="G4" s="36">
        <f>COUNTIFS(MAESTRO!$F$2:$F$1220,"&lt;&gt;",MAESTRO!$N$2:$N$1220,E4,MAESTRO!$J$2:$J$1220,"SI")</f>
        <v>148</v>
      </c>
      <c r="H4" s="36">
        <f>COUNTIFS(MAESTRO!$F$2:$F$1220,"&lt;&gt;",MAESTRO!$N$2:$N$1220,E4,MAESTRO!$J$2:$J$1220,"NO")</f>
        <v>164</v>
      </c>
      <c r="I4" s="36">
        <f>F4-G4-H4</f>
        <v>4</v>
      </c>
      <c r="J4" s="36">
        <f>COUNTIFS(MAESTRO!$F$2:$F$1220,"&lt;&gt;",MAESTRO!$E$2:$E$1220,E4,MAESTRO!$O$2:$O$1220,"SI")</f>
        <v>145</v>
      </c>
      <c r="K4" s="41"/>
      <c r="L4" s="42" t="s">
        <v>2831</v>
      </c>
      <c r="M4" s="41">
        <v>155</v>
      </c>
    </row>
    <row r="5" spans="1:13" ht="18" customHeight="1" x14ac:dyDescent="0.25">
      <c r="A5" s="16" t="s">
        <v>2832</v>
      </c>
      <c r="B5" s="17">
        <f>COUNTIFS(MAESTRO!$F$2:$F$1220,"&lt;&gt;",MAESTRO!$J$2:$J$1220,"SI")</f>
        <v>445</v>
      </c>
      <c r="C5" s="16" t="s">
        <v>9</v>
      </c>
      <c r="D5" s="41"/>
      <c r="E5" s="16" t="s">
        <v>659</v>
      </c>
      <c r="F5" s="17">
        <f>COUNTIFS(MAESTRO!$F$2:$F$1220,"&lt;&gt;",MAESTRO!$N$2:$N$1220,E5)</f>
        <v>169</v>
      </c>
      <c r="G5" s="17">
        <f>COUNTIFS(MAESTRO!$F$2:$F$1220,"&lt;&gt;",MAESTRO!$N$2:$N$1220,E5,MAESTRO!$J$2:$J$1220,"SI")</f>
        <v>143</v>
      </c>
      <c r="H5" s="17">
        <f>COUNTIFS(MAESTRO!$F$2:$F$1220,"&lt;&gt;",MAESTRO!$N$2:$N$1220,E5,MAESTRO!$J$2:$J$1220,"NO")</f>
        <v>22</v>
      </c>
      <c r="I5" s="17">
        <f>F5-G5-H5</f>
        <v>4</v>
      </c>
      <c r="J5" s="17">
        <f>COUNTIFS(MAESTRO!$F$2:$F$1220,"&lt;&gt;",MAESTRO!$E$2:$E$1220,E5,MAESTRO!$O$2:$O$1220,"SI")</f>
        <v>0</v>
      </c>
      <c r="K5" s="41"/>
      <c r="L5" s="42" t="s">
        <v>2833</v>
      </c>
      <c r="M5" s="41">
        <v>84</v>
      </c>
    </row>
    <row r="6" spans="1:13" ht="18" customHeight="1" x14ac:dyDescent="0.25">
      <c r="A6" s="16" t="s">
        <v>2834</v>
      </c>
      <c r="B6" s="17">
        <f>COUNTIFS(MAESTRO!$F$2:$F$1220,"&lt;&gt;",MAESTRO!$J$2:$J$1220,"NO")</f>
        <v>258</v>
      </c>
      <c r="C6" s="16" t="s">
        <v>9</v>
      </c>
      <c r="D6" s="41"/>
      <c r="E6" s="35" t="s">
        <v>1257</v>
      </c>
      <c r="F6" s="36">
        <f>COUNTIFS(MAESTRO!$F$2:$F$1220,"&lt;&gt;",MAESTRO!$N$2:$N$1220,E6)</f>
        <v>190</v>
      </c>
      <c r="G6" s="36">
        <f>COUNTIFS(MAESTRO!$F$2:$F$1220,"&lt;&gt;",MAESTRO!$N$2:$N$1220,E6,MAESTRO!$J$2:$J$1220,"SI")</f>
        <v>145</v>
      </c>
      <c r="H6" s="36">
        <f>COUNTIFS(MAESTRO!$F$2:$F$1220,"&lt;&gt;",MAESTRO!$N$2:$N$1220,E6,MAESTRO!$J$2:$J$1220,"NO")</f>
        <v>42</v>
      </c>
      <c r="I6" s="36">
        <f>F6-G6-H6</f>
        <v>3</v>
      </c>
      <c r="J6" s="36">
        <f>COUNTIFS(MAESTRO!$F$2:$F$1220,"&lt;&gt;",MAESTRO!$E$2:$E$1220,E6,MAESTRO!$O$2:$O$1220,"SI")</f>
        <v>5</v>
      </c>
      <c r="K6" s="41"/>
      <c r="L6" s="41"/>
      <c r="M6" s="41"/>
    </row>
    <row r="7" spans="1:13" ht="18" customHeight="1" x14ac:dyDescent="0.25">
      <c r="A7" s="16" t="s">
        <v>2835</v>
      </c>
      <c r="B7" s="17">
        <f>B4-B5-B6</f>
        <v>11</v>
      </c>
      <c r="C7" s="16" t="s">
        <v>9</v>
      </c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ht="18" customHeight="1" x14ac:dyDescent="0.25">
      <c r="A8" s="16" t="s">
        <v>2836</v>
      </c>
      <c r="B8" s="17">
        <f>COUNTIFS(MAESTRO!$F$2:$F$1220,"&lt;&gt;",MAESTRO!$O$2:$O$1220,"SI")</f>
        <v>152</v>
      </c>
      <c r="C8" s="16" t="s">
        <v>2837</v>
      </c>
      <c r="D8" s="41"/>
      <c r="E8" s="41"/>
      <c r="F8" s="41"/>
      <c r="G8" s="41"/>
      <c r="H8" s="41"/>
      <c r="I8" s="41"/>
      <c r="J8" s="41"/>
      <c r="K8" s="41"/>
      <c r="L8" s="41"/>
      <c r="M8" s="41"/>
    </row>
    <row r="9" spans="1:13" ht="18" customHeight="1" x14ac:dyDescent="0.25">
      <c r="A9" s="16" t="s">
        <v>2838</v>
      </c>
      <c r="B9" s="17">
        <f>COUNTIFS(MAESTRO!$F$2:$F$1220,"&lt;&gt;",MAESTRO!$E$2:$E$1220,"VIP",MAESTRO!$O$2:$O$1220,"SI")</f>
        <v>145</v>
      </c>
      <c r="C9" s="16" t="s">
        <v>2839</v>
      </c>
      <c r="D9" s="41"/>
      <c r="E9" s="41"/>
      <c r="F9" s="41"/>
      <c r="G9" s="41"/>
      <c r="H9" s="41"/>
      <c r="I9" s="41"/>
      <c r="J9" s="41"/>
      <c r="K9" s="41"/>
      <c r="L9" s="41"/>
      <c r="M9" s="41"/>
    </row>
    <row r="10" spans="1:13" ht="18" customHeight="1" x14ac:dyDescent="0.25">
      <c r="A10" s="16" t="s">
        <v>2829</v>
      </c>
      <c r="B10" s="17">
        <f>149</f>
        <v>149</v>
      </c>
      <c r="C10" s="16" t="s">
        <v>2840</v>
      </c>
      <c r="D10" s="41"/>
      <c r="E10" s="41"/>
      <c r="F10" s="41"/>
      <c r="G10" s="41"/>
      <c r="H10" s="41"/>
      <c r="I10" s="41"/>
      <c r="J10" s="41"/>
      <c r="K10" s="41"/>
      <c r="L10" s="41"/>
      <c r="M10" s="41"/>
    </row>
    <row r="11" spans="1:13" ht="18" customHeight="1" x14ac:dyDescent="0.25">
      <c r="A11" s="16" t="s">
        <v>2841</v>
      </c>
      <c r="B11" s="17">
        <f>MAX(0,B9-B10)</f>
        <v>0</v>
      </c>
      <c r="C11" s="16" t="s">
        <v>2842</v>
      </c>
      <c r="D11" s="41"/>
      <c r="E11" s="41"/>
      <c r="F11" s="41"/>
      <c r="G11" s="41"/>
      <c r="H11" s="41"/>
      <c r="I11" s="41"/>
      <c r="J11" s="41"/>
      <c r="K11" s="41"/>
      <c r="L11" s="41"/>
      <c r="M11" s="41"/>
    </row>
    <row r="12" spans="1:13" ht="18" customHeight="1" x14ac:dyDescent="0.25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</row>
    <row r="13" spans="1:13" ht="18" customHeight="1" x14ac:dyDescent="0.25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 ht="18" customHeight="1" x14ac:dyDescent="0.25">
      <c r="A14" s="85" t="s">
        <v>2843</v>
      </c>
      <c r="B14" s="86"/>
      <c r="C14" s="86"/>
      <c r="D14" s="86"/>
      <c r="E14" s="86"/>
      <c r="F14" s="86"/>
      <c r="G14" s="86"/>
      <c r="H14" s="86"/>
      <c r="I14" s="86"/>
      <c r="J14" s="41"/>
      <c r="K14" s="41"/>
      <c r="L14" s="41"/>
      <c r="M14" s="41"/>
    </row>
    <row r="15" spans="1:13" ht="18" customHeight="1" x14ac:dyDescent="0.25">
      <c r="A15" s="39" t="s">
        <v>2</v>
      </c>
      <c r="B15" s="39" t="s">
        <v>2844</v>
      </c>
      <c r="C15" s="39" t="s">
        <v>22</v>
      </c>
      <c r="D15" s="39" t="s">
        <v>71</v>
      </c>
      <c r="E15" s="39" t="s">
        <v>57</v>
      </c>
      <c r="F15" s="39" t="s">
        <v>24</v>
      </c>
      <c r="G15" s="39" t="s">
        <v>659</v>
      </c>
      <c r="H15" s="39" t="s">
        <v>1257</v>
      </c>
      <c r="I15" s="39" t="s">
        <v>13</v>
      </c>
      <c r="J15" s="41"/>
      <c r="K15" s="41"/>
      <c r="L15" s="41"/>
      <c r="M15" s="41"/>
    </row>
    <row r="16" spans="1:13" ht="18" customHeight="1" x14ac:dyDescent="0.25">
      <c r="A16" s="35" t="s">
        <v>1134</v>
      </c>
      <c r="B16" s="36">
        <f>IF($A16="","",COUNTIFS(MAESTRO!$C$2:$C$1220,$A16,MAESTRO!$F$2:$F$1220,"&lt;&gt;"))</f>
        <v>24</v>
      </c>
      <c r="C16" s="36">
        <f>IF($A16="","",COUNTIFS(MAESTRO!$C$2:$C$1220,$A16,MAESTRO!$J$2:$J$1220,"SI",MAESTRO!$F$2:$F$1220,"&lt;&gt;"))</f>
        <v>14</v>
      </c>
      <c r="D16" s="36">
        <f>IF($A16="","",COUNTIFS(MAESTRO!$C$2:$C$1220,$A16,MAESTRO!$J$2:$J$1220,"NO",MAESTRO!$F$2:$F$1220,"&lt;&gt;"))</f>
        <v>6</v>
      </c>
      <c r="E16" s="36">
        <f t="shared" ref="E16:E47" si="0">IF($A16="","",B16-C16-D16)</f>
        <v>4</v>
      </c>
      <c r="F16" s="36">
        <f>IF($A16="","",COUNTIFS(MAESTRO!$C$2:$C$1220,$A16,MAESTRO!$N$2:$N$1220,"VIP",MAESTRO!$F$2:$F$1220,"&lt;&gt;"))</f>
        <v>13</v>
      </c>
      <c r="G16" s="36">
        <f>IF($A16="","",COUNTIFS(MAESTRO!$C$2:$C$1220,$A16,MAESTRO!$N$2:$N$1220,"LATERAL VIP",MAESTRO!$F$2:$F$1220,"&lt;&gt;"))</f>
        <v>10</v>
      </c>
      <c r="H16" s="36">
        <f>IF($A16="","",COUNTIFS(MAESTRO!$C$2:$C$1220,$A16,MAESTRO!$N$2:$N$1220,"LATERAL",MAESTRO!$F$2:$F$1220,"&lt;&gt;"))</f>
        <v>0</v>
      </c>
      <c r="I16" s="36">
        <f>IF($A16="","",COUNTIFS(MAESTRO!$C$2:$C$1220,$A16,MAESTRO!$O$2:$O$1220,"SI",MAESTRO!$F$2:$F$1220,"&lt;&gt;"))</f>
        <v>8</v>
      </c>
      <c r="J16" s="41"/>
      <c r="K16" s="41"/>
      <c r="L16" s="41"/>
      <c r="M16" s="41"/>
    </row>
    <row r="17" spans="1:13" ht="18" customHeight="1" x14ac:dyDescent="0.25">
      <c r="A17" s="16" t="s">
        <v>2845</v>
      </c>
      <c r="B17" s="17">
        <f>IF($A17="","",COUNTIFS(MAESTRO!$C$2:$C$1220,$A17,MAESTRO!$F$2:$F$1220,"&lt;&gt;"))</f>
        <v>0</v>
      </c>
      <c r="C17" s="17">
        <f>IF($A17="","",COUNTIFS(MAESTRO!$C$2:$C$1220,$A17,MAESTRO!$J$2:$J$1220,"SI",MAESTRO!$F$2:$F$1220,"&lt;&gt;"))</f>
        <v>0</v>
      </c>
      <c r="D17" s="17">
        <f>IF($A17="","",COUNTIFS(MAESTRO!$C$2:$C$1220,$A17,MAESTRO!$J$2:$J$1220,"NO",MAESTRO!$F$2:$F$1220,"&lt;&gt;"))</f>
        <v>0</v>
      </c>
      <c r="E17" s="17">
        <f t="shared" si="0"/>
        <v>0</v>
      </c>
      <c r="F17" s="17">
        <f>IF($A17="","",COUNTIFS(MAESTRO!$C$2:$C$1220,$A17,MAESTRO!$N$2:$N$1220,"VIP",MAESTRO!$F$2:$F$1220,"&lt;&gt;"))</f>
        <v>0</v>
      </c>
      <c r="G17" s="17">
        <f>IF($A17="","",COUNTIFS(MAESTRO!$C$2:$C$1220,$A17,MAESTRO!$N$2:$N$1220,"LATERAL VIP",MAESTRO!$F$2:$F$1220,"&lt;&gt;"))</f>
        <v>0</v>
      </c>
      <c r="H17" s="17">
        <f>IF($A17="","",COUNTIFS(MAESTRO!$C$2:$C$1220,$A17,MAESTRO!$N$2:$N$1220,"LATERAL",MAESTRO!$F$2:$F$1220,"&lt;&gt;"))</f>
        <v>0</v>
      </c>
      <c r="I17" s="17">
        <f>IF($A17="","",COUNTIFS(MAESTRO!$C$2:$C$1220,$A17,MAESTRO!$O$2:$O$1220,"SI",MAESTRO!$F$2:$F$1220,"&lt;&gt;"))</f>
        <v>0</v>
      </c>
      <c r="J17" s="41"/>
      <c r="K17" s="41"/>
      <c r="L17" s="41"/>
      <c r="M17" s="41"/>
    </row>
    <row r="18" spans="1:13" ht="18" customHeight="1" x14ac:dyDescent="0.25">
      <c r="A18" s="35" t="s">
        <v>2441</v>
      </c>
      <c r="B18" s="36">
        <f>IF($A18="","",COUNTIFS(MAESTRO!$C$2:$C$1220,$A18,MAESTRO!$F$2:$F$1220,"&lt;&gt;"))</f>
        <v>25</v>
      </c>
      <c r="C18" s="36">
        <f>IF($A18="","",COUNTIFS(MAESTRO!$C$2:$C$1220,$A18,MAESTRO!$J$2:$J$1220,"SI",MAESTRO!$F$2:$F$1220,"&lt;&gt;"))</f>
        <v>25</v>
      </c>
      <c r="D18" s="36">
        <f>IF($A18="","",COUNTIFS(MAESTRO!$C$2:$C$1220,$A18,MAESTRO!$J$2:$J$1220,"NO",MAESTRO!$F$2:$F$1220,"&lt;&gt;"))</f>
        <v>0</v>
      </c>
      <c r="E18" s="36">
        <f t="shared" si="0"/>
        <v>0</v>
      </c>
      <c r="F18" s="36">
        <f>IF($A18="","",COUNTIFS(MAESTRO!$C$2:$C$1220,$A18,MAESTRO!$N$2:$N$1220,"VIP",MAESTRO!$F$2:$F$1220,"&lt;&gt;"))</f>
        <v>1</v>
      </c>
      <c r="G18" s="36">
        <f>IF($A18="","",COUNTIFS(MAESTRO!$C$2:$C$1220,$A18,MAESTRO!$N$2:$N$1220,"LATERAL VIP",MAESTRO!$F$2:$F$1220,"&lt;&gt;"))</f>
        <v>11</v>
      </c>
      <c r="H18" s="36">
        <f>IF($A18="","",COUNTIFS(MAESTRO!$C$2:$C$1220,$A18,MAESTRO!$N$2:$N$1220,"LATERAL",MAESTRO!$F$2:$F$1220,"&lt;&gt;"))</f>
        <v>13</v>
      </c>
      <c r="I18" s="36">
        <f>IF($A18="","",COUNTIFS(MAESTRO!$C$2:$C$1220,$A18,MAESTRO!$O$2:$O$1220,"SI",MAESTRO!$F$2:$F$1220,"&lt;&gt;"))</f>
        <v>1</v>
      </c>
      <c r="J18" s="41"/>
      <c r="K18" s="41"/>
      <c r="L18" s="41"/>
      <c r="M18" s="41"/>
    </row>
    <row r="19" spans="1:13" ht="18" customHeight="1" x14ac:dyDescent="0.25">
      <c r="A19" s="16" t="s">
        <v>2801</v>
      </c>
      <c r="B19" s="17">
        <f>IF($A19="","",COUNTIFS(MAESTRO!$C$2:$C$1220,$A19,MAESTRO!$F$2:$F$1220,"&lt;&gt;"))</f>
        <v>8</v>
      </c>
      <c r="C19" s="17">
        <f>IF($A19="","",COUNTIFS(MAESTRO!$C$2:$C$1220,$A19,MAESTRO!$J$2:$J$1220,"SI",MAESTRO!$F$2:$F$1220,"&lt;&gt;"))</f>
        <v>8</v>
      </c>
      <c r="D19" s="17">
        <f>IF($A19="","",COUNTIFS(MAESTRO!$C$2:$C$1220,$A19,MAESTRO!$J$2:$J$1220,"NO",MAESTRO!$F$2:$F$1220,"&lt;&gt;"))</f>
        <v>0</v>
      </c>
      <c r="E19" s="17">
        <f t="shared" si="0"/>
        <v>0</v>
      </c>
      <c r="F19" s="17">
        <f>IF($A19="","",COUNTIFS(MAESTRO!$C$2:$C$1220,$A19,MAESTRO!$N$2:$N$1220,"VIP",MAESTRO!$F$2:$F$1220,"&lt;&gt;"))</f>
        <v>0</v>
      </c>
      <c r="G19" s="17">
        <f>IF($A19="","",COUNTIFS(MAESTRO!$C$2:$C$1220,$A19,MAESTRO!$N$2:$N$1220,"LATERAL VIP",MAESTRO!$F$2:$F$1220,"&lt;&gt;"))</f>
        <v>0</v>
      </c>
      <c r="H19" s="17">
        <f>IF($A19="","",COUNTIFS(MAESTRO!$C$2:$C$1220,$A19,MAESTRO!$N$2:$N$1220,"LATERAL",MAESTRO!$F$2:$F$1220,"&lt;&gt;"))</f>
        <v>8</v>
      </c>
      <c r="I19" s="17">
        <f>IF($A19="","",COUNTIFS(MAESTRO!$C$2:$C$1220,$A19,MAESTRO!$O$2:$O$1220,"SI",MAESTRO!$F$2:$F$1220,"&lt;&gt;"))</f>
        <v>0</v>
      </c>
      <c r="J19" s="41"/>
      <c r="K19" s="41"/>
      <c r="L19" s="41"/>
      <c r="M19" s="41"/>
    </row>
    <row r="20" spans="1:13" ht="18" customHeight="1" x14ac:dyDescent="0.25">
      <c r="A20" s="35" t="s">
        <v>2569</v>
      </c>
      <c r="B20" s="36">
        <f>IF($A20="","",COUNTIFS(MAESTRO!$C$2:$C$1220,$A20,MAESTRO!$F$2:$F$1220,"&lt;&gt;"))</f>
        <v>71</v>
      </c>
      <c r="C20" s="36">
        <f>IF($A20="","",COUNTIFS(MAESTRO!$C$2:$C$1220,$A20,MAESTRO!$J$2:$J$1220,"SI",MAESTRO!$F$2:$F$1220,"&lt;&gt;"))</f>
        <v>67</v>
      </c>
      <c r="D20" s="36">
        <f>IF($A20="","",COUNTIFS(MAESTRO!$C$2:$C$1220,$A20,MAESTRO!$J$2:$J$1220,"NO",MAESTRO!$F$2:$F$1220,"&lt;&gt;"))</f>
        <v>4</v>
      </c>
      <c r="E20" s="36">
        <f t="shared" si="0"/>
        <v>0</v>
      </c>
      <c r="F20" s="36">
        <f>IF($A20="","",COUNTIFS(MAESTRO!$C$2:$C$1220,$A20,MAESTRO!$N$2:$N$1220,"VIP",MAESTRO!$F$2:$F$1220,"&lt;&gt;"))</f>
        <v>0</v>
      </c>
      <c r="G20" s="36">
        <f>IF($A20="","",COUNTIFS(MAESTRO!$C$2:$C$1220,$A20,MAESTRO!$N$2:$N$1220,"LATERAL VIP",MAESTRO!$F$2:$F$1220,"&lt;&gt;"))</f>
        <v>1</v>
      </c>
      <c r="H20" s="36">
        <f>IF($A20="","",COUNTIFS(MAESTRO!$C$2:$C$1220,$A20,MAESTRO!$N$2:$N$1220,"LATERAL",MAESTRO!$F$2:$F$1220,"&lt;&gt;"))</f>
        <v>69</v>
      </c>
      <c r="I20" s="36">
        <f>IF($A20="","",COUNTIFS(MAESTRO!$C$2:$C$1220,$A20,MAESTRO!$O$2:$O$1220,"SI",MAESTRO!$F$2:$F$1220,"&lt;&gt;"))</f>
        <v>0</v>
      </c>
      <c r="J20" s="41"/>
      <c r="K20" s="41"/>
      <c r="L20" s="41"/>
      <c r="M20" s="41"/>
    </row>
    <row r="21" spans="1:13" ht="18" customHeight="1" x14ac:dyDescent="0.25">
      <c r="A21" s="16" t="s">
        <v>2532</v>
      </c>
      <c r="B21" s="17">
        <f>IF($A21="","",COUNTIFS(MAESTRO!$C$2:$C$1220,$A21,MAESTRO!$F$2:$F$1220,"&lt;&gt;"))</f>
        <v>11</v>
      </c>
      <c r="C21" s="17">
        <f>IF($A21="","",COUNTIFS(MAESTRO!$C$2:$C$1220,$A21,MAESTRO!$J$2:$J$1220,"SI",MAESTRO!$F$2:$F$1220,"&lt;&gt;"))</f>
        <v>11</v>
      </c>
      <c r="D21" s="17">
        <f>IF($A21="","",COUNTIFS(MAESTRO!$C$2:$C$1220,$A21,MAESTRO!$J$2:$J$1220,"NO",MAESTRO!$F$2:$F$1220,"&lt;&gt;"))</f>
        <v>0</v>
      </c>
      <c r="E21" s="17">
        <f t="shared" si="0"/>
        <v>0</v>
      </c>
      <c r="F21" s="17">
        <f>IF($A21="","",COUNTIFS(MAESTRO!$C$2:$C$1220,$A21,MAESTRO!$N$2:$N$1220,"VIP",MAESTRO!$F$2:$F$1220,"&lt;&gt;"))</f>
        <v>0</v>
      </c>
      <c r="G21" s="17">
        <f>IF($A21="","",COUNTIFS(MAESTRO!$C$2:$C$1220,$A21,MAESTRO!$N$2:$N$1220,"LATERAL VIP",MAESTRO!$F$2:$F$1220,"&lt;&gt;"))</f>
        <v>1</v>
      </c>
      <c r="H21" s="17">
        <f>IF($A21="","",COUNTIFS(MAESTRO!$C$2:$C$1220,$A21,MAESTRO!$N$2:$N$1220,"LATERAL",MAESTRO!$F$2:$F$1220,"&lt;&gt;"))</f>
        <v>10</v>
      </c>
      <c r="I21" s="17">
        <f>IF($A21="","",COUNTIFS(MAESTRO!$C$2:$C$1220,$A21,MAESTRO!$O$2:$O$1220,"SI",MAESTRO!$F$2:$F$1220,"&lt;&gt;"))</f>
        <v>0</v>
      </c>
      <c r="J21" s="41"/>
      <c r="K21" s="41"/>
      <c r="L21" s="41"/>
      <c r="M21" s="41"/>
    </row>
    <row r="22" spans="1:13" ht="18" customHeight="1" x14ac:dyDescent="0.25">
      <c r="A22" s="35" t="s">
        <v>1374</v>
      </c>
      <c r="B22" s="36">
        <f>IF($A22="","",COUNTIFS(MAESTRO!$C$2:$C$1220,$A22,MAESTRO!$F$2:$F$1220,"&lt;&gt;"))</f>
        <v>3</v>
      </c>
      <c r="C22" s="36">
        <f>IF($A22="","",COUNTIFS(MAESTRO!$C$2:$C$1220,$A22,MAESTRO!$J$2:$J$1220,"SI",MAESTRO!$F$2:$F$1220,"&lt;&gt;"))</f>
        <v>2</v>
      </c>
      <c r="D22" s="36">
        <f>IF($A22="","",COUNTIFS(MAESTRO!$C$2:$C$1220,$A22,MAESTRO!$J$2:$J$1220,"NO",MAESTRO!$F$2:$F$1220,"&lt;&gt;"))</f>
        <v>1</v>
      </c>
      <c r="E22" s="36">
        <f t="shared" si="0"/>
        <v>0</v>
      </c>
      <c r="F22" s="36">
        <f>IF($A22="","",COUNTIFS(MAESTRO!$C$2:$C$1220,$A22,MAESTRO!$N$2:$N$1220,"VIP",MAESTRO!$F$2:$F$1220,"&lt;&gt;"))</f>
        <v>1</v>
      </c>
      <c r="G22" s="36">
        <f>IF($A22="","",COUNTIFS(MAESTRO!$C$2:$C$1220,$A22,MAESTRO!$N$2:$N$1220,"LATERAL VIP",MAESTRO!$F$2:$F$1220,"&lt;&gt;"))</f>
        <v>1</v>
      </c>
      <c r="H22" s="36">
        <f>IF($A22="","",COUNTIFS(MAESTRO!$C$2:$C$1220,$A22,MAESTRO!$N$2:$N$1220,"LATERAL",MAESTRO!$F$2:$F$1220,"&lt;&gt;"))</f>
        <v>1</v>
      </c>
      <c r="I22" s="36">
        <f>IF($A22="","",COUNTIFS(MAESTRO!$C$2:$C$1220,$A22,MAESTRO!$O$2:$O$1220,"SI",MAESTRO!$F$2:$F$1220,"&lt;&gt;"))</f>
        <v>1</v>
      </c>
      <c r="J22" s="41"/>
      <c r="K22" s="41"/>
      <c r="L22" s="41"/>
      <c r="M22" s="41"/>
    </row>
    <row r="23" spans="1:13" ht="18" customHeight="1" x14ac:dyDescent="0.25">
      <c r="A23" s="16" t="s">
        <v>2846</v>
      </c>
      <c r="B23" s="17">
        <f>IF($A23="","",COUNTIFS(MAESTRO!$C$2:$C$1220,$A23,MAESTRO!$F$2:$F$1220,"&lt;&gt;"))</f>
        <v>0</v>
      </c>
      <c r="C23" s="17">
        <f>IF($A23="","",COUNTIFS(MAESTRO!$C$2:$C$1220,$A23,MAESTRO!$J$2:$J$1220,"SI",MAESTRO!$F$2:$F$1220,"&lt;&gt;"))</f>
        <v>0</v>
      </c>
      <c r="D23" s="17">
        <f>IF($A23="","",COUNTIFS(MAESTRO!$C$2:$C$1220,$A23,MAESTRO!$J$2:$J$1220,"NO",MAESTRO!$F$2:$F$1220,"&lt;&gt;"))</f>
        <v>0</v>
      </c>
      <c r="E23" s="17">
        <f t="shared" si="0"/>
        <v>0</v>
      </c>
      <c r="F23" s="17">
        <f>IF($A23="","",COUNTIFS(MAESTRO!$C$2:$C$1220,$A23,MAESTRO!$N$2:$N$1220,"VIP",MAESTRO!$F$2:$F$1220,"&lt;&gt;"))</f>
        <v>0</v>
      </c>
      <c r="G23" s="17">
        <f>IF($A23="","",COUNTIFS(MAESTRO!$C$2:$C$1220,$A23,MAESTRO!$N$2:$N$1220,"LATERAL VIP",MAESTRO!$F$2:$F$1220,"&lt;&gt;"))</f>
        <v>0</v>
      </c>
      <c r="H23" s="17">
        <f>IF($A23="","",COUNTIFS(MAESTRO!$C$2:$C$1220,$A23,MAESTRO!$N$2:$N$1220,"LATERAL",MAESTRO!$F$2:$F$1220,"&lt;&gt;"))</f>
        <v>0</v>
      </c>
      <c r="I23" s="17">
        <f>IF($A23="","",COUNTIFS(MAESTRO!$C$2:$C$1220,$A23,MAESTRO!$O$2:$O$1220,"SI",MAESTRO!$F$2:$F$1220,"&lt;&gt;"))</f>
        <v>0</v>
      </c>
      <c r="J23" s="41"/>
      <c r="K23" s="41"/>
      <c r="L23" s="41"/>
      <c r="M23" s="41"/>
    </row>
    <row r="24" spans="1:13" ht="18" customHeight="1" x14ac:dyDescent="0.25">
      <c r="A24" s="35" t="s">
        <v>1319</v>
      </c>
      <c r="B24" s="36">
        <f>IF($A24="","",COUNTIFS(MAESTRO!$C$2:$C$1220,$A24,MAESTRO!$F$2:$F$1220,"&lt;&gt;"))</f>
        <v>15</v>
      </c>
      <c r="C24" s="36">
        <f>IF($A24="","",COUNTIFS(MAESTRO!$C$2:$C$1220,$A24,MAESTRO!$J$2:$J$1220,"SI",MAESTRO!$F$2:$F$1220,"&lt;&gt;"))</f>
        <v>6</v>
      </c>
      <c r="D24" s="36">
        <f>IF($A24="","",COUNTIFS(MAESTRO!$C$2:$C$1220,$A24,MAESTRO!$J$2:$J$1220,"NO",MAESTRO!$F$2:$F$1220,"&lt;&gt;"))</f>
        <v>8</v>
      </c>
      <c r="E24" s="36">
        <f t="shared" si="0"/>
        <v>1</v>
      </c>
      <c r="F24" s="36">
        <f>IF($A24="","",COUNTIFS(MAESTRO!$C$2:$C$1220,$A24,MAESTRO!$N$2:$N$1220,"VIP",MAESTRO!$F$2:$F$1220,"&lt;&gt;"))</f>
        <v>3</v>
      </c>
      <c r="G24" s="36">
        <f>IF($A24="","",COUNTIFS(MAESTRO!$C$2:$C$1220,$A24,MAESTRO!$N$2:$N$1220,"LATERAL VIP",MAESTRO!$F$2:$F$1220,"&lt;&gt;"))</f>
        <v>7</v>
      </c>
      <c r="H24" s="36">
        <f>IF($A24="","",COUNTIFS(MAESTRO!$C$2:$C$1220,$A24,MAESTRO!$N$2:$N$1220,"LATERAL",MAESTRO!$F$2:$F$1220,"&lt;&gt;"))</f>
        <v>3</v>
      </c>
      <c r="I24" s="36">
        <f>IF($A24="","",COUNTIFS(MAESTRO!$C$2:$C$1220,$A24,MAESTRO!$O$2:$O$1220,"SI",MAESTRO!$F$2:$F$1220,"&lt;&gt;"))</f>
        <v>2</v>
      </c>
      <c r="J24" s="41"/>
      <c r="K24" s="41"/>
      <c r="L24" s="41"/>
      <c r="M24" s="41"/>
    </row>
    <row r="25" spans="1:13" ht="18" customHeight="1" x14ac:dyDescent="0.25">
      <c r="A25" s="16" t="s">
        <v>1225</v>
      </c>
      <c r="B25" s="17">
        <f>IF($A25="","",COUNTIFS(MAESTRO!$C$2:$C$1220,$A25,MAESTRO!$F$2:$F$1220,"&lt;&gt;"))</f>
        <v>29</v>
      </c>
      <c r="C25" s="17">
        <f>IF($A25="","",COUNTIFS(MAESTRO!$C$2:$C$1220,$A25,MAESTRO!$J$2:$J$1220,"SI",MAESTRO!$F$2:$F$1220,"&lt;&gt;"))</f>
        <v>15</v>
      </c>
      <c r="D25" s="17">
        <f>IF($A25="","",COUNTIFS(MAESTRO!$C$2:$C$1220,$A25,MAESTRO!$J$2:$J$1220,"NO",MAESTRO!$F$2:$F$1220,"&lt;&gt;"))</f>
        <v>14</v>
      </c>
      <c r="E25" s="17">
        <f t="shared" si="0"/>
        <v>0</v>
      </c>
      <c r="F25" s="17">
        <f>IF($A25="","",COUNTIFS(MAESTRO!$C$2:$C$1220,$A25,MAESTRO!$N$2:$N$1220,"VIP",MAESTRO!$F$2:$F$1220,"&lt;&gt;"))</f>
        <v>3</v>
      </c>
      <c r="G25" s="17">
        <f>IF($A25="","",COUNTIFS(MAESTRO!$C$2:$C$1220,$A25,MAESTRO!$N$2:$N$1220,"LATERAL VIP",MAESTRO!$F$2:$F$1220,"&lt;&gt;"))</f>
        <v>12</v>
      </c>
      <c r="H25" s="17">
        <f>IF($A25="","",COUNTIFS(MAESTRO!$C$2:$C$1220,$A25,MAESTRO!$N$2:$N$1220,"LATERAL",MAESTRO!$F$2:$F$1220,"&lt;&gt;"))</f>
        <v>5</v>
      </c>
      <c r="I25" s="17">
        <f>IF($A25="","",COUNTIFS(MAESTRO!$C$2:$C$1220,$A25,MAESTRO!$O$2:$O$1220,"SI",MAESTRO!$F$2:$F$1220,"&lt;&gt;"))</f>
        <v>0</v>
      </c>
      <c r="J25" s="41"/>
      <c r="K25" s="41"/>
      <c r="L25" s="41"/>
      <c r="M25" s="41"/>
    </row>
    <row r="26" spans="1:13" ht="18" customHeight="1" x14ac:dyDescent="0.25">
      <c r="A26" s="35" t="s">
        <v>1569</v>
      </c>
      <c r="B26" s="36">
        <f>IF($A26="","",COUNTIFS(MAESTRO!$C$2:$C$1220,$A26,MAESTRO!$F$2:$F$1220,"&lt;&gt;"))</f>
        <v>37</v>
      </c>
      <c r="C26" s="36">
        <f>IF($A26="","",COUNTIFS(MAESTRO!$C$2:$C$1220,$A26,MAESTRO!$J$2:$J$1220,"SI",MAESTRO!$F$2:$F$1220,"&lt;&gt;"))</f>
        <v>32</v>
      </c>
      <c r="D26" s="36">
        <f>IF($A26="","",COUNTIFS(MAESTRO!$C$2:$C$1220,$A26,MAESTRO!$J$2:$J$1220,"NO",MAESTRO!$F$2:$F$1220,"&lt;&gt;"))</f>
        <v>5</v>
      </c>
      <c r="E26" s="36">
        <f t="shared" si="0"/>
        <v>0</v>
      </c>
      <c r="F26" s="36">
        <f>IF($A26="","",COUNTIFS(MAESTRO!$C$2:$C$1220,$A26,MAESTRO!$N$2:$N$1220,"VIP",MAESTRO!$F$2:$F$1220,"&lt;&gt;"))</f>
        <v>0</v>
      </c>
      <c r="G26" s="36">
        <f>IF($A26="","",COUNTIFS(MAESTRO!$C$2:$C$1220,$A26,MAESTRO!$N$2:$N$1220,"LATERAL VIP",MAESTRO!$F$2:$F$1220,"&lt;&gt;"))</f>
        <v>10</v>
      </c>
      <c r="H26" s="36">
        <f>IF($A26="","",COUNTIFS(MAESTRO!$C$2:$C$1220,$A26,MAESTRO!$N$2:$N$1220,"LATERAL",MAESTRO!$F$2:$F$1220,"&lt;&gt;"))</f>
        <v>27</v>
      </c>
      <c r="I26" s="36">
        <f>IF($A26="","",COUNTIFS(MAESTRO!$C$2:$C$1220,$A26,MAESTRO!$O$2:$O$1220,"SI",MAESTRO!$F$2:$F$1220,"&lt;&gt;"))</f>
        <v>0</v>
      </c>
      <c r="J26" s="41"/>
      <c r="K26" s="41"/>
      <c r="L26" s="41"/>
      <c r="M26" s="41"/>
    </row>
    <row r="27" spans="1:13" ht="18" customHeight="1" x14ac:dyDescent="0.25">
      <c r="A27" s="16" t="s">
        <v>1389</v>
      </c>
      <c r="B27" s="17">
        <f>IF($A27="","",COUNTIFS(MAESTRO!$C$2:$C$1220,$A27,MAESTRO!$F$2:$F$1220,"&lt;&gt;"))</f>
        <v>46</v>
      </c>
      <c r="C27" s="17">
        <f>IF($A27="","",COUNTIFS(MAESTRO!$C$2:$C$1220,$A27,MAESTRO!$J$2:$J$1220,"SI",MAESTRO!$F$2:$F$1220,"&lt;&gt;"))</f>
        <v>29</v>
      </c>
      <c r="D27" s="17">
        <f>IF($A27="","",COUNTIFS(MAESTRO!$C$2:$C$1220,$A27,MAESTRO!$J$2:$J$1220,"NO",MAESTRO!$F$2:$F$1220,"&lt;&gt;"))</f>
        <v>17</v>
      </c>
      <c r="E27" s="17">
        <f t="shared" si="0"/>
        <v>0</v>
      </c>
      <c r="F27" s="17">
        <f>IF($A27="","",COUNTIFS(MAESTRO!$C$2:$C$1220,$A27,MAESTRO!$N$2:$N$1220,"VIP",MAESTRO!$F$2:$F$1220,"&lt;&gt;"))</f>
        <v>7</v>
      </c>
      <c r="G27" s="17">
        <f>IF($A27="","",COUNTIFS(MAESTRO!$C$2:$C$1220,$A27,MAESTRO!$N$2:$N$1220,"LATERAL VIP",MAESTRO!$F$2:$F$1220,"&lt;&gt;"))</f>
        <v>31</v>
      </c>
      <c r="H27" s="17">
        <f>IF($A27="","",COUNTIFS(MAESTRO!$C$2:$C$1220,$A27,MAESTRO!$N$2:$N$1220,"LATERAL",MAESTRO!$F$2:$F$1220,"&lt;&gt;"))</f>
        <v>5</v>
      </c>
      <c r="I27" s="17">
        <f>IF($A27="","",COUNTIFS(MAESTRO!$C$2:$C$1220,$A27,MAESTRO!$O$2:$O$1220,"SI",MAESTRO!$F$2:$F$1220,"&lt;&gt;"))</f>
        <v>7</v>
      </c>
      <c r="J27" s="41"/>
      <c r="K27" s="41"/>
      <c r="L27" s="41"/>
      <c r="M27" s="41"/>
    </row>
    <row r="28" spans="1:13" ht="18" customHeight="1" x14ac:dyDescent="0.25">
      <c r="A28" s="35" t="s">
        <v>16</v>
      </c>
      <c r="B28" s="36">
        <f>IF($A28="","",COUNTIFS(MAESTRO!$C$2:$C$1220,$A28,MAESTRO!$F$2:$F$1220,"&lt;&gt;"))</f>
        <v>176</v>
      </c>
      <c r="C28" s="36">
        <f>IF($A28="","",COUNTIFS(MAESTRO!$C$2:$C$1220,$A28,MAESTRO!$J$2:$J$1220,"SI",MAESTRO!$F$2:$F$1220,"&lt;&gt;"))</f>
        <v>64</v>
      </c>
      <c r="D28" s="36">
        <f>IF($A28="","",COUNTIFS(MAESTRO!$C$2:$C$1220,$A28,MAESTRO!$J$2:$J$1220,"NO",MAESTRO!$F$2:$F$1220,"&lt;&gt;"))</f>
        <v>111</v>
      </c>
      <c r="E28" s="36">
        <f t="shared" si="0"/>
        <v>1</v>
      </c>
      <c r="F28" s="36">
        <f>IF($A28="","",COUNTIFS(MAESTRO!$C$2:$C$1220,$A28,MAESTRO!$N$2:$N$1220,"VIP",MAESTRO!$F$2:$F$1220,"&lt;&gt;"))</f>
        <v>166</v>
      </c>
      <c r="G28" s="36">
        <f>IF($A28="","",COUNTIFS(MAESTRO!$C$2:$C$1220,$A28,MAESTRO!$N$2:$N$1220,"LATERAL VIP",MAESTRO!$F$2:$F$1220,"&lt;&gt;"))</f>
        <v>9</v>
      </c>
      <c r="H28" s="36">
        <f>IF($A28="","",COUNTIFS(MAESTRO!$C$2:$C$1220,$A28,MAESTRO!$N$2:$N$1220,"LATERAL",MAESTRO!$F$2:$F$1220,"&lt;&gt;"))</f>
        <v>0</v>
      </c>
      <c r="I28" s="36">
        <f>IF($A28="","",COUNTIFS(MAESTRO!$C$2:$C$1220,$A28,MAESTRO!$O$2:$O$1220,"SI",MAESTRO!$F$2:$F$1220,"&lt;&gt;"))</f>
        <v>56</v>
      </c>
      <c r="J28" s="41"/>
      <c r="K28" s="41"/>
      <c r="L28" s="41"/>
      <c r="M28" s="41"/>
    </row>
    <row r="29" spans="1:13" ht="18" customHeight="1" x14ac:dyDescent="0.25">
      <c r="A29" s="16" t="s">
        <v>840</v>
      </c>
      <c r="B29" s="17">
        <f>IF($A29="","",COUNTIFS(MAESTRO!$C$2:$C$1220,$A29,MAESTRO!$F$2:$F$1220,"&lt;&gt;"))</f>
        <v>11</v>
      </c>
      <c r="C29" s="17">
        <f>IF($A29="","",COUNTIFS(MAESTRO!$C$2:$C$1220,$A29,MAESTRO!$J$2:$J$1220,"SI",MAESTRO!$F$2:$F$1220,"&lt;&gt;"))</f>
        <v>5</v>
      </c>
      <c r="D29" s="17">
        <f>IF($A29="","",COUNTIFS(MAESTRO!$C$2:$C$1220,$A29,MAESTRO!$J$2:$J$1220,"NO",MAESTRO!$F$2:$F$1220,"&lt;&gt;"))</f>
        <v>6</v>
      </c>
      <c r="E29" s="17">
        <f t="shared" si="0"/>
        <v>0</v>
      </c>
      <c r="F29" s="17">
        <f>IF($A29="","",COUNTIFS(MAESTRO!$C$2:$C$1220,$A29,MAESTRO!$N$2:$N$1220,"VIP",MAESTRO!$F$2:$F$1220,"&lt;&gt;"))</f>
        <v>10</v>
      </c>
      <c r="G29" s="17">
        <f>IF($A29="","",COUNTIFS(MAESTRO!$C$2:$C$1220,$A29,MAESTRO!$N$2:$N$1220,"LATERAL VIP",MAESTRO!$F$2:$F$1220,"&lt;&gt;"))</f>
        <v>0</v>
      </c>
      <c r="H29" s="17">
        <f>IF($A29="","",COUNTIFS(MAESTRO!$C$2:$C$1220,$A29,MAESTRO!$N$2:$N$1220,"LATERAL",MAESTRO!$F$2:$F$1220,"&lt;&gt;"))</f>
        <v>0</v>
      </c>
      <c r="I29" s="17">
        <f>IF($A29="","",COUNTIFS(MAESTRO!$C$2:$C$1220,$A29,MAESTRO!$O$2:$O$1220,"SI",MAESTRO!$F$2:$F$1220,"&lt;&gt;"))</f>
        <v>5</v>
      </c>
      <c r="J29" s="41"/>
      <c r="K29" s="41"/>
      <c r="L29" s="41"/>
      <c r="M29" s="41"/>
    </row>
    <row r="30" spans="1:13" ht="18" customHeight="1" x14ac:dyDescent="0.25">
      <c r="A30" s="35" t="s">
        <v>938</v>
      </c>
      <c r="B30" s="36">
        <f>IF($A30="","",COUNTIFS(MAESTRO!$C$2:$C$1220,$A30,MAESTRO!$F$2:$F$1220,"&lt;&gt;"))</f>
        <v>15</v>
      </c>
      <c r="C30" s="36">
        <f>IF($A30="","",COUNTIFS(MAESTRO!$C$2:$C$1220,$A30,MAESTRO!$J$2:$J$1220,"SI",MAESTRO!$F$2:$F$1220,"&lt;&gt;"))</f>
        <v>11</v>
      </c>
      <c r="D30" s="36">
        <f>IF($A30="","",COUNTIFS(MAESTRO!$C$2:$C$1220,$A30,MAESTRO!$J$2:$J$1220,"NO",MAESTRO!$F$2:$F$1220,"&lt;&gt;"))</f>
        <v>3</v>
      </c>
      <c r="E30" s="36">
        <f t="shared" si="0"/>
        <v>1</v>
      </c>
      <c r="F30" s="36">
        <f>IF($A30="","",COUNTIFS(MAESTRO!$C$2:$C$1220,$A30,MAESTRO!$N$2:$N$1220,"VIP",MAESTRO!$F$2:$F$1220,"&lt;&gt;"))</f>
        <v>15</v>
      </c>
      <c r="G30" s="36">
        <f>IF($A30="","",COUNTIFS(MAESTRO!$C$2:$C$1220,$A30,MAESTRO!$N$2:$N$1220,"LATERAL VIP",MAESTRO!$F$2:$F$1220,"&lt;&gt;"))</f>
        <v>0</v>
      </c>
      <c r="H30" s="36">
        <f>IF($A30="","",COUNTIFS(MAESTRO!$C$2:$C$1220,$A30,MAESTRO!$N$2:$N$1220,"LATERAL",MAESTRO!$F$2:$F$1220,"&lt;&gt;"))</f>
        <v>0</v>
      </c>
      <c r="I30" s="36">
        <f>IF($A30="","",COUNTIFS(MAESTRO!$C$2:$C$1220,$A30,MAESTRO!$O$2:$O$1220,"SI",MAESTRO!$F$2:$F$1220,"&lt;&gt;"))</f>
        <v>12</v>
      </c>
      <c r="J30" s="41"/>
      <c r="K30" s="41"/>
      <c r="L30" s="41"/>
      <c r="M30" s="41"/>
    </row>
    <row r="31" spans="1:13" ht="18" customHeight="1" x14ac:dyDescent="0.25">
      <c r="A31" s="16" t="s">
        <v>903</v>
      </c>
      <c r="B31" s="17">
        <f>IF($A31="","",COUNTIFS(MAESTRO!$C$2:$C$1220,$A31,MAESTRO!$F$2:$F$1220,"&lt;&gt;"))</f>
        <v>7</v>
      </c>
      <c r="C31" s="17">
        <f>IF($A31="","",COUNTIFS(MAESTRO!$C$2:$C$1220,$A31,MAESTRO!$J$2:$J$1220,"SI",MAESTRO!$F$2:$F$1220,"&lt;&gt;"))</f>
        <v>3</v>
      </c>
      <c r="D31" s="17">
        <f>IF($A31="","",COUNTIFS(MAESTRO!$C$2:$C$1220,$A31,MAESTRO!$J$2:$J$1220,"NO",MAESTRO!$F$2:$F$1220,"&lt;&gt;"))</f>
        <v>3</v>
      </c>
      <c r="E31" s="17">
        <f t="shared" si="0"/>
        <v>1</v>
      </c>
      <c r="F31" s="17">
        <f>IF($A31="","",COUNTIFS(MAESTRO!$C$2:$C$1220,$A31,MAESTRO!$N$2:$N$1220,"VIP",MAESTRO!$F$2:$F$1220,"&lt;&gt;"))</f>
        <v>7</v>
      </c>
      <c r="G31" s="17">
        <f>IF($A31="","",COUNTIFS(MAESTRO!$C$2:$C$1220,$A31,MAESTRO!$N$2:$N$1220,"LATERAL VIP",MAESTRO!$F$2:$F$1220,"&lt;&gt;"))</f>
        <v>0</v>
      </c>
      <c r="H31" s="17">
        <f>IF($A31="","",COUNTIFS(MAESTRO!$C$2:$C$1220,$A31,MAESTRO!$N$2:$N$1220,"LATERAL",MAESTRO!$F$2:$F$1220,"&lt;&gt;"))</f>
        <v>0</v>
      </c>
      <c r="I31" s="17">
        <f>IF($A31="","",COUNTIFS(MAESTRO!$C$2:$C$1220,$A31,MAESTRO!$O$2:$O$1220,"SI",MAESTRO!$F$2:$F$1220,"&lt;&gt;"))</f>
        <v>4</v>
      </c>
      <c r="J31" s="41"/>
      <c r="K31" s="41"/>
      <c r="L31" s="41"/>
      <c r="M31" s="41"/>
    </row>
    <row r="32" spans="1:13" ht="18" customHeight="1" x14ac:dyDescent="0.25">
      <c r="A32" s="35" t="s">
        <v>1013</v>
      </c>
      <c r="B32" s="36">
        <f>IF($A32="","",COUNTIFS(MAESTRO!$C$2:$C$1220,$A32,MAESTRO!$F$2:$F$1220,"&lt;&gt;"))</f>
        <v>24</v>
      </c>
      <c r="C32" s="36">
        <f>IF($A32="","",COUNTIFS(MAESTRO!$C$2:$C$1220,$A32,MAESTRO!$J$2:$J$1220,"SI",MAESTRO!$F$2:$F$1220,"&lt;&gt;"))</f>
        <v>22</v>
      </c>
      <c r="D32" s="36">
        <f>IF($A32="","",COUNTIFS(MAESTRO!$C$2:$C$1220,$A32,MAESTRO!$J$2:$J$1220,"NO",MAESTRO!$F$2:$F$1220,"&lt;&gt;"))</f>
        <v>2</v>
      </c>
      <c r="E32" s="36">
        <f t="shared" si="0"/>
        <v>0</v>
      </c>
      <c r="F32" s="36">
        <f>IF($A32="","",COUNTIFS(MAESTRO!$C$2:$C$1220,$A32,MAESTRO!$N$2:$N$1220,"VIP",MAESTRO!$F$2:$F$1220,"&lt;&gt;"))</f>
        <v>24</v>
      </c>
      <c r="G32" s="36">
        <f>IF($A32="","",COUNTIFS(MAESTRO!$C$2:$C$1220,$A32,MAESTRO!$N$2:$N$1220,"LATERAL VIP",MAESTRO!$F$2:$F$1220,"&lt;&gt;"))</f>
        <v>0</v>
      </c>
      <c r="H32" s="36">
        <f>IF($A32="","",COUNTIFS(MAESTRO!$C$2:$C$1220,$A32,MAESTRO!$N$2:$N$1220,"LATERAL",MAESTRO!$F$2:$F$1220,"&lt;&gt;"))</f>
        <v>0</v>
      </c>
      <c r="I32" s="36">
        <f>IF($A32="","",COUNTIFS(MAESTRO!$C$2:$C$1220,$A32,MAESTRO!$O$2:$O$1220,"SI",MAESTRO!$F$2:$F$1220,"&lt;&gt;"))</f>
        <v>22</v>
      </c>
      <c r="J32" s="41"/>
      <c r="K32" s="41"/>
      <c r="L32" s="41"/>
      <c r="M32" s="41"/>
    </row>
    <row r="33" spans="1:13" ht="18" customHeight="1" x14ac:dyDescent="0.25">
      <c r="A33" s="16" t="s">
        <v>1737</v>
      </c>
      <c r="B33" s="17">
        <f>IF($A33="","",COUNTIFS(MAESTRO!$C$2:$C$1220,$A33,MAESTRO!$F$2:$F$1220,"&lt;&gt;"))</f>
        <v>8</v>
      </c>
      <c r="C33" s="17">
        <f>IF($A33="","",COUNTIFS(MAESTRO!$C$2:$C$1220,$A33,MAESTRO!$J$2:$J$1220,"SI",MAESTRO!$F$2:$F$1220,"&lt;&gt;"))</f>
        <v>8</v>
      </c>
      <c r="D33" s="17">
        <f>IF($A33="","",COUNTIFS(MAESTRO!$C$2:$C$1220,$A33,MAESTRO!$J$2:$J$1220,"NO",MAESTRO!$F$2:$F$1220,"&lt;&gt;"))</f>
        <v>0</v>
      </c>
      <c r="E33" s="17">
        <f t="shared" si="0"/>
        <v>0</v>
      </c>
      <c r="F33" s="17">
        <f>IF($A33="","",COUNTIFS(MAESTRO!$C$2:$C$1220,$A33,MAESTRO!$N$2:$N$1220,"VIP",MAESTRO!$F$2:$F$1220,"&lt;&gt;"))</f>
        <v>0</v>
      </c>
      <c r="G33" s="17">
        <f>IF($A33="","",COUNTIFS(MAESTRO!$C$2:$C$1220,$A33,MAESTRO!$N$2:$N$1220,"LATERAL VIP",MAESTRO!$F$2:$F$1220,"&lt;&gt;"))</f>
        <v>8</v>
      </c>
      <c r="H33" s="17">
        <f>IF($A33="","",COUNTIFS(MAESTRO!$C$2:$C$1220,$A33,MAESTRO!$N$2:$N$1220,"LATERAL",MAESTRO!$F$2:$F$1220,"&lt;&gt;"))</f>
        <v>0</v>
      </c>
      <c r="I33" s="17">
        <f>IF($A33="","",COUNTIFS(MAESTRO!$C$2:$C$1220,$A33,MAESTRO!$O$2:$O$1220,"SI",MAESTRO!$F$2:$F$1220,"&lt;&gt;"))</f>
        <v>0</v>
      </c>
      <c r="J33" s="41"/>
      <c r="K33" s="41"/>
      <c r="L33" s="41"/>
      <c r="M33" s="41"/>
    </row>
    <row r="34" spans="1:13" ht="18" customHeight="1" x14ac:dyDescent="0.25">
      <c r="A34" s="35" t="s">
        <v>2162</v>
      </c>
      <c r="B34" s="36">
        <f>IF($A34="","",COUNTIFS(MAESTRO!$C$2:$C$1220,$A34,MAESTRO!$F$2:$F$1220,"&lt;&gt;"))</f>
        <v>82</v>
      </c>
      <c r="C34" s="36">
        <f>IF($A34="","",COUNTIFS(MAESTRO!$C$2:$C$1220,$A34,MAESTRO!$J$2:$J$1220,"SI",MAESTRO!$F$2:$F$1220,"&lt;&gt;"))</f>
        <v>46</v>
      </c>
      <c r="D34" s="36">
        <f>IF($A34="","",COUNTIFS(MAESTRO!$C$2:$C$1220,$A34,MAESTRO!$J$2:$J$1220,"NO",MAESTRO!$F$2:$F$1220,"&lt;&gt;"))</f>
        <v>35</v>
      </c>
      <c r="E34" s="36">
        <f t="shared" si="0"/>
        <v>1</v>
      </c>
      <c r="F34" s="36">
        <f>IF($A34="","",COUNTIFS(MAESTRO!$C$2:$C$1220,$A34,MAESTRO!$N$2:$N$1220,"VIP",MAESTRO!$F$2:$F$1220,"&lt;&gt;"))</f>
        <v>41</v>
      </c>
      <c r="G34" s="36">
        <f>IF($A34="","",COUNTIFS(MAESTRO!$C$2:$C$1220,$A34,MAESTRO!$N$2:$N$1220,"LATERAL VIP",MAESTRO!$F$2:$F$1220,"&lt;&gt;"))</f>
        <v>25</v>
      </c>
      <c r="H34" s="36">
        <f>IF($A34="","",COUNTIFS(MAESTRO!$C$2:$C$1220,$A34,MAESTRO!$N$2:$N$1220,"LATERAL",MAESTRO!$F$2:$F$1220,"&lt;&gt;"))</f>
        <v>7</v>
      </c>
      <c r="I34" s="36">
        <f>IF($A34="","",COUNTIFS(MAESTRO!$C$2:$C$1220,$A34,MAESTRO!$O$2:$O$1220,"SI",MAESTRO!$F$2:$F$1220,"&lt;&gt;"))</f>
        <v>19</v>
      </c>
      <c r="J34" s="41"/>
      <c r="K34" s="41"/>
      <c r="L34" s="41"/>
      <c r="M34" s="41"/>
    </row>
    <row r="35" spans="1:13" ht="18" customHeight="1" x14ac:dyDescent="0.25">
      <c r="A35" s="41"/>
      <c r="B35" s="41" t="str">
        <f>IF($A35="","",COUNTIFS(MAESTRO!$C$2:$C$1220,$A35,MAESTRO!$F$2:$F$1220,"&lt;&gt;"))</f>
        <v/>
      </c>
      <c r="C35" s="41" t="str">
        <f>IF($A35="","",COUNTIFS(MAESTRO!$C$2:$C$1220,$A35,MAESTRO!$J$2:$J$1220,"SI",MAESTRO!$F$2:$F$1220,"&lt;&gt;"))</f>
        <v/>
      </c>
      <c r="D35" s="41" t="str">
        <f>IF($A35="","",COUNTIFS(MAESTRO!$C$2:$C$1220,$A35,MAESTRO!$J$2:$J$1220,"NO",MAESTRO!$F$2:$F$1220,"&lt;&gt;"))</f>
        <v/>
      </c>
      <c r="E35" s="41" t="str">
        <f t="shared" si="0"/>
        <v/>
      </c>
      <c r="F35" s="41" t="str">
        <f>IF($A35="","",COUNTIFS(MAESTRO!$C$2:$C$1220,$A35,MAESTRO!$N$2:$N$1220,"VIP",MAESTRO!$F$2:$F$1220,"&lt;&gt;"))</f>
        <v/>
      </c>
      <c r="G35" s="41" t="str">
        <f>IF($A35="","",COUNTIFS(MAESTRO!$C$2:$C$1220,$A35,MAESTRO!$N$2:$N$1220,"LATERAL VIP",MAESTRO!$F$2:$F$1220,"&lt;&gt;"))</f>
        <v/>
      </c>
      <c r="H35" s="41" t="str">
        <f>IF($A35="","",COUNTIFS(MAESTRO!$C$2:$C$1220,$A35,MAESTRO!$N$2:$N$1220,"LATERAL",MAESTRO!$F$2:$F$1220,"&lt;&gt;"))</f>
        <v/>
      </c>
      <c r="I35" s="41" t="str">
        <f>IF($A35="","",COUNTIFS(MAESTRO!$C$2:$C$1220,$A35,MAESTRO!$O$2:$O$1220,"SI",MAESTRO!$F$2:$F$1220,"&lt;&gt;"))</f>
        <v/>
      </c>
      <c r="J35" s="41"/>
      <c r="K35" s="41"/>
      <c r="L35" s="41"/>
      <c r="M35" s="41"/>
    </row>
    <row r="36" spans="1:13" ht="18" customHeight="1" x14ac:dyDescent="0.25">
      <c r="A36" s="41"/>
      <c r="B36" s="41" t="str">
        <f>IF($A36="","",COUNTIFS(MAESTRO!$C$2:$C$1220,$A36,MAESTRO!$F$2:$F$1220,"&lt;&gt;"))</f>
        <v/>
      </c>
      <c r="C36" s="41" t="str">
        <f>IF($A36="","",COUNTIFS(MAESTRO!$C$2:$C$1220,$A36,MAESTRO!$J$2:$J$1220,"SI",MAESTRO!$F$2:$F$1220,"&lt;&gt;"))</f>
        <v/>
      </c>
      <c r="D36" s="41" t="str">
        <f>IF($A36="","",COUNTIFS(MAESTRO!$C$2:$C$1220,$A36,MAESTRO!$J$2:$J$1220,"NO",MAESTRO!$F$2:$F$1220,"&lt;&gt;"))</f>
        <v/>
      </c>
      <c r="E36" s="41" t="str">
        <f t="shared" si="0"/>
        <v/>
      </c>
      <c r="F36" s="41" t="str">
        <f>IF($A36="","",COUNTIFS(MAESTRO!$C$2:$C$1220,$A36,MAESTRO!$N$2:$N$1220,"VIP",MAESTRO!$F$2:$F$1220,"&lt;&gt;"))</f>
        <v/>
      </c>
      <c r="G36" s="41" t="str">
        <f>IF($A36="","",COUNTIFS(MAESTRO!$C$2:$C$1220,$A36,MAESTRO!$N$2:$N$1220,"LATERAL VIP",MAESTRO!$F$2:$F$1220,"&lt;&gt;"))</f>
        <v/>
      </c>
      <c r="H36" s="41" t="str">
        <f>IF($A36="","",COUNTIFS(MAESTRO!$C$2:$C$1220,$A36,MAESTRO!$N$2:$N$1220,"LATERAL",MAESTRO!$F$2:$F$1220,"&lt;&gt;"))</f>
        <v/>
      </c>
      <c r="I36" s="41" t="str">
        <f>IF($A36="","",COUNTIFS(MAESTRO!$C$2:$C$1220,$A36,MAESTRO!$O$2:$O$1220,"SI",MAESTRO!$F$2:$F$1220,"&lt;&gt;"))</f>
        <v/>
      </c>
      <c r="J36" s="41"/>
      <c r="K36" s="41"/>
      <c r="L36" s="41"/>
      <c r="M36" s="41"/>
    </row>
    <row r="37" spans="1:13" ht="18" customHeight="1" x14ac:dyDescent="0.25">
      <c r="A37" s="41"/>
      <c r="B37" s="41" t="str">
        <f>IF($A37="","",COUNTIFS(MAESTRO!$C$2:$C$1220,$A37,MAESTRO!$F$2:$F$1220,"&lt;&gt;"))</f>
        <v/>
      </c>
      <c r="C37" s="41" t="str">
        <f>IF($A37="","",COUNTIFS(MAESTRO!$C$2:$C$1220,$A37,MAESTRO!$J$2:$J$1220,"SI",MAESTRO!$F$2:$F$1220,"&lt;&gt;"))</f>
        <v/>
      </c>
      <c r="D37" s="41" t="str">
        <f>IF($A37="","",COUNTIFS(MAESTRO!$C$2:$C$1220,$A37,MAESTRO!$J$2:$J$1220,"NO",MAESTRO!$F$2:$F$1220,"&lt;&gt;"))</f>
        <v/>
      </c>
      <c r="E37" s="41" t="str">
        <f t="shared" si="0"/>
        <v/>
      </c>
      <c r="F37" s="41" t="str">
        <f>IF($A37="","",COUNTIFS(MAESTRO!$C$2:$C$1220,$A37,MAESTRO!$N$2:$N$1220,"VIP",MAESTRO!$F$2:$F$1220,"&lt;&gt;"))</f>
        <v/>
      </c>
      <c r="G37" s="41" t="str">
        <f>IF($A37="","",COUNTIFS(MAESTRO!$C$2:$C$1220,$A37,MAESTRO!$N$2:$N$1220,"LATERAL VIP",MAESTRO!$F$2:$F$1220,"&lt;&gt;"))</f>
        <v/>
      </c>
      <c r="H37" s="41" t="str">
        <f>IF($A37="","",COUNTIFS(MAESTRO!$C$2:$C$1220,$A37,MAESTRO!$N$2:$N$1220,"LATERAL",MAESTRO!$F$2:$F$1220,"&lt;&gt;"))</f>
        <v/>
      </c>
      <c r="I37" s="41" t="str">
        <f>IF($A37="","",COUNTIFS(MAESTRO!$C$2:$C$1220,$A37,MAESTRO!$O$2:$O$1220,"SI",MAESTRO!$F$2:$F$1220,"&lt;&gt;"))</f>
        <v/>
      </c>
      <c r="J37" s="41"/>
      <c r="K37" s="41"/>
      <c r="L37" s="41"/>
      <c r="M37" s="41"/>
    </row>
    <row r="38" spans="1:13" ht="18" customHeight="1" x14ac:dyDescent="0.25">
      <c r="A38" s="41"/>
      <c r="B38" s="41" t="str">
        <f>IF($A38="","",COUNTIFS(MAESTRO!$C$2:$C$1220,$A38,MAESTRO!$F$2:$F$1220,"&lt;&gt;"))</f>
        <v/>
      </c>
      <c r="C38" s="41" t="str">
        <f>IF($A38="","",COUNTIFS(MAESTRO!$C$2:$C$1220,$A38,MAESTRO!$J$2:$J$1220,"SI",MAESTRO!$F$2:$F$1220,"&lt;&gt;"))</f>
        <v/>
      </c>
      <c r="D38" s="41" t="str">
        <f>IF($A38="","",COUNTIFS(MAESTRO!$C$2:$C$1220,$A38,MAESTRO!$J$2:$J$1220,"NO",MAESTRO!$F$2:$F$1220,"&lt;&gt;"))</f>
        <v/>
      </c>
      <c r="E38" s="41" t="str">
        <f t="shared" si="0"/>
        <v/>
      </c>
      <c r="F38" s="41" t="str">
        <f>IF($A38="","",COUNTIFS(MAESTRO!$C$2:$C$1220,$A38,MAESTRO!$N$2:$N$1220,"VIP",MAESTRO!$F$2:$F$1220,"&lt;&gt;"))</f>
        <v/>
      </c>
      <c r="G38" s="41" t="str">
        <f>IF($A38="","",COUNTIFS(MAESTRO!$C$2:$C$1220,$A38,MAESTRO!$N$2:$N$1220,"LATERAL VIP",MAESTRO!$F$2:$F$1220,"&lt;&gt;"))</f>
        <v/>
      </c>
      <c r="H38" s="41" t="str">
        <f>IF($A38="","",COUNTIFS(MAESTRO!$C$2:$C$1220,$A38,MAESTRO!$N$2:$N$1220,"LATERAL",MAESTRO!$F$2:$F$1220,"&lt;&gt;"))</f>
        <v/>
      </c>
      <c r="I38" s="41" t="str">
        <f>IF($A38="","",COUNTIFS(MAESTRO!$C$2:$C$1220,$A38,MAESTRO!$O$2:$O$1220,"SI",MAESTRO!$F$2:$F$1220,"&lt;&gt;"))</f>
        <v/>
      </c>
      <c r="J38" s="41"/>
      <c r="K38" s="41"/>
      <c r="L38" s="41"/>
      <c r="M38" s="41"/>
    </row>
    <row r="39" spans="1:13" ht="18" customHeight="1" x14ac:dyDescent="0.25">
      <c r="A39" s="41"/>
      <c r="B39" s="41" t="str">
        <f>IF($A39="","",COUNTIFS(MAESTRO!$C$2:$C$1220,$A39,MAESTRO!$F$2:$F$1220,"&lt;&gt;"))</f>
        <v/>
      </c>
      <c r="C39" s="41" t="str">
        <f>IF($A39="","",COUNTIFS(MAESTRO!$C$2:$C$1220,$A39,MAESTRO!$J$2:$J$1220,"SI",MAESTRO!$F$2:$F$1220,"&lt;&gt;"))</f>
        <v/>
      </c>
      <c r="D39" s="41" t="str">
        <f>IF($A39="","",COUNTIFS(MAESTRO!$C$2:$C$1220,$A39,MAESTRO!$J$2:$J$1220,"NO",MAESTRO!$F$2:$F$1220,"&lt;&gt;"))</f>
        <v/>
      </c>
      <c r="E39" s="41" t="str">
        <f t="shared" si="0"/>
        <v/>
      </c>
      <c r="F39" s="41" t="str">
        <f>IF($A39="","",COUNTIFS(MAESTRO!$C$2:$C$1220,$A39,MAESTRO!$N$2:$N$1220,"VIP",MAESTRO!$F$2:$F$1220,"&lt;&gt;"))</f>
        <v/>
      </c>
      <c r="G39" s="41" t="str">
        <f>IF($A39="","",COUNTIFS(MAESTRO!$C$2:$C$1220,$A39,MAESTRO!$N$2:$N$1220,"LATERAL VIP",MAESTRO!$F$2:$F$1220,"&lt;&gt;"))</f>
        <v/>
      </c>
      <c r="H39" s="41" t="str">
        <f>IF($A39="","",COUNTIFS(MAESTRO!$C$2:$C$1220,$A39,MAESTRO!$N$2:$N$1220,"LATERAL",MAESTRO!$F$2:$F$1220,"&lt;&gt;"))</f>
        <v/>
      </c>
      <c r="I39" s="41" t="str">
        <f>IF($A39="","",COUNTIFS(MAESTRO!$C$2:$C$1220,$A39,MAESTRO!$O$2:$O$1220,"SI",MAESTRO!$F$2:$F$1220,"&lt;&gt;"))</f>
        <v/>
      </c>
      <c r="J39" s="41"/>
      <c r="K39" s="41"/>
      <c r="L39" s="41"/>
      <c r="M39" s="41"/>
    </row>
    <row r="40" spans="1:13" ht="18" customHeight="1" x14ac:dyDescent="0.25">
      <c r="A40" s="41"/>
      <c r="B40" s="41" t="str">
        <f>IF($A40="","",COUNTIFS(MAESTRO!$C$2:$C$1220,$A40,MAESTRO!$F$2:$F$1220,"&lt;&gt;"))</f>
        <v/>
      </c>
      <c r="C40" s="41" t="str">
        <f>IF($A40="","",COUNTIFS(MAESTRO!$C$2:$C$1220,$A40,MAESTRO!$J$2:$J$1220,"SI",MAESTRO!$F$2:$F$1220,"&lt;&gt;"))</f>
        <v/>
      </c>
      <c r="D40" s="41" t="str">
        <f>IF($A40="","",COUNTIFS(MAESTRO!$C$2:$C$1220,$A40,MAESTRO!$J$2:$J$1220,"NO",MAESTRO!$F$2:$F$1220,"&lt;&gt;"))</f>
        <v/>
      </c>
      <c r="E40" s="41" t="str">
        <f t="shared" si="0"/>
        <v/>
      </c>
      <c r="F40" s="41" t="str">
        <f>IF($A40="","",COUNTIFS(MAESTRO!$C$2:$C$1220,$A40,MAESTRO!$N$2:$N$1220,"VIP",MAESTRO!$F$2:$F$1220,"&lt;&gt;"))</f>
        <v/>
      </c>
      <c r="G40" s="41" t="str">
        <f>IF($A40="","",COUNTIFS(MAESTRO!$C$2:$C$1220,$A40,MAESTRO!$N$2:$N$1220,"LATERAL VIP",MAESTRO!$F$2:$F$1220,"&lt;&gt;"))</f>
        <v/>
      </c>
      <c r="H40" s="41" t="str">
        <f>IF($A40="","",COUNTIFS(MAESTRO!$C$2:$C$1220,$A40,MAESTRO!$N$2:$N$1220,"LATERAL",MAESTRO!$F$2:$F$1220,"&lt;&gt;"))</f>
        <v/>
      </c>
      <c r="I40" s="41" t="str">
        <f>IF($A40="","",COUNTIFS(MAESTRO!$C$2:$C$1220,$A40,MAESTRO!$O$2:$O$1220,"SI",MAESTRO!$F$2:$F$1220,"&lt;&gt;"))</f>
        <v/>
      </c>
      <c r="J40" s="41"/>
      <c r="K40" s="41"/>
      <c r="L40" s="41"/>
      <c r="M40" s="41"/>
    </row>
    <row r="41" spans="1:13" ht="18" customHeight="1" x14ac:dyDescent="0.25">
      <c r="A41" s="41"/>
      <c r="B41" s="41" t="str">
        <f>IF($A41="","",COUNTIFS(MAESTRO!$C$2:$C$1220,$A41,MAESTRO!$F$2:$F$1220,"&lt;&gt;"))</f>
        <v/>
      </c>
      <c r="C41" s="41" t="str">
        <f>IF($A41="","",COUNTIFS(MAESTRO!$C$2:$C$1220,$A41,MAESTRO!$J$2:$J$1220,"SI",MAESTRO!$F$2:$F$1220,"&lt;&gt;"))</f>
        <v/>
      </c>
      <c r="D41" s="41" t="str">
        <f>IF($A41="","",COUNTIFS(MAESTRO!$C$2:$C$1220,$A41,MAESTRO!$J$2:$J$1220,"NO",MAESTRO!$F$2:$F$1220,"&lt;&gt;"))</f>
        <v/>
      </c>
      <c r="E41" s="41" t="str">
        <f t="shared" si="0"/>
        <v/>
      </c>
      <c r="F41" s="41" t="str">
        <f>IF($A41="","",COUNTIFS(MAESTRO!$C$2:$C$1220,$A41,MAESTRO!$N$2:$N$1220,"VIP",MAESTRO!$F$2:$F$1220,"&lt;&gt;"))</f>
        <v/>
      </c>
      <c r="G41" s="41" t="str">
        <f>IF($A41="","",COUNTIFS(MAESTRO!$C$2:$C$1220,$A41,MAESTRO!$N$2:$N$1220,"LATERAL VIP",MAESTRO!$F$2:$F$1220,"&lt;&gt;"))</f>
        <v/>
      </c>
      <c r="H41" s="41" t="str">
        <f>IF($A41="","",COUNTIFS(MAESTRO!$C$2:$C$1220,$A41,MAESTRO!$N$2:$N$1220,"LATERAL",MAESTRO!$F$2:$F$1220,"&lt;&gt;"))</f>
        <v/>
      </c>
      <c r="I41" s="41" t="str">
        <f>IF($A41="","",COUNTIFS(MAESTRO!$C$2:$C$1220,$A41,MAESTRO!$O$2:$O$1220,"SI",MAESTRO!$F$2:$F$1220,"&lt;&gt;"))</f>
        <v/>
      </c>
      <c r="J41" s="41"/>
      <c r="K41" s="41"/>
      <c r="L41" s="41"/>
      <c r="M41" s="41"/>
    </row>
    <row r="42" spans="1:13" ht="18" customHeight="1" x14ac:dyDescent="0.25">
      <c r="A42" s="41"/>
      <c r="B42" s="41" t="str">
        <f>IF($A42="","",COUNTIFS(MAESTRO!$C$2:$C$1220,$A42,MAESTRO!$F$2:$F$1220,"&lt;&gt;"))</f>
        <v/>
      </c>
      <c r="C42" s="41" t="str">
        <f>IF($A42="","",COUNTIFS(MAESTRO!$C$2:$C$1220,$A42,MAESTRO!$J$2:$J$1220,"SI",MAESTRO!$F$2:$F$1220,"&lt;&gt;"))</f>
        <v/>
      </c>
      <c r="D42" s="41" t="str">
        <f>IF($A42="","",COUNTIFS(MAESTRO!$C$2:$C$1220,$A42,MAESTRO!$J$2:$J$1220,"NO",MAESTRO!$F$2:$F$1220,"&lt;&gt;"))</f>
        <v/>
      </c>
      <c r="E42" s="41" t="str">
        <f t="shared" si="0"/>
        <v/>
      </c>
      <c r="F42" s="41" t="str">
        <f>IF($A42="","",COUNTIFS(MAESTRO!$C$2:$C$1220,$A42,MAESTRO!$N$2:$N$1220,"VIP",MAESTRO!$F$2:$F$1220,"&lt;&gt;"))</f>
        <v/>
      </c>
      <c r="G42" s="41" t="str">
        <f>IF($A42="","",COUNTIFS(MAESTRO!$C$2:$C$1220,$A42,MAESTRO!$N$2:$N$1220,"LATERAL VIP",MAESTRO!$F$2:$F$1220,"&lt;&gt;"))</f>
        <v/>
      </c>
      <c r="H42" s="41" t="str">
        <f>IF($A42="","",COUNTIFS(MAESTRO!$C$2:$C$1220,$A42,MAESTRO!$N$2:$N$1220,"LATERAL",MAESTRO!$F$2:$F$1220,"&lt;&gt;"))</f>
        <v/>
      </c>
      <c r="I42" s="41" t="str">
        <f>IF($A42="","",COUNTIFS(MAESTRO!$C$2:$C$1220,$A42,MAESTRO!$O$2:$O$1220,"SI",MAESTRO!$F$2:$F$1220,"&lt;&gt;"))</f>
        <v/>
      </c>
      <c r="J42" s="41"/>
      <c r="K42" s="41"/>
      <c r="L42" s="41"/>
      <c r="M42" s="41"/>
    </row>
    <row r="43" spans="1:13" ht="18" customHeight="1" x14ac:dyDescent="0.25">
      <c r="A43" s="41"/>
      <c r="B43" s="41" t="str">
        <f>IF($A43="","",COUNTIFS(MAESTRO!$C$2:$C$1220,$A43,MAESTRO!$F$2:$F$1220,"&lt;&gt;"))</f>
        <v/>
      </c>
      <c r="C43" s="41" t="str">
        <f>IF($A43="","",COUNTIFS(MAESTRO!$C$2:$C$1220,$A43,MAESTRO!$J$2:$J$1220,"SI",MAESTRO!$F$2:$F$1220,"&lt;&gt;"))</f>
        <v/>
      </c>
      <c r="D43" s="41" t="str">
        <f>IF($A43="","",COUNTIFS(MAESTRO!$C$2:$C$1220,$A43,MAESTRO!$J$2:$J$1220,"NO",MAESTRO!$F$2:$F$1220,"&lt;&gt;"))</f>
        <v/>
      </c>
      <c r="E43" s="41" t="str">
        <f t="shared" si="0"/>
        <v/>
      </c>
      <c r="F43" s="41" t="str">
        <f>IF($A43="","",COUNTIFS(MAESTRO!$C$2:$C$1220,$A43,MAESTRO!$N$2:$N$1220,"VIP",MAESTRO!$F$2:$F$1220,"&lt;&gt;"))</f>
        <v/>
      </c>
      <c r="G43" s="41" t="str">
        <f>IF($A43="","",COUNTIFS(MAESTRO!$C$2:$C$1220,$A43,MAESTRO!$N$2:$N$1220,"LATERAL VIP",MAESTRO!$F$2:$F$1220,"&lt;&gt;"))</f>
        <v/>
      </c>
      <c r="H43" s="41" t="str">
        <f>IF($A43="","",COUNTIFS(MAESTRO!$C$2:$C$1220,$A43,MAESTRO!$N$2:$N$1220,"LATERAL",MAESTRO!$F$2:$F$1220,"&lt;&gt;"))</f>
        <v/>
      </c>
      <c r="I43" s="41" t="str">
        <f>IF($A43="","",COUNTIFS(MAESTRO!$C$2:$C$1220,$A43,MAESTRO!$O$2:$O$1220,"SI",MAESTRO!$F$2:$F$1220,"&lt;&gt;"))</f>
        <v/>
      </c>
      <c r="J43" s="41"/>
      <c r="K43" s="41"/>
      <c r="L43" s="41"/>
      <c r="M43" s="41"/>
    </row>
    <row r="44" spans="1:13" ht="18" customHeight="1" x14ac:dyDescent="0.25">
      <c r="A44" s="41"/>
      <c r="B44" s="41" t="str">
        <f>IF($A44="","",COUNTIFS(MAESTRO!$C$2:$C$1220,$A44,MAESTRO!$F$2:$F$1220,"&lt;&gt;"))</f>
        <v/>
      </c>
      <c r="C44" s="41" t="str">
        <f>IF($A44="","",COUNTIFS(MAESTRO!$C$2:$C$1220,$A44,MAESTRO!$J$2:$J$1220,"SI",MAESTRO!$F$2:$F$1220,"&lt;&gt;"))</f>
        <v/>
      </c>
      <c r="D44" s="41" t="str">
        <f>IF($A44="","",COUNTIFS(MAESTRO!$C$2:$C$1220,$A44,MAESTRO!$J$2:$J$1220,"NO",MAESTRO!$F$2:$F$1220,"&lt;&gt;"))</f>
        <v/>
      </c>
      <c r="E44" s="41" t="str">
        <f t="shared" si="0"/>
        <v/>
      </c>
      <c r="F44" s="41" t="str">
        <f>IF($A44="","",COUNTIFS(MAESTRO!$C$2:$C$1220,$A44,MAESTRO!$N$2:$N$1220,"VIP",MAESTRO!$F$2:$F$1220,"&lt;&gt;"))</f>
        <v/>
      </c>
      <c r="G44" s="41" t="str">
        <f>IF($A44="","",COUNTIFS(MAESTRO!$C$2:$C$1220,$A44,MAESTRO!$N$2:$N$1220,"LATERAL VIP",MAESTRO!$F$2:$F$1220,"&lt;&gt;"))</f>
        <v/>
      </c>
      <c r="H44" s="41" t="str">
        <f>IF($A44="","",COUNTIFS(MAESTRO!$C$2:$C$1220,$A44,MAESTRO!$N$2:$N$1220,"LATERAL",MAESTRO!$F$2:$F$1220,"&lt;&gt;"))</f>
        <v/>
      </c>
      <c r="I44" s="41" t="str">
        <f>IF($A44="","",COUNTIFS(MAESTRO!$C$2:$C$1220,$A44,MAESTRO!$O$2:$O$1220,"SI",MAESTRO!$F$2:$F$1220,"&lt;&gt;"))</f>
        <v/>
      </c>
      <c r="J44" s="41"/>
      <c r="K44" s="41"/>
      <c r="L44" s="41"/>
      <c r="M44" s="41"/>
    </row>
    <row r="45" spans="1:13" ht="18" customHeight="1" x14ac:dyDescent="0.25">
      <c r="A45" s="41"/>
      <c r="B45" s="41" t="str">
        <f>IF($A45="","",COUNTIFS(MAESTRO!$C$2:$C$1220,$A45,MAESTRO!$F$2:$F$1220,"&lt;&gt;"))</f>
        <v/>
      </c>
      <c r="C45" s="41" t="str">
        <f>IF($A45="","",COUNTIFS(MAESTRO!$C$2:$C$1220,$A45,MAESTRO!$J$2:$J$1220,"SI",MAESTRO!$F$2:$F$1220,"&lt;&gt;"))</f>
        <v/>
      </c>
      <c r="D45" s="41" t="str">
        <f>IF($A45="","",COUNTIFS(MAESTRO!$C$2:$C$1220,$A45,MAESTRO!$J$2:$J$1220,"NO",MAESTRO!$F$2:$F$1220,"&lt;&gt;"))</f>
        <v/>
      </c>
      <c r="E45" s="41" t="str">
        <f t="shared" si="0"/>
        <v/>
      </c>
      <c r="F45" s="41" t="str">
        <f>IF($A45="","",COUNTIFS(MAESTRO!$C$2:$C$1220,$A45,MAESTRO!$N$2:$N$1220,"VIP",MAESTRO!$F$2:$F$1220,"&lt;&gt;"))</f>
        <v/>
      </c>
      <c r="G45" s="41" t="str">
        <f>IF($A45="","",COUNTIFS(MAESTRO!$C$2:$C$1220,$A45,MAESTRO!$N$2:$N$1220,"LATERAL VIP",MAESTRO!$F$2:$F$1220,"&lt;&gt;"))</f>
        <v/>
      </c>
      <c r="H45" s="41" t="str">
        <f>IF($A45="","",COUNTIFS(MAESTRO!$C$2:$C$1220,$A45,MAESTRO!$N$2:$N$1220,"LATERAL",MAESTRO!$F$2:$F$1220,"&lt;&gt;"))</f>
        <v/>
      </c>
      <c r="I45" s="41" t="str">
        <f>IF($A45="","",COUNTIFS(MAESTRO!$C$2:$C$1220,$A45,MAESTRO!$O$2:$O$1220,"SI",MAESTRO!$F$2:$F$1220,"&lt;&gt;"))</f>
        <v/>
      </c>
      <c r="J45" s="41"/>
      <c r="K45" s="41"/>
      <c r="L45" s="41"/>
      <c r="M45" s="41"/>
    </row>
    <row r="46" spans="1:13" ht="18" customHeight="1" x14ac:dyDescent="0.25">
      <c r="A46" s="41"/>
      <c r="B46" s="41" t="str">
        <f>IF($A46="","",COUNTIFS(MAESTRO!$C$2:$C$1220,$A46,MAESTRO!$F$2:$F$1220,"&lt;&gt;"))</f>
        <v/>
      </c>
      <c r="C46" s="41" t="str">
        <f>IF($A46="","",COUNTIFS(MAESTRO!$C$2:$C$1220,$A46,MAESTRO!$J$2:$J$1220,"SI",MAESTRO!$F$2:$F$1220,"&lt;&gt;"))</f>
        <v/>
      </c>
      <c r="D46" s="41" t="str">
        <f>IF($A46="","",COUNTIFS(MAESTRO!$C$2:$C$1220,$A46,MAESTRO!$J$2:$J$1220,"NO",MAESTRO!$F$2:$F$1220,"&lt;&gt;"))</f>
        <v/>
      </c>
      <c r="E46" s="41" t="str">
        <f t="shared" si="0"/>
        <v/>
      </c>
      <c r="F46" s="41" t="str">
        <f>IF($A46="","",COUNTIFS(MAESTRO!$C$2:$C$1220,$A46,MAESTRO!$N$2:$N$1220,"VIP",MAESTRO!$F$2:$F$1220,"&lt;&gt;"))</f>
        <v/>
      </c>
      <c r="G46" s="41" t="str">
        <f>IF($A46="","",COUNTIFS(MAESTRO!$C$2:$C$1220,$A46,MAESTRO!$N$2:$N$1220,"LATERAL VIP",MAESTRO!$F$2:$F$1220,"&lt;&gt;"))</f>
        <v/>
      </c>
      <c r="H46" s="41" t="str">
        <f>IF($A46="","",COUNTIFS(MAESTRO!$C$2:$C$1220,$A46,MAESTRO!$N$2:$N$1220,"LATERAL",MAESTRO!$F$2:$F$1220,"&lt;&gt;"))</f>
        <v/>
      </c>
      <c r="I46" s="41" t="str">
        <f>IF($A46="","",COUNTIFS(MAESTRO!$C$2:$C$1220,$A46,MAESTRO!$O$2:$O$1220,"SI",MAESTRO!$F$2:$F$1220,"&lt;&gt;"))</f>
        <v/>
      </c>
      <c r="J46" s="41"/>
      <c r="K46" s="41"/>
      <c r="L46" s="41"/>
      <c r="M46" s="41"/>
    </row>
    <row r="47" spans="1:13" ht="18" customHeight="1" x14ac:dyDescent="0.25">
      <c r="A47" s="41"/>
      <c r="B47" s="41" t="str">
        <f>IF($A47="","",COUNTIFS(MAESTRO!$C$2:$C$1220,$A47,MAESTRO!$F$2:$F$1220,"&lt;&gt;"))</f>
        <v/>
      </c>
      <c r="C47" s="41" t="str">
        <f>IF($A47="","",COUNTIFS(MAESTRO!$C$2:$C$1220,$A47,MAESTRO!$J$2:$J$1220,"SI",MAESTRO!$F$2:$F$1220,"&lt;&gt;"))</f>
        <v/>
      </c>
      <c r="D47" s="41" t="str">
        <f>IF($A47="","",COUNTIFS(MAESTRO!$C$2:$C$1220,$A47,MAESTRO!$J$2:$J$1220,"NO",MAESTRO!$F$2:$F$1220,"&lt;&gt;"))</f>
        <v/>
      </c>
      <c r="E47" s="41" t="str">
        <f t="shared" si="0"/>
        <v/>
      </c>
      <c r="F47" s="41" t="str">
        <f>IF($A47="","",COUNTIFS(MAESTRO!$C$2:$C$1220,$A47,MAESTRO!$N$2:$N$1220,"VIP",MAESTRO!$F$2:$F$1220,"&lt;&gt;"))</f>
        <v/>
      </c>
      <c r="G47" s="41" t="str">
        <f>IF($A47="","",COUNTIFS(MAESTRO!$C$2:$C$1220,$A47,MAESTRO!$N$2:$N$1220,"LATERAL VIP",MAESTRO!$F$2:$F$1220,"&lt;&gt;"))</f>
        <v/>
      </c>
      <c r="H47" s="41" t="str">
        <f>IF($A47="","",COUNTIFS(MAESTRO!$C$2:$C$1220,$A47,MAESTRO!$N$2:$N$1220,"LATERAL",MAESTRO!$F$2:$F$1220,"&lt;&gt;"))</f>
        <v/>
      </c>
      <c r="I47" s="41" t="str">
        <f>IF($A47="","",COUNTIFS(MAESTRO!$C$2:$C$1220,$A47,MAESTRO!$O$2:$O$1220,"SI",MAESTRO!$F$2:$F$1220,"&lt;&gt;"))</f>
        <v/>
      </c>
      <c r="J47" s="41"/>
      <c r="K47" s="41"/>
      <c r="L47" s="41"/>
      <c r="M47" s="41"/>
    </row>
    <row r="48" spans="1:13" ht="18" customHeight="1" x14ac:dyDescent="0.25">
      <c r="A48" s="41"/>
      <c r="B48" s="41" t="str">
        <f>IF($A48="","",COUNTIFS(MAESTRO!$C$2:$C$1220,$A48,MAESTRO!$F$2:$F$1220,"&lt;&gt;"))</f>
        <v/>
      </c>
      <c r="C48" s="41" t="str">
        <f>IF($A48="","",COUNTIFS(MAESTRO!$C$2:$C$1220,$A48,MAESTRO!$J$2:$J$1220,"SI",MAESTRO!$F$2:$F$1220,"&lt;&gt;"))</f>
        <v/>
      </c>
      <c r="D48" s="41" t="str">
        <f>IF($A48="","",COUNTIFS(MAESTRO!$C$2:$C$1220,$A48,MAESTRO!$J$2:$J$1220,"NO",MAESTRO!$F$2:$F$1220,"&lt;&gt;"))</f>
        <v/>
      </c>
      <c r="E48" s="41" t="str">
        <f t="shared" ref="E48:E79" si="1">IF($A48="","",B48-C48-D48)</f>
        <v/>
      </c>
      <c r="F48" s="41" t="str">
        <f>IF($A48="","",COUNTIFS(MAESTRO!$C$2:$C$1220,$A48,MAESTRO!$N$2:$N$1220,"VIP",MAESTRO!$F$2:$F$1220,"&lt;&gt;"))</f>
        <v/>
      </c>
      <c r="G48" s="41" t="str">
        <f>IF($A48="","",COUNTIFS(MAESTRO!$C$2:$C$1220,$A48,MAESTRO!$N$2:$N$1220,"LATERAL VIP",MAESTRO!$F$2:$F$1220,"&lt;&gt;"))</f>
        <v/>
      </c>
      <c r="H48" s="41" t="str">
        <f>IF($A48="","",COUNTIFS(MAESTRO!$C$2:$C$1220,$A48,MAESTRO!$N$2:$N$1220,"LATERAL",MAESTRO!$F$2:$F$1220,"&lt;&gt;"))</f>
        <v/>
      </c>
      <c r="I48" s="41" t="str">
        <f>IF($A48="","",COUNTIFS(MAESTRO!$C$2:$C$1220,$A48,MAESTRO!$O$2:$O$1220,"SI",MAESTRO!$F$2:$F$1220,"&lt;&gt;"))</f>
        <v/>
      </c>
      <c r="J48" s="41"/>
      <c r="K48" s="41"/>
      <c r="L48" s="41"/>
      <c r="M48" s="41"/>
    </row>
    <row r="49" spans="1:13" ht="18" customHeight="1" x14ac:dyDescent="0.25">
      <c r="A49" s="41"/>
      <c r="B49" s="41" t="str">
        <f>IF($A49="","",COUNTIFS(MAESTRO!$C$2:$C$1220,$A49,MAESTRO!$F$2:$F$1220,"&lt;&gt;"))</f>
        <v/>
      </c>
      <c r="C49" s="41" t="str">
        <f>IF($A49="","",COUNTIFS(MAESTRO!$C$2:$C$1220,$A49,MAESTRO!$J$2:$J$1220,"SI",MAESTRO!$F$2:$F$1220,"&lt;&gt;"))</f>
        <v/>
      </c>
      <c r="D49" s="41" t="str">
        <f>IF($A49="","",COUNTIFS(MAESTRO!$C$2:$C$1220,$A49,MAESTRO!$J$2:$J$1220,"NO",MAESTRO!$F$2:$F$1220,"&lt;&gt;"))</f>
        <v/>
      </c>
      <c r="E49" s="41" t="str">
        <f t="shared" si="1"/>
        <v/>
      </c>
      <c r="F49" s="41" t="str">
        <f>IF($A49="","",COUNTIFS(MAESTRO!$C$2:$C$1220,$A49,MAESTRO!$N$2:$N$1220,"VIP",MAESTRO!$F$2:$F$1220,"&lt;&gt;"))</f>
        <v/>
      </c>
      <c r="G49" s="41" t="str">
        <f>IF($A49="","",COUNTIFS(MAESTRO!$C$2:$C$1220,$A49,MAESTRO!$N$2:$N$1220,"LATERAL VIP",MAESTRO!$F$2:$F$1220,"&lt;&gt;"))</f>
        <v/>
      </c>
      <c r="H49" s="41" t="str">
        <f>IF($A49="","",COUNTIFS(MAESTRO!$C$2:$C$1220,$A49,MAESTRO!$N$2:$N$1220,"LATERAL",MAESTRO!$F$2:$F$1220,"&lt;&gt;"))</f>
        <v/>
      </c>
      <c r="I49" s="41" t="str">
        <f>IF($A49="","",COUNTIFS(MAESTRO!$C$2:$C$1220,$A49,MAESTRO!$O$2:$O$1220,"SI",MAESTRO!$F$2:$F$1220,"&lt;&gt;"))</f>
        <v/>
      </c>
      <c r="J49" s="41"/>
      <c r="K49" s="41"/>
      <c r="L49" s="41"/>
      <c r="M49" s="41"/>
    </row>
    <row r="50" spans="1:13" ht="18" customHeight="1" x14ac:dyDescent="0.25">
      <c r="A50" s="41"/>
      <c r="B50" s="41" t="str">
        <f>IF($A50="","",COUNTIFS(MAESTRO!$C$2:$C$1220,$A50,MAESTRO!$F$2:$F$1220,"&lt;&gt;"))</f>
        <v/>
      </c>
      <c r="C50" s="41" t="str">
        <f>IF($A50="","",COUNTIFS(MAESTRO!$C$2:$C$1220,$A50,MAESTRO!$J$2:$J$1220,"SI",MAESTRO!$F$2:$F$1220,"&lt;&gt;"))</f>
        <v/>
      </c>
      <c r="D50" s="41" t="str">
        <f>IF($A50="","",COUNTIFS(MAESTRO!$C$2:$C$1220,$A50,MAESTRO!$J$2:$J$1220,"NO",MAESTRO!$F$2:$F$1220,"&lt;&gt;"))</f>
        <v/>
      </c>
      <c r="E50" s="41" t="str">
        <f t="shared" si="1"/>
        <v/>
      </c>
      <c r="F50" s="41" t="str">
        <f>IF($A50="","",COUNTIFS(MAESTRO!$C$2:$C$1220,$A50,MAESTRO!$N$2:$N$1220,"VIP",MAESTRO!$F$2:$F$1220,"&lt;&gt;"))</f>
        <v/>
      </c>
      <c r="G50" s="41" t="str">
        <f>IF($A50="","",COUNTIFS(MAESTRO!$C$2:$C$1220,$A50,MAESTRO!$N$2:$N$1220,"LATERAL VIP",MAESTRO!$F$2:$F$1220,"&lt;&gt;"))</f>
        <v/>
      </c>
      <c r="H50" s="41" t="str">
        <f>IF($A50="","",COUNTIFS(MAESTRO!$C$2:$C$1220,$A50,MAESTRO!$N$2:$N$1220,"LATERAL",MAESTRO!$F$2:$F$1220,"&lt;&gt;"))</f>
        <v/>
      </c>
      <c r="I50" s="41" t="str">
        <f>IF($A50="","",COUNTIFS(MAESTRO!$C$2:$C$1220,$A50,MAESTRO!$O$2:$O$1220,"SI",MAESTRO!$F$2:$F$1220,"&lt;&gt;"))</f>
        <v/>
      </c>
      <c r="J50" s="41"/>
      <c r="K50" s="41"/>
      <c r="L50" s="41"/>
      <c r="M50" s="41"/>
    </row>
    <row r="51" spans="1:13" ht="18" customHeight="1" x14ac:dyDescent="0.25">
      <c r="A51" s="41"/>
      <c r="B51" s="41" t="str">
        <f>IF($A51="","",COUNTIFS(MAESTRO!$C$2:$C$1220,$A51,MAESTRO!$F$2:$F$1220,"&lt;&gt;"))</f>
        <v/>
      </c>
      <c r="C51" s="41" t="str">
        <f>IF($A51="","",COUNTIFS(MAESTRO!$C$2:$C$1220,$A51,MAESTRO!$J$2:$J$1220,"SI",MAESTRO!$F$2:$F$1220,"&lt;&gt;"))</f>
        <v/>
      </c>
      <c r="D51" s="41" t="str">
        <f>IF($A51="","",COUNTIFS(MAESTRO!$C$2:$C$1220,$A51,MAESTRO!$J$2:$J$1220,"NO",MAESTRO!$F$2:$F$1220,"&lt;&gt;"))</f>
        <v/>
      </c>
      <c r="E51" s="41" t="str">
        <f t="shared" si="1"/>
        <v/>
      </c>
      <c r="F51" s="41" t="str">
        <f>IF($A51="","",COUNTIFS(MAESTRO!$C$2:$C$1220,$A51,MAESTRO!$N$2:$N$1220,"VIP",MAESTRO!$F$2:$F$1220,"&lt;&gt;"))</f>
        <v/>
      </c>
      <c r="G51" s="41" t="str">
        <f>IF($A51="","",COUNTIFS(MAESTRO!$C$2:$C$1220,$A51,MAESTRO!$N$2:$N$1220,"LATERAL VIP",MAESTRO!$F$2:$F$1220,"&lt;&gt;"))</f>
        <v/>
      </c>
      <c r="H51" s="41" t="str">
        <f>IF($A51="","",COUNTIFS(MAESTRO!$C$2:$C$1220,$A51,MAESTRO!$N$2:$N$1220,"LATERAL",MAESTRO!$F$2:$F$1220,"&lt;&gt;"))</f>
        <v/>
      </c>
      <c r="I51" s="41" t="str">
        <f>IF($A51="","",COUNTIFS(MAESTRO!$C$2:$C$1220,$A51,MAESTRO!$O$2:$O$1220,"SI",MAESTRO!$F$2:$F$1220,"&lt;&gt;"))</f>
        <v/>
      </c>
      <c r="J51" s="41"/>
      <c r="K51" s="41"/>
      <c r="L51" s="41"/>
      <c r="M51" s="41"/>
    </row>
    <row r="52" spans="1:13" ht="18" customHeight="1" x14ac:dyDescent="0.25">
      <c r="A52" s="41"/>
      <c r="B52" s="41" t="str">
        <f>IF($A52="","",COUNTIFS(MAESTRO!$C$2:$C$1220,$A52,MAESTRO!$F$2:$F$1220,"&lt;&gt;"))</f>
        <v/>
      </c>
      <c r="C52" s="41" t="str">
        <f>IF($A52="","",COUNTIFS(MAESTRO!$C$2:$C$1220,$A52,MAESTRO!$J$2:$J$1220,"SI",MAESTRO!$F$2:$F$1220,"&lt;&gt;"))</f>
        <v/>
      </c>
      <c r="D52" s="41" t="str">
        <f>IF($A52="","",COUNTIFS(MAESTRO!$C$2:$C$1220,$A52,MAESTRO!$J$2:$J$1220,"NO",MAESTRO!$F$2:$F$1220,"&lt;&gt;"))</f>
        <v/>
      </c>
      <c r="E52" s="41" t="str">
        <f t="shared" si="1"/>
        <v/>
      </c>
      <c r="F52" s="41" t="str">
        <f>IF($A52="","",COUNTIFS(MAESTRO!$C$2:$C$1220,$A52,MAESTRO!$N$2:$N$1220,"VIP",MAESTRO!$F$2:$F$1220,"&lt;&gt;"))</f>
        <v/>
      </c>
      <c r="G52" s="41" t="str">
        <f>IF($A52="","",COUNTIFS(MAESTRO!$C$2:$C$1220,$A52,MAESTRO!$N$2:$N$1220,"LATERAL VIP",MAESTRO!$F$2:$F$1220,"&lt;&gt;"))</f>
        <v/>
      </c>
      <c r="H52" s="41" t="str">
        <f>IF($A52="","",COUNTIFS(MAESTRO!$C$2:$C$1220,$A52,MAESTRO!$N$2:$N$1220,"LATERAL",MAESTRO!$F$2:$F$1220,"&lt;&gt;"))</f>
        <v/>
      </c>
      <c r="I52" s="41" t="str">
        <f>IF($A52="","",COUNTIFS(MAESTRO!$C$2:$C$1220,$A52,MAESTRO!$O$2:$O$1220,"SI",MAESTRO!$F$2:$F$1220,"&lt;&gt;"))</f>
        <v/>
      </c>
      <c r="J52" s="41"/>
      <c r="K52" s="41"/>
      <c r="L52" s="41"/>
      <c r="M52" s="41"/>
    </row>
    <row r="53" spans="1:13" ht="18" customHeight="1" x14ac:dyDescent="0.25">
      <c r="A53" s="41"/>
      <c r="B53" s="41" t="str">
        <f>IF($A53="","",COUNTIFS(MAESTRO!$C$2:$C$1220,$A53,MAESTRO!$F$2:$F$1220,"&lt;&gt;"))</f>
        <v/>
      </c>
      <c r="C53" s="41" t="str">
        <f>IF($A53="","",COUNTIFS(MAESTRO!$C$2:$C$1220,$A53,MAESTRO!$J$2:$J$1220,"SI",MAESTRO!$F$2:$F$1220,"&lt;&gt;"))</f>
        <v/>
      </c>
      <c r="D53" s="41" t="str">
        <f>IF($A53="","",COUNTIFS(MAESTRO!$C$2:$C$1220,$A53,MAESTRO!$J$2:$J$1220,"NO",MAESTRO!$F$2:$F$1220,"&lt;&gt;"))</f>
        <v/>
      </c>
      <c r="E53" s="41" t="str">
        <f t="shared" si="1"/>
        <v/>
      </c>
      <c r="F53" s="41" t="str">
        <f>IF($A53="","",COUNTIFS(MAESTRO!$C$2:$C$1220,$A53,MAESTRO!$N$2:$N$1220,"VIP",MAESTRO!$F$2:$F$1220,"&lt;&gt;"))</f>
        <v/>
      </c>
      <c r="G53" s="41" t="str">
        <f>IF($A53="","",COUNTIFS(MAESTRO!$C$2:$C$1220,$A53,MAESTRO!$N$2:$N$1220,"LATERAL VIP",MAESTRO!$F$2:$F$1220,"&lt;&gt;"))</f>
        <v/>
      </c>
      <c r="H53" s="41" t="str">
        <f>IF($A53="","",COUNTIFS(MAESTRO!$C$2:$C$1220,$A53,MAESTRO!$N$2:$N$1220,"LATERAL",MAESTRO!$F$2:$F$1220,"&lt;&gt;"))</f>
        <v/>
      </c>
      <c r="I53" s="41" t="str">
        <f>IF($A53="","",COUNTIFS(MAESTRO!$C$2:$C$1220,$A53,MAESTRO!$O$2:$O$1220,"SI",MAESTRO!$F$2:$F$1220,"&lt;&gt;"))</f>
        <v/>
      </c>
      <c r="J53" s="41"/>
      <c r="K53" s="41"/>
      <c r="L53" s="41"/>
      <c r="M53" s="41"/>
    </row>
    <row r="54" spans="1:13" ht="18" customHeight="1" x14ac:dyDescent="0.25">
      <c r="A54" s="41"/>
      <c r="B54" s="41" t="str">
        <f>IF($A54="","",COUNTIFS(MAESTRO!$C$2:$C$1220,$A54,MAESTRO!$F$2:$F$1220,"&lt;&gt;"))</f>
        <v/>
      </c>
      <c r="C54" s="41" t="str">
        <f>IF($A54="","",COUNTIFS(MAESTRO!$C$2:$C$1220,$A54,MAESTRO!$J$2:$J$1220,"SI",MAESTRO!$F$2:$F$1220,"&lt;&gt;"))</f>
        <v/>
      </c>
      <c r="D54" s="41" t="str">
        <f>IF($A54="","",COUNTIFS(MAESTRO!$C$2:$C$1220,$A54,MAESTRO!$J$2:$J$1220,"NO",MAESTRO!$F$2:$F$1220,"&lt;&gt;"))</f>
        <v/>
      </c>
      <c r="E54" s="41" t="str">
        <f t="shared" si="1"/>
        <v/>
      </c>
      <c r="F54" s="41" t="str">
        <f>IF($A54="","",COUNTIFS(MAESTRO!$C$2:$C$1220,$A54,MAESTRO!$N$2:$N$1220,"VIP",MAESTRO!$F$2:$F$1220,"&lt;&gt;"))</f>
        <v/>
      </c>
      <c r="G54" s="41" t="str">
        <f>IF($A54="","",COUNTIFS(MAESTRO!$C$2:$C$1220,$A54,MAESTRO!$N$2:$N$1220,"LATERAL VIP",MAESTRO!$F$2:$F$1220,"&lt;&gt;"))</f>
        <v/>
      </c>
      <c r="H54" s="41" t="str">
        <f>IF($A54="","",COUNTIFS(MAESTRO!$C$2:$C$1220,$A54,MAESTRO!$N$2:$N$1220,"LATERAL",MAESTRO!$F$2:$F$1220,"&lt;&gt;"))</f>
        <v/>
      </c>
      <c r="I54" s="41" t="str">
        <f>IF($A54="","",COUNTIFS(MAESTRO!$C$2:$C$1220,$A54,MAESTRO!$O$2:$O$1220,"SI",MAESTRO!$F$2:$F$1220,"&lt;&gt;"))</f>
        <v/>
      </c>
      <c r="J54" s="41"/>
      <c r="K54" s="41"/>
      <c r="L54" s="41"/>
      <c r="M54" s="41"/>
    </row>
    <row r="55" spans="1:13" ht="18" customHeight="1" x14ac:dyDescent="0.25">
      <c r="A55" s="41"/>
      <c r="B55" s="41" t="str">
        <f>IF($A55="","",COUNTIFS(MAESTRO!$C$2:$C$1220,$A55,MAESTRO!$F$2:$F$1220,"&lt;&gt;"))</f>
        <v/>
      </c>
      <c r="C55" s="41" t="str">
        <f>IF($A55="","",COUNTIFS(MAESTRO!$C$2:$C$1220,$A55,MAESTRO!$J$2:$J$1220,"SI",MAESTRO!$F$2:$F$1220,"&lt;&gt;"))</f>
        <v/>
      </c>
      <c r="D55" s="41" t="str">
        <f>IF($A55="","",COUNTIFS(MAESTRO!$C$2:$C$1220,$A55,MAESTRO!$J$2:$J$1220,"NO",MAESTRO!$F$2:$F$1220,"&lt;&gt;"))</f>
        <v/>
      </c>
      <c r="E55" s="41" t="str">
        <f t="shared" si="1"/>
        <v/>
      </c>
      <c r="F55" s="41" t="str">
        <f>IF($A55="","",COUNTIFS(MAESTRO!$C$2:$C$1220,$A55,MAESTRO!$N$2:$N$1220,"VIP",MAESTRO!$F$2:$F$1220,"&lt;&gt;"))</f>
        <v/>
      </c>
      <c r="G55" s="41" t="str">
        <f>IF($A55="","",COUNTIFS(MAESTRO!$C$2:$C$1220,$A55,MAESTRO!$N$2:$N$1220,"LATERAL VIP",MAESTRO!$F$2:$F$1220,"&lt;&gt;"))</f>
        <v/>
      </c>
      <c r="H55" s="41" t="str">
        <f>IF($A55="","",COUNTIFS(MAESTRO!$C$2:$C$1220,$A55,MAESTRO!$N$2:$N$1220,"LATERAL",MAESTRO!$F$2:$F$1220,"&lt;&gt;"))</f>
        <v/>
      </c>
      <c r="I55" s="41" t="str">
        <f>IF($A55="","",COUNTIFS(MAESTRO!$C$2:$C$1220,$A55,MAESTRO!$O$2:$O$1220,"SI",MAESTRO!$F$2:$F$1220,"&lt;&gt;"))</f>
        <v/>
      </c>
      <c r="J55" s="41"/>
      <c r="K55" s="41"/>
      <c r="L55" s="41"/>
      <c r="M55" s="41"/>
    </row>
    <row r="56" spans="1:13" ht="18" customHeight="1" x14ac:dyDescent="0.25">
      <c r="A56" s="41"/>
      <c r="B56" s="41" t="str">
        <f>IF($A56="","",COUNTIFS(MAESTRO!$C$2:$C$1220,$A56,MAESTRO!$F$2:$F$1220,"&lt;&gt;"))</f>
        <v/>
      </c>
      <c r="C56" s="41" t="str">
        <f>IF($A56="","",COUNTIFS(MAESTRO!$C$2:$C$1220,$A56,MAESTRO!$J$2:$J$1220,"SI",MAESTRO!$F$2:$F$1220,"&lt;&gt;"))</f>
        <v/>
      </c>
      <c r="D56" s="41" t="str">
        <f>IF($A56="","",COUNTIFS(MAESTRO!$C$2:$C$1220,$A56,MAESTRO!$J$2:$J$1220,"NO",MAESTRO!$F$2:$F$1220,"&lt;&gt;"))</f>
        <v/>
      </c>
      <c r="E56" s="41" t="str">
        <f t="shared" si="1"/>
        <v/>
      </c>
      <c r="F56" s="41" t="str">
        <f>IF($A56="","",COUNTIFS(MAESTRO!$C$2:$C$1220,$A56,MAESTRO!$N$2:$N$1220,"VIP",MAESTRO!$F$2:$F$1220,"&lt;&gt;"))</f>
        <v/>
      </c>
      <c r="G56" s="41" t="str">
        <f>IF($A56="","",COUNTIFS(MAESTRO!$C$2:$C$1220,$A56,MAESTRO!$N$2:$N$1220,"LATERAL VIP",MAESTRO!$F$2:$F$1220,"&lt;&gt;"))</f>
        <v/>
      </c>
      <c r="H56" s="41" t="str">
        <f>IF($A56="","",COUNTIFS(MAESTRO!$C$2:$C$1220,$A56,MAESTRO!$N$2:$N$1220,"LATERAL",MAESTRO!$F$2:$F$1220,"&lt;&gt;"))</f>
        <v/>
      </c>
      <c r="I56" s="41" t="str">
        <f>IF($A56="","",COUNTIFS(MAESTRO!$C$2:$C$1220,$A56,MAESTRO!$O$2:$O$1220,"SI",MAESTRO!$F$2:$F$1220,"&lt;&gt;"))</f>
        <v/>
      </c>
      <c r="J56" s="41"/>
      <c r="K56" s="41"/>
      <c r="L56" s="41"/>
      <c r="M56" s="41"/>
    </row>
    <row r="57" spans="1:13" ht="18" customHeight="1" x14ac:dyDescent="0.25">
      <c r="A57" s="41"/>
      <c r="B57" s="41" t="str">
        <f>IF($A57="","",COUNTIFS(MAESTRO!$C$2:$C$1220,$A57,MAESTRO!$F$2:$F$1220,"&lt;&gt;"))</f>
        <v/>
      </c>
      <c r="C57" s="41" t="str">
        <f>IF($A57="","",COUNTIFS(MAESTRO!$C$2:$C$1220,$A57,MAESTRO!$J$2:$J$1220,"SI",MAESTRO!$F$2:$F$1220,"&lt;&gt;"))</f>
        <v/>
      </c>
      <c r="D57" s="41" t="str">
        <f>IF($A57="","",COUNTIFS(MAESTRO!$C$2:$C$1220,$A57,MAESTRO!$J$2:$J$1220,"NO",MAESTRO!$F$2:$F$1220,"&lt;&gt;"))</f>
        <v/>
      </c>
      <c r="E57" s="41" t="str">
        <f t="shared" si="1"/>
        <v/>
      </c>
      <c r="F57" s="41" t="str">
        <f>IF($A57="","",COUNTIFS(MAESTRO!$C$2:$C$1220,$A57,MAESTRO!$N$2:$N$1220,"VIP",MAESTRO!$F$2:$F$1220,"&lt;&gt;"))</f>
        <v/>
      </c>
      <c r="G57" s="41" t="str">
        <f>IF($A57="","",COUNTIFS(MAESTRO!$C$2:$C$1220,$A57,MAESTRO!$N$2:$N$1220,"LATERAL VIP",MAESTRO!$F$2:$F$1220,"&lt;&gt;"))</f>
        <v/>
      </c>
      <c r="H57" s="41" t="str">
        <f>IF($A57="","",COUNTIFS(MAESTRO!$C$2:$C$1220,$A57,MAESTRO!$N$2:$N$1220,"LATERAL",MAESTRO!$F$2:$F$1220,"&lt;&gt;"))</f>
        <v/>
      </c>
      <c r="I57" s="41" t="str">
        <f>IF($A57="","",COUNTIFS(MAESTRO!$C$2:$C$1220,$A57,MAESTRO!$O$2:$O$1220,"SI",MAESTRO!$F$2:$F$1220,"&lt;&gt;"))</f>
        <v/>
      </c>
      <c r="J57" s="41"/>
      <c r="K57" s="41"/>
      <c r="L57" s="41"/>
      <c r="M57" s="41"/>
    </row>
    <row r="58" spans="1:13" ht="18" customHeight="1" x14ac:dyDescent="0.25">
      <c r="A58" s="41"/>
      <c r="B58" s="41" t="str">
        <f>IF($A58="","",COUNTIFS(MAESTRO!$C$2:$C$1220,$A58,MAESTRO!$F$2:$F$1220,"&lt;&gt;"))</f>
        <v/>
      </c>
      <c r="C58" s="41" t="str">
        <f>IF($A58="","",COUNTIFS(MAESTRO!$C$2:$C$1220,$A58,MAESTRO!$J$2:$J$1220,"SI",MAESTRO!$F$2:$F$1220,"&lt;&gt;"))</f>
        <v/>
      </c>
      <c r="D58" s="41" t="str">
        <f>IF($A58="","",COUNTIFS(MAESTRO!$C$2:$C$1220,$A58,MAESTRO!$J$2:$J$1220,"NO",MAESTRO!$F$2:$F$1220,"&lt;&gt;"))</f>
        <v/>
      </c>
      <c r="E58" s="41" t="str">
        <f t="shared" si="1"/>
        <v/>
      </c>
      <c r="F58" s="41" t="str">
        <f>IF($A58="","",COUNTIFS(MAESTRO!$C$2:$C$1220,$A58,MAESTRO!$N$2:$N$1220,"VIP",MAESTRO!$F$2:$F$1220,"&lt;&gt;"))</f>
        <v/>
      </c>
      <c r="G58" s="41" t="str">
        <f>IF($A58="","",COUNTIFS(MAESTRO!$C$2:$C$1220,$A58,MAESTRO!$N$2:$N$1220,"LATERAL VIP",MAESTRO!$F$2:$F$1220,"&lt;&gt;"))</f>
        <v/>
      </c>
      <c r="H58" s="41" t="str">
        <f>IF($A58="","",COUNTIFS(MAESTRO!$C$2:$C$1220,$A58,MAESTRO!$N$2:$N$1220,"LATERAL",MAESTRO!$F$2:$F$1220,"&lt;&gt;"))</f>
        <v/>
      </c>
      <c r="I58" s="41" t="str">
        <f>IF($A58="","",COUNTIFS(MAESTRO!$C$2:$C$1220,$A58,MAESTRO!$O$2:$O$1220,"SI",MAESTRO!$F$2:$F$1220,"&lt;&gt;"))</f>
        <v/>
      </c>
      <c r="J58" s="41"/>
      <c r="K58" s="41"/>
      <c r="L58" s="41"/>
      <c r="M58" s="41"/>
    </row>
    <row r="59" spans="1:13" ht="18" customHeight="1" x14ac:dyDescent="0.25">
      <c r="A59" s="41"/>
      <c r="B59" s="41" t="str">
        <f>IF($A59="","",COUNTIFS(MAESTRO!$C$2:$C$1220,$A59,MAESTRO!$F$2:$F$1220,"&lt;&gt;"))</f>
        <v/>
      </c>
      <c r="C59" s="41" t="str">
        <f>IF($A59="","",COUNTIFS(MAESTRO!$C$2:$C$1220,$A59,MAESTRO!$J$2:$J$1220,"SI",MAESTRO!$F$2:$F$1220,"&lt;&gt;"))</f>
        <v/>
      </c>
      <c r="D59" s="41" t="str">
        <f>IF($A59="","",COUNTIFS(MAESTRO!$C$2:$C$1220,$A59,MAESTRO!$J$2:$J$1220,"NO",MAESTRO!$F$2:$F$1220,"&lt;&gt;"))</f>
        <v/>
      </c>
      <c r="E59" s="41" t="str">
        <f t="shared" si="1"/>
        <v/>
      </c>
      <c r="F59" s="41" t="str">
        <f>IF($A59="","",COUNTIFS(MAESTRO!$C$2:$C$1220,$A59,MAESTRO!$N$2:$N$1220,"VIP",MAESTRO!$F$2:$F$1220,"&lt;&gt;"))</f>
        <v/>
      </c>
      <c r="G59" s="41" t="str">
        <f>IF($A59="","",COUNTIFS(MAESTRO!$C$2:$C$1220,$A59,MAESTRO!$N$2:$N$1220,"LATERAL VIP",MAESTRO!$F$2:$F$1220,"&lt;&gt;"))</f>
        <v/>
      </c>
      <c r="H59" s="41" t="str">
        <f>IF($A59="","",COUNTIFS(MAESTRO!$C$2:$C$1220,$A59,MAESTRO!$N$2:$N$1220,"LATERAL",MAESTRO!$F$2:$F$1220,"&lt;&gt;"))</f>
        <v/>
      </c>
      <c r="I59" s="41" t="str">
        <f>IF($A59="","",COUNTIFS(MAESTRO!$C$2:$C$1220,$A59,MAESTRO!$O$2:$O$1220,"SI",MAESTRO!$F$2:$F$1220,"&lt;&gt;"))</f>
        <v/>
      </c>
      <c r="J59" s="41"/>
      <c r="K59" s="41"/>
      <c r="L59" s="41"/>
      <c r="M59" s="41"/>
    </row>
    <row r="60" spans="1:13" ht="18" customHeight="1" x14ac:dyDescent="0.25">
      <c r="A60" s="41"/>
      <c r="B60" s="41" t="str">
        <f>IF($A60="","",COUNTIFS(MAESTRO!$C$2:$C$1220,$A60,MAESTRO!$F$2:$F$1220,"&lt;&gt;"))</f>
        <v/>
      </c>
      <c r="C60" s="41" t="str">
        <f>IF($A60="","",COUNTIFS(MAESTRO!$C$2:$C$1220,$A60,MAESTRO!$J$2:$J$1220,"SI",MAESTRO!$F$2:$F$1220,"&lt;&gt;"))</f>
        <v/>
      </c>
      <c r="D60" s="41" t="str">
        <f>IF($A60="","",COUNTIFS(MAESTRO!$C$2:$C$1220,$A60,MAESTRO!$J$2:$J$1220,"NO",MAESTRO!$F$2:$F$1220,"&lt;&gt;"))</f>
        <v/>
      </c>
      <c r="E60" s="41" t="str">
        <f t="shared" si="1"/>
        <v/>
      </c>
      <c r="F60" s="41" t="str">
        <f>IF($A60="","",COUNTIFS(MAESTRO!$C$2:$C$1220,$A60,MAESTRO!$N$2:$N$1220,"VIP",MAESTRO!$F$2:$F$1220,"&lt;&gt;"))</f>
        <v/>
      </c>
      <c r="G60" s="41" t="str">
        <f>IF($A60="","",COUNTIFS(MAESTRO!$C$2:$C$1220,$A60,MAESTRO!$N$2:$N$1220,"LATERAL VIP",MAESTRO!$F$2:$F$1220,"&lt;&gt;"))</f>
        <v/>
      </c>
      <c r="H60" s="41" t="str">
        <f>IF($A60="","",COUNTIFS(MAESTRO!$C$2:$C$1220,$A60,MAESTRO!$N$2:$N$1220,"LATERAL",MAESTRO!$F$2:$F$1220,"&lt;&gt;"))</f>
        <v/>
      </c>
      <c r="I60" s="41" t="str">
        <f>IF($A60="","",COUNTIFS(MAESTRO!$C$2:$C$1220,$A60,MAESTRO!$O$2:$O$1220,"SI",MAESTRO!$F$2:$F$1220,"&lt;&gt;"))</f>
        <v/>
      </c>
      <c r="J60" s="41"/>
      <c r="K60" s="41"/>
      <c r="L60" s="41"/>
      <c r="M60" s="41"/>
    </row>
    <row r="61" spans="1:13" ht="18" customHeight="1" x14ac:dyDescent="0.25">
      <c r="A61" s="41"/>
      <c r="B61" s="41" t="str">
        <f>IF($A61="","",COUNTIFS(MAESTRO!$C$2:$C$1220,$A61,MAESTRO!$F$2:$F$1220,"&lt;&gt;"))</f>
        <v/>
      </c>
      <c r="C61" s="41" t="str">
        <f>IF($A61="","",COUNTIFS(MAESTRO!$C$2:$C$1220,$A61,MAESTRO!$J$2:$J$1220,"SI",MAESTRO!$F$2:$F$1220,"&lt;&gt;"))</f>
        <v/>
      </c>
      <c r="D61" s="41" t="str">
        <f>IF($A61="","",COUNTIFS(MAESTRO!$C$2:$C$1220,$A61,MAESTRO!$J$2:$J$1220,"NO",MAESTRO!$F$2:$F$1220,"&lt;&gt;"))</f>
        <v/>
      </c>
      <c r="E61" s="41" t="str">
        <f t="shared" si="1"/>
        <v/>
      </c>
      <c r="F61" s="41" t="str">
        <f>IF($A61="","",COUNTIFS(MAESTRO!$C$2:$C$1220,$A61,MAESTRO!$N$2:$N$1220,"VIP",MAESTRO!$F$2:$F$1220,"&lt;&gt;"))</f>
        <v/>
      </c>
      <c r="G61" s="41" t="str">
        <f>IF($A61="","",COUNTIFS(MAESTRO!$C$2:$C$1220,$A61,MAESTRO!$N$2:$N$1220,"LATERAL VIP",MAESTRO!$F$2:$F$1220,"&lt;&gt;"))</f>
        <v/>
      </c>
      <c r="H61" s="41" t="str">
        <f>IF($A61="","",COUNTIFS(MAESTRO!$C$2:$C$1220,$A61,MAESTRO!$N$2:$N$1220,"LATERAL",MAESTRO!$F$2:$F$1220,"&lt;&gt;"))</f>
        <v/>
      </c>
      <c r="I61" s="41" t="str">
        <f>IF($A61="","",COUNTIFS(MAESTRO!$C$2:$C$1220,$A61,MAESTRO!$O$2:$O$1220,"SI",MAESTRO!$F$2:$F$1220,"&lt;&gt;"))</f>
        <v/>
      </c>
      <c r="J61" s="41"/>
      <c r="K61" s="41"/>
      <c r="L61" s="41"/>
      <c r="M61" s="41"/>
    </row>
    <row r="62" spans="1:13" ht="18" customHeight="1" x14ac:dyDescent="0.25">
      <c r="A62" s="41"/>
      <c r="B62" s="41" t="str">
        <f>IF($A62="","",COUNTIFS(MAESTRO!$C$2:$C$1220,$A62,MAESTRO!$F$2:$F$1220,"&lt;&gt;"))</f>
        <v/>
      </c>
      <c r="C62" s="41" t="str">
        <f>IF($A62="","",COUNTIFS(MAESTRO!$C$2:$C$1220,$A62,MAESTRO!$J$2:$J$1220,"SI",MAESTRO!$F$2:$F$1220,"&lt;&gt;"))</f>
        <v/>
      </c>
      <c r="D62" s="41" t="str">
        <f>IF($A62="","",COUNTIFS(MAESTRO!$C$2:$C$1220,$A62,MAESTRO!$J$2:$J$1220,"NO",MAESTRO!$F$2:$F$1220,"&lt;&gt;"))</f>
        <v/>
      </c>
      <c r="E62" s="41" t="str">
        <f t="shared" si="1"/>
        <v/>
      </c>
      <c r="F62" s="41" t="str">
        <f>IF($A62="","",COUNTIFS(MAESTRO!$C$2:$C$1220,$A62,MAESTRO!$N$2:$N$1220,"VIP",MAESTRO!$F$2:$F$1220,"&lt;&gt;"))</f>
        <v/>
      </c>
      <c r="G62" s="41" t="str">
        <f>IF($A62="","",COUNTIFS(MAESTRO!$C$2:$C$1220,$A62,MAESTRO!$N$2:$N$1220,"LATERAL VIP",MAESTRO!$F$2:$F$1220,"&lt;&gt;"))</f>
        <v/>
      </c>
      <c r="H62" s="41" t="str">
        <f>IF($A62="","",COUNTIFS(MAESTRO!$C$2:$C$1220,$A62,MAESTRO!$N$2:$N$1220,"LATERAL",MAESTRO!$F$2:$F$1220,"&lt;&gt;"))</f>
        <v/>
      </c>
      <c r="I62" s="41" t="str">
        <f>IF($A62="","",COUNTIFS(MAESTRO!$C$2:$C$1220,$A62,MAESTRO!$O$2:$O$1220,"SI",MAESTRO!$F$2:$F$1220,"&lt;&gt;"))</f>
        <v/>
      </c>
      <c r="J62" s="41"/>
      <c r="K62" s="41"/>
      <c r="L62" s="41"/>
      <c r="M62" s="41"/>
    </row>
    <row r="63" spans="1:13" ht="18" customHeight="1" x14ac:dyDescent="0.25">
      <c r="A63" s="41"/>
      <c r="B63" s="41" t="str">
        <f>IF($A63="","",COUNTIFS(MAESTRO!$C$2:$C$1220,$A63,MAESTRO!$F$2:$F$1220,"&lt;&gt;"))</f>
        <v/>
      </c>
      <c r="C63" s="41" t="str">
        <f>IF($A63="","",COUNTIFS(MAESTRO!$C$2:$C$1220,$A63,MAESTRO!$J$2:$J$1220,"SI",MAESTRO!$F$2:$F$1220,"&lt;&gt;"))</f>
        <v/>
      </c>
      <c r="D63" s="41" t="str">
        <f>IF($A63="","",COUNTIFS(MAESTRO!$C$2:$C$1220,$A63,MAESTRO!$J$2:$J$1220,"NO",MAESTRO!$F$2:$F$1220,"&lt;&gt;"))</f>
        <v/>
      </c>
      <c r="E63" s="41" t="str">
        <f t="shared" si="1"/>
        <v/>
      </c>
      <c r="F63" s="41" t="str">
        <f>IF($A63="","",COUNTIFS(MAESTRO!$C$2:$C$1220,$A63,MAESTRO!$N$2:$N$1220,"VIP",MAESTRO!$F$2:$F$1220,"&lt;&gt;"))</f>
        <v/>
      </c>
      <c r="G63" s="41" t="str">
        <f>IF($A63="","",COUNTIFS(MAESTRO!$C$2:$C$1220,$A63,MAESTRO!$N$2:$N$1220,"LATERAL VIP",MAESTRO!$F$2:$F$1220,"&lt;&gt;"))</f>
        <v/>
      </c>
      <c r="H63" s="41" t="str">
        <f>IF($A63="","",COUNTIFS(MAESTRO!$C$2:$C$1220,$A63,MAESTRO!$N$2:$N$1220,"LATERAL",MAESTRO!$F$2:$F$1220,"&lt;&gt;"))</f>
        <v/>
      </c>
      <c r="I63" s="41" t="str">
        <f>IF($A63="","",COUNTIFS(MAESTRO!$C$2:$C$1220,$A63,MAESTRO!$O$2:$O$1220,"SI",MAESTRO!$F$2:$F$1220,"&lt;&gt;"))</f>
        <v/>
      </c>
      <c r="J63" s="41"/>
      <c r="K63" s="41"/>
      <c r="L63" s="41"/>
      <c r="M63" s="41"/>
    </row>
    <row r="64" spans="1:13" ht="18" customHeight="1" x14ac:dyDescent="0.25">
      <c r="A64" s="41"/>
      <c r="B64" s="41" t="str">
        <f>IF($A64="","",COUNTIFS(MAESTRO!$C$2:$C$1220,$A64,MAESTRO!$F$2:$F$1220,"&lt;&gt;"))</f>
        <v/>
      </c>
      <c r="C64" s="41" t="str">
        <f>IF($A64="","",COUNTIFS(MAESTRO!$C$2:$C$1220,$A64,MAESTRO!$J$2:$J$1220,"SI",MAESTRO!$F$2:$F$1220,"&lt;&gt;"))</f>
        <v/>
      </c>
      <c r="D64" s="41" t="str">
        <f>IF($A64="","",COUNTIFS(MAESTRO!$C$2:$C$1220,$A64,MAESTRO!$J$2:$J$1220,"NO",MAESTRO!$F$2:$F$1220,"&lt;&gt;"))</f>
        <v/>
      </c>
      <c r="E64" s="41" t="str">
        <f t="shared" si="1"/>
        <v/>
      </c>
      <c r="F64" s="41" t="str">
        <f>IF($A64="","",COUNTIFS(MAESTRO!$C$2:$C$1220,$A64,MAESTRO!$N$2:$N$1220,"VIP",MAESTRO!$F$2:$F$1220,"&lt;&gt;"))</f>
        <v/>
      </c>
      <c r="G64" s="41" t="str">
        <f>IF($A64="","",COUNTIFS(MAESTRO!$C$2:$C$1220,$A64,MAESTRO!$N$2:$N$1220,"LATERAL VIP",MAESTRO!$F$2:$F$1220,"&lt;&gt;"))</f>
        <v/>
      </c>
      <c r="H64" s="41" t="str">
        <f>IF($A64="","",COUNTIFS(MAESTRO!$C$2:$C$1220,$A64,MAESTRO!$N$2:$N$1220,"LATERAL",MAESTRO!$F$2:$F$1220,"&lt;&gt;"))</f>
        <v/>
      </c>
      <c r="I64" s="41" t="str">
        <f>IF($A64="","",COUNTIFS(MAESTRO!$C$2:$C$1220,$A64,MAESTRO!$O$2:$O$1220,"SI",MAESTRO!$F$2:$F$1220,"&lt;&gt;"))</f>
        <v/>
      </c>
      <c r="J64" s="41"/>
      <c r="K64" s="41"/>
      <c r="L64" s="41"/>
      <c r="M64" s="41"/>
    </row>
    <row r="65" spans="1:13" ht="18" customHeight="1" x14ac:dyDescent="0.25">
      <c r="A65" s="41"/>
      <c r="B65" s="41" t="str">
        <f>IF($A65="","",COUNTIFS(MAESTRO!$C$2:$C$1220,$A65,MAESTRO!$F$2:$F$1220,"&lt;&gt;"))</f>
        <v/>
      </c>
      <c r="C65" s="41" t="str">
        <f>IF($A65="","",COUNTIFS(MAESTRO!$C$2:$C$1220,$A65,MAESTRO!$J$2:$J$1220,"SI",MAESTRO!$F$2:$F$1220,"&lt;&gt;"))</f>
        <v/>
      </c>
      <c r="D65" s="41" t="str">
        <f>IF($A65="","",COUNTIFS(MAESTRO!$C$2:$C$1220,$A65,MAESTRO!$J$2:$J$1220,"NO",MAESTRO!$F$2:$F$1220,"&lt;&gt;"))</f>
        <v/>
      </c>
      <c r="E65" s="41" t="str">
        <f t="shared" si="1"/>
        <v/>
      </c>
      <c r="F65" s="41" t="str">
        <f>IF($A65="","",COUNTIFS(MAESTRO!$C$2:$C$1220,$A65,MAESTRO!$N$2:$N$1220,"VIP",MAESTRO!$F$2:$F$1220,"&lt;&gt;"))</f>
        <v/>
      </c>
      <c r="G65" s="41" t="str">
        <f>IF($A65="","",COUNTIFS(MAESTRO!$C$2:$C$1220,$A65,MAESTRO!$N$2:$N$1220,"LATERAL VIP",MAESTRO!$F$2:$F$1220,"&lt;&gt;"))</f>
        <v/>
      </c>
      <c r="H65" s="41" t="str">
        <f>IF($A65="","",COUNTIFS(MAESTRO!$C$2:$C$1220,$A65,MAESTRO!$N$2:$N$1220,"LATERAL",MAESTRO!$F$2:$F$1220,"&lt;&gt;"))</f>
        <v/>
      </c>
      <c r="I65" s="41" t="str">
        <f>IF($A65="","",COUNTIFS(MAESTRO!$C$2:$C$1220,$A65,MAESTRO!$O$2:$O$1220,"SI",MAESTRO!$F$2:$F$1220,"&lt;&gt;"))</f>
        <v/>
      </c>
      <c r="J65" s="41"/>
      <c r="K65" s="41"/>
      <c r="L65" s="41"/>
      <c r="M65" s="41"/>
    </row>
    <row r="66" spans="1:13" ht="18" customHeight="1" x14ac:dyDescent="0.25">
      <c r="A66" s="41"/>
      <c r="B66" s="41" t="str">
        <f>IF($A66="","",COUNTIFS(MAESTRO!$C$2:$C$1220,$A66,MAESTRO!$F$2:$F$1220,"&lt;&gt;"))</f>
        <v/>
      </c>
      <c r="C66" s="41" t="str">
        <f>IF($A66="","",COUNTIFS(MAESTRO!$C$2:$C$1220,$A66,MAESTRO!$J$2:$J$1220,"SI",MAESTRO!$F$2:$F$1220,"&lt;&gt;"))</f>
        <v/>
      </c>
      <c r="D66" s="41" t="str">
        <f>IF($A66="","",COUNTIFS(MAESTRO!$C$2:$C$1220,$A66,MAESTRO!$J$2:$J$1220,"NO",MAESTRO!$F$2:$F$1220,"&lt;&gt;"))</f>
        <v/>
      </c>
      <c r="E66" s="41" t="str">
        <f t="shared" si="1"/>
        <v/>
      </c>
      <c r="F66" s="41" t="str">
        <f>IF($A66="","",COUNTIFS(MAESTRO!$C$2:$C$1220,$A66,MAESTRO!$N$2:$N$1220,"VIP",MAESTRO!$F$2:$F$1220,"&lt;&gt;"))</f>
        <v/>
      </c>
      <c r="G66" s="41" t="str">
        <f>IF($A66="","",COUNTIFS(MAESTRO!$C$2:$C$1220,$A66,MAESTRO!$N$2:$N$1220,"LATERAL VIP",MAESTRO!$F$2:$F$1220,"&lt;&gt;"))</f>
        <v/>
      </c>
      <c r="H66" s="41" t="str">
        <f>IF($A66="","",COUNTIFS(MAESTRO!$C$2:$C$1220,$A66,MAESTRO!$N$2:$N$1220,"LATERAL",MAESTRO!$F$2:$F$1220,"&lt;&gt;"))</f>
        <v/>
      </c>
      <c r="I66" s="41" t="str">
        <f>IF($A66="","",COUNTIFS(MAESTRO!$C$2:$C$1220,$A66,MAESTRO!$O$2:$O$1220,"SI",MAESTRO!$F$2:$F$1220,"&lt;&gt;"))</f>
        <v/>
      </c>
      <c r="J66" s="41"/>
      <c r="K66" s="41"/>
      <c r="L66" s="41"/>
      <c r="M66" s="41"/>
    </row>
    <row r="67" spans="1:13" ht="18" customHeight="1" x14ac:dyDescent="0.25">
      <c r="A67" s="41"/>
      <c r="B67" s="41" t="str">
        <f>IF($A67="","",COUNTIFS(MAESTRO!$C$2:$C$1220,$A67,MAESTRO!$F$2:$F$1220,"&lt;&gt;"))</f>
        <v/>
      </c>
      <c r="C67" s="41" t="str">
        <f>IF($A67="","",COUNTIFS(MAESTRO!$C$2:$C$1220,$A67,MAESTRO!$J$2:$J$1220,"SI",MAESTRO!$F$2:$F$1220,"&lt;&gt;"))</f>
        <v/>
      </c>
      <c r="D67" s="41" t="str">
        <f>IF($A67="","",COUNTIFS(MAESTRO!$C$2:$C$1220,$A67,MAESTRO!$J$2:$J$1220,"NO",MAESTRO!$F$2:$F$1220,"&lt;&gt;"))</f>
        <v/>
      </c>
      <c r="E67" s="41" t="str">
        <f t="shared" si="1"/>
        <v/>
      </c>
      <c r="F67" s="41" t="str">
        <f>IF($A67="","",COUNTIFS(MAESTRO!$C$2:$C$1220,$A67,MAESTRO!$N$2:$N$1220,"VIP",MAESTRO!$F$2:$F$1220,"&lt;&gt;"))</f>
        <v/>
      </c>
      <c r="G67" s="41" t="str">
        <f>IF($A67="","",COUNTIFS(MAESTRO!$C$2:$C$1220,$A67,MAESTRO!$N$2:$N$1220,"LATERAL VIP",MAESTRO!$F$2:$F$1220,"&lt;&gt;"))</f>
        <v/>
      </c>
      <c r="H67" s="41" t="str">
        <f>IF($A67="","",COUNTIFS(MAESTRO!$C$2:$C$1220,$A67,MAESTRO!$N$2:$N$1220,"LATERAL",MAESTRO!$F$2:$F$1220,"&lt;&gt;"))</f>
        <v/>
      </c>
      <c r="I67" s="41" t="str">
        <f>IF($A67="","",COUNTIFS(MAESTRO!$C$2:$C$1220,$A67,MAESTRO!$O$2:$O$1220,"SI",MAESTRO!$F$2:$F$1220,"&lt;&gt;"))</f>
        <v/>
      </c>
      <c r="J67" s="41"/>
      <c r="K67" s="41"/>
      <c r="L67" s="41"/>
      <c r="M67" s="41"/>
    </row>
    <row r="68" spans="1:13" ht="18" customHeight="1" x14ac:dyDescent="0.25">
      <c r="A68" s="41"/>
      <c r="B68" s="41" t="str">
        <f>IF($A68="","",COUNTIFS(MAESTRO!$C$2:$C$1220,$A68,MAESTRO!$F$2:$F$1220,"&lt;&gt;"))</f>
        <v/>
      </c>
      <c r="C68" s="41" t="str">
        <f>IF($A68="","",COUNTIFS(MAESTRO!$C$2:$C$1220,$A68,MAESTRO!$J$2:$J$1220,"SI",MAESTRO!$F$2:$F$1220,"&lt;&gt;"))</f>
        <v/>
      </c>
      <c r="D68" s="41" t="str">
        <f>IF($A68="","",COUNTIFS(MAESTRO!$C$2:$C$1220,$A68,MAESTRO!$J$2:$J$1220,"NO",MAESTRO!$F$2:$F$1220,"&lt;&gt;"))</f>
        <v/>
      </c>
      <c r="E68" s="41" t="str">
        <f t="shared" si="1"/>
        <v/>
      </c>
      <c r="F68" s="41" t="str">
        <f>IF($A68="","",COUNTIFS(MAESTRO!$C$2:$C$1220,$A68,MAESTRO!$N$2:$N$1220,"VIP",MAESTRO!$F$2:$F$1220,"&lt;&gt;"))</f>
        <v/>
      </c>
      <c r="G68" s="41" t="str">
        <f>IF($A68="","",COUNTIFS(MAESTRO!$C$2:$C$1220,$A68,MAESTRO!$N$2:$N$1220,"LATERAL VIP",MAESTRO!$F$2:$F$1220,"&lt;&gt;"))</f>
        <v/>
      </c>
      <c r="H68" s="41" t="str">
        <f>IF($A68="","",COUNTIFS(MAESTRO!$C$2:$C$1220,$A68,MAESTRO!$N$2:$N$1220,"LATERAL",MAESTRO!$F$2:$F$1220,"&lt;&gt;"))</f>
        <v/>
      </c>
      <c r="I68" s="41" t="str">
        <f>IF($A68="","",COUNTIFS(MAESTRO!$C$2:$C$1220,$A68,MAESTRO!$O$2:$O$1220,"SI",MAESTRO!$F$2:$F$1220,"&lt;&gt;"))</f>
        <v/>
      </c>
      <c r="J68" s="41"/>
      <c r="K68" s="41"/>
      <c r="L68" s="41"/>
      <c r="M68" s="41"/>
    </row>
    <row r="69" spans="1:13" ht="18" customHeight="1" x14ac:dyDescent="0.25">
      <c r="A69" s="41"/>
      <c r="B69" s="41" t="str">
        <f>IF($A69="","",COUNTIFS(MAESTRO!$C$2:$C$1220,$A69,MAESTRO!$F$2:$F$1220,"&lt;&gt;"))</f>
        <v/>
      </c>
      <c r="C69" s="41" t="str">
        <f>IF($A69="","",COUNTIFS(MAESTRO!$C$2:$C$1220,$A69,MAESTRO!$J$2:$J$1220,"SI",MAESTRO!$F$2:$F$1220,"&lt;&gt;"))</f>
        <v/>
      </c>
      <c r="D69" s="41" t="str">
        <f>IF($A69="","",COUNTIFS(MAESTRO!$C$2:$C$1220,$A69,MAESTRO!$J$2:$J$1220,"NO",MAESTRO!$F$2:$F$1220,"&lt;&gt;"))</f>
        <v/>
      </c>
      <c r="E69" s="41" t="str">
        <f t="shared" si="1"/>
        <v/>
      </c>
      <c r="F69" s="41" t="str">
        <f>IF($A69="","",COUNTIFS(MAESTRO!$C$2:$C$1220,$A69,MAESTRO!$N$2:$N$1220,"VIP",MAESTRO!$F$2:$F$1220,"&lt;&gt;"))</f>
        <v/>
      </c>
      <c r="G69" s="41" t="str">
        <f>IF($A69="","",COUNTIFS(MAESTRO!$C$2:$C$1220,$A69,MAESTRO!$N$2:$N$1220,"LATERAL VIP",MAESTRO!$F$2:$F$1220,"&lt;&gt;"))</f>
        <v/>
      </c>
      <c r="H69" s="41" t="str">
        <f>IF($A69="","",COUNTIFS(MAESTRO!$C$2:$C$1220,$A69,MAESTRO!$N$2:$N$1220,"LATERAL",MAESTRO!$F$2:$F$1220,"&lt;&gt;"))</f>
        <v/>
      </c>
      <c r="I69" s="41" t="str">
        <f>IF($A69="","",COUNTIFS(MAESTRO!$C$2:$C$1220,$A69,MAESTRO!$O$2:$O$1220,"SI",MAESTRO!$F$2:$F$1220,"&lt;&gt;"))</f>
        <v/>
      </c>
      <c r="J69" s="41"/>
      <c r="K69" s="41"/>
      <c r="L69" s="41"/>
      <c r="M69" s="41"/>
    </row>
    <row r="70" spans="1:13" ht="18" customHeight="1" x14ac:dyDescent="0.25">
      <c r="A70" s="41"/>
      <c r="B70" s="41" t="str">
        <f>IF($A70="","",COUNTIFS(MAESTRO!$C$2:$C$1220,$A70,MAESTRO!$F$2:$F$1220,"&lt;&gt;"))</f>
        <v/>
      </c>
      <c r="C70" s="41" t="str">
        <f>IF($A70="","",COUNTIFS(MAESTRO!$C$2:$C$1220,$A70,MAESTRO!$J$2:$J$1220,"SI",MAESTRO!$F$2:$F$1220,"&lt;&gt;"))</f>
        <v/>
      </c>
      <c r="D70" s="41" t="str">
        <f>IF($A70="","",COUNTIFS(MAESTRO!$C$2:$C$1220,$A70,MAESTRO!$J$2:$J$1220,"NO",MAESTRO!$F$2:$F$1220,"&lt;&gt;"))</f>
        <v/>
      </c>
      <c r="E70" s="41" t="str">
        <f t="shared" si="1"/>
        <v/>
      </c>
      <c r="F70" s="41" t="str">
        <f>IF($A70="","",COUNTIFS(MAESTRO!$C$2:$C$1220,$A70,MAESTRO!$N$2:$N$1220,"VIP",MAESTRO!$F$2:$F$1220,"&lt;&gt;"))</f>
        <v/>
      </c>
      <c r="G70" s="41" t="str">
        <f>IF($A70="","",COUNTIFS(MAESTRO!$C$2:$C$1220,$A70,MAESTRO!$N$2:$N$1220,"LATERAL VIP",MAESTRO!$F$2:$F$1220,"&lt;&gt;"))</f>
        <v/>
      </c>
      <c r="H70" s="41" t="str">
        <f>IF($A70="","",COUNTIFS(MAESTRO!$C$2:$C$1220,$A70,MAESTRO!$N$2:$N$1220,"LATERAL",MAESTRO!$F$2:$F$1220,"&lt;&gt;"))</f>
        <v/>
      </c>
      <c r="I70" s="41" t="str">
        <f>IF($A70="","",COUNTIFS(MAESTRO!$C$2:$C$1220,$A70,MAESTRO!$O$2:$O$1220,"SI",MAESTRO!$F$2:$F$1220,"&lt;&gt;"))</f>
        <v/>
      </c>
      <c r="J70" s="41"/>
      <c r="K70" s="41"/>
      <c r="L70" s="41"/>
      <c r="M70" s="41"/>
    </row>
    <row r="71" spans="1:13" ht="18" customHeight="1" x14ac:dyDescent="0.25">
      <c r="A71" s="41"/>
      <c r="B71" s="41" t="str">
        <f>IF($A71="","",COUNTIFS(MAESTRO!$C$2:$C$1220,$A71,MAESTRO!$F$2:$F$1220,"&lt;&gt;"))</f>
        <v/>
      </c>
      <c r="C71" s="41" t="str">
        <f>IF($A71="","",COUNTIFS(MAESTRO!$C$2:$C$1220,$A71,MAESTRO!$J$2:$J$1220,"SI",MAESTRO!$F$2:$F$1220,"&lt;&gt;"))</f>
        <v/>
      </c>
      <c r="D71" s="41" t="str">
        <f>IF($A71="","",COUNTIFS(MAESTRO!$C$2:$C$1220,$A71,MAESTRO!$J$2:$J$1220,"NO",MAESTRO!$F$2:$F$1220,"&lt;&gt;"))</f>
        <v/>
      </c>
      <c r="E71" s="41" t="str">
        <f t="shared" si="1"/>
        <v/>
      </c>
      <c r="F71" s="41" t="str">
        <f>IF($A71="","",COUNTIFS(MAESTRO!$C$2:$C$1220,$A71,MAESTRO!$N$2:$N$1220,"VIP",MAESTRO!$F$2:$F$1220,"&lt;&gt;"))</f>
        <v/>
      </c>
      <c r="G71" s="41" t="str">
        <f>IF($A71="","",COUNTIFS(MAESTRO!$C$2:$C$1220,$A71,MAESTRO!$N$2:$N$1220,"LATERAL VIP",MAESTRO!$F$2:$F$1220,"&lt;&gt;"))</f>
        <v/>
      </c>
      <c r="H71" s="41" t="str">
        <f>IF($A71="","",COUNTIFS(MAESTRO!$C$2:$C$1220,$A71,MAESTRO!$N$2:$N$1220,"LATERAL",MAESTRO!$F$2:$F$1220,"&lt;&gt;"))</f>
        <v/>
      </c>
      <c r="I71" s="41" t="str">
        <f>IF($A71="","",COUNTIFS(MAESTRO!$C$2:$C$1220,$A71,MAESTRO!$O$2:$O$1220,"SI",MAESTRO!$F$2:$F$1220,"&lt;&gt;"))</f>
        <v/>
      </c>
      <c r="J71" s="41"/>
      <c r="K71" s="41"/>
      <c r="L71" s="41"/>
      <c r="M71" s="41"/>
    </row>
    <row r="72" spans="1:13" ht="18" customHeight="1" x14ac:dyDescent="0.25">
      <c r="A72" s="41"/>
      <c r="B72" s="41" t="str">
        <f>IF($A72="","",COUNTIFS(MAESTRO!$C$2:$C$1220,$A72,MAESTRO!$F$2:$F$1220,"&lt;&gt;"))</f>
        <v/>
      </c>
      <c r="C72" s="41" t="str">
        <f>IF($A72="","",COUNTIFS(MAESTRO!$C$2:$C$1220,$A72,MAESTRO!$J$2:$J$1220,"SI",MAESTRO!$F$2:$F$1220,"&lt;&gt;"))</f>
        <v/>
      </c>
      <c r="D72" s="41" t="str">
        <f>IF($A72="","",COUNTIFS(MAESTRO!$C$2:$C$1220,$A72,MAESTRO!$J$2:$J$1220,"NO",MAESTRO!$F$2:$F$1220,"&lt;&gt;"))</f>
        <v/>
      </c>
      <c r="E72" s="41" t="str">
        <f t="shared" si="1"/>
        <v/>
      </c>
      <c r="F72" s="41" t="str">
        <f>IF($A72="","",COUNTIFS(MAESTRO!$C$2:$C$1220,$A72,MAESTRO!$N$2:$N$1220,"VIP",MAESTRO!$F$2:$F$1220,"&lt;&gt;"))</f>
        <v/>
      </c>
      <c r="G72" s="41" t="str">
        <f>IF($A72="","",COUNTIFS(MAESTRO!$C$2:$C$1220,$A72,MAESTRO!$N$2:$N$1220,"LATERAL VIP",MAESTRO!$F$2:$F$1220,"&lt;&gt;"))</f>
        <v/>
      </c>
      <c r="H72" s="41" t="str">
        <f>IF($A72="","",COUNTIFS(MAESTRO!$C$2:$C$1220,$A72,MAESTRO!$N$2:$N$1220,"LATERAL",MAESTRO!$F$2:$F$1220,"&lt;&gt;"))</f>
        <v/>
      </c>
      <c r="I72" s="41" t="str">
        <f>IF($A72="","",COUNTIFS(MAESTRO!$C$2:$C$1220,$A72,MAESTRO!$O$2:$O$1220,"SI",MAESTRO!$F$2:$F$1220,"&lt;&gt;"))</f>
        <v/>
      </c>
      <c r="J72" s="41"/>
      <c r="K72" s="41"/>
      <c r="L72" s="41"/>
      <c r="M72" s="41"/>
    </row>
    <row r="73" spans="1:13" ht="18" customHeight="1" x14ac:dyDescent="0.25">
      <c r="A73" s="41"/>
      <c r="B73" s="41" t="str">
        <f>IF($A73="","",COUNTIFS(MAESTRO!$C$2:$C$1220,$A73,MAESTRO!$F$2:$F$1220,"&lt;&gt;"))</f>
        <v/>
      </c>
      <c r="C73" s="41" t="str">
        <f>IF($A73="","",COUNTIFS(MAESTRO!$C$2:$C$1220,$A73,MAESTRO!$J$2:$J$1220,"SI",MAESTRO!$F$2:$F$1220,"&lt;&gt;"))</f>
        <v/>
      </c>
      <c r="D73" s="41" t="str">
        <f>IF($A73="","",COUNTIFS(MAESTRO!$C$2:$C$1220,$A73,MAESTRO!$J$2:$J$1220,"NO",MAESTRO!$F$2:$F$1220,"&lt;&gt;"))</f>
        <v/>
      </c>
      <c r="E73" s="41" t="str">
        <f t="shared" si="1"/>
        <v/>
      </c>
      <c r="F73" s="41" t="str">
        <f>IF($A73="","",COUNTIFS(MAESTRO!$C$2:$C$1220,$A73,MAESTRO!$N$2:$N$1220,"VIP",MAESTRO!$F$2:$F$1220,"&lt;&gt;"))</f>
        <v/>
      </c>
      <c r="G73" s="41" t="str">
        <f>IF($A73="","",COUNTIFS(MAESTRO!$C$2:$C$1220,$A73,MAESTRO!$N$2:$N$1220,"LATERAL VIP",MAESTRO!$F$2:$F$1220,"&lt;&gt;"))</f>
        <v/>
      </c>
      <c r="H73" s="41" t="str">
        <f>IF($A73="","",COUNTIFS(MAESTRO!$C$2:$C$1220,$A73,MAESTRO!$N$2:$N$1220,"LATERAL",MAESTRO!$F$2:$F$1220,"&lt;&gt;"))</f>
        <v/>
      </c>
      <c r="I73" s="41" t="str">
        <f>IF($A73="","",COUNTIFS(MAESTRO!$C$2:$C$1220,$A73,MAESTRO!$O$2:$O$1220,"SI",MAESTRO!$F$2:$F$1220,"&lt;&gt;"))</f>
        <v/>
      </c>
      <c r="J73" s="41"/>
      <c r="K73" s="41"/>
      <c r="L73" s="41"/>
      <c r="M73" s="41"/>
    </row>
    <row r="74" spans="1:13" ht="18" customHeight="1" x14ac:dyDescent="0.25">
      <c r="A74" s="41"/>
      <c r="B74" s="41" t="str">
        <f>IF($A74="","",COUNTIFS(MAESTRO!$C$2:$C$1220,$A74,MAESTRO!$F$2:$F$1220,"&lt;&gt;"))</f>
        <v/>
      </c>
      <c r="C74" s="41" t="str">
        <f>IF($A74="","",COUNTIFS(MAESTRO!$C$2:$C$1220,$A74,MAESTRO!$J$2:$J$1220,"SI",MAESTRO!$F$2:$F$1220,"&lt;&gt;"))</f>
        <v/>
      </c>
      <c r="D74" s="41" t="str">
        <f>IF($A74="","",COUNTIFS(MAESTRO!$C$2:$C$1220,$A74,MAESTRO!$J$2:$J$1220,"NO",MAESTRO!$F$2:$F$1220,"&lt;&gt;"))</f>
        <v/>
      </c>
      <c r="E74" s="41" t="str">
        <f t="shared" si="1"/>
        <v/>
      </c>
      <c r="F74" s="41" t="str">
        <f>IF($A74="","",COUNTIFS(MAESTRO!$C$2:$C$1220,$A74,MAESTRO!$N$2:$N$1220,"VIP",MAESTRO!$F$2:$F$1220,"&lt;&gt;"))</f>
        <v/>
      </c>
      <c r="G74" s="41" t="str">
        <f>IF($A74="","",COUNTIFS(MAESTRO!$C$2:$C$1220,$A74,MAESTRO!$N$2:$N$1220,"LATERAL VIP",MAESTRO!$F$2:$F$1220,"&lt;&gt;"))</f>
        <v/>
      </c>
      <c r="H74" s="41" t="str">
        <f>IF($A74="","",COUNTIFS(MAESTRO!$C$2:$C$1220,$A74,MAESTRO!$N$2:$N$1220,"LATERAL",MAESTRO!$F$2:$F$1220,"&lt;&gt;"))</f>
        <v/>
      </c>
      <c r="I74" s="41" t="str">
        <f>IF($A74="","",COUNTIFS(MAESTRO!$C$2:$C$1220,$A74,MAESTRO!$O$2:$O$1220,"SI",MAESTRO!$F$2:$F$1220,"&lt;&gt;"))</f>
        <v/>
      </c>
      <c r="J74" s="41"/>
      <c r="K74" s="41"/>
      <c r="L74" s="41"/>
      <c r="M74" s="41"/>
    </row>
    <row r="75" spans="1:13" ht="18" customHeight="1" x14ac:dyDescent="0.25">
      <c r="A75" s="41"/>
      <c r="B75" s="41" t="str">
        <f>IF($A75="","",COUNTIFS(MAESTRO!$C$2:$C$1220,$A75,MAESTRO!$F$2:$F$1220,"&lt;&gt;"))</f>
        <v/>
      </c>
      <c r="C75" s="41" t="str">
        <f>IF($A75="","",COUNTIFS(MAESTRO!$C$2:$C$1220,$A75,MAESTRO!$J$2:$J$1220,"SI",MAESTRO!$F$2:$F$1220,"&lt;&gt;"))</f>
        <v/>
      </c>
      <c r="D75" s="41" t="str">
        <f>IF($A75="","",COUNTIFS(MAESTRO!$C$2:$C$1220,$A75,MAESTRO!$J$2:$J$1220,"NO",MAESTRO!$F$2:$F$1220,"&lt;&gt;"))</f>
        <v/>
      </c>
      <c r="E75" s="41" t="str">
        <f t="shared" si="1"/>
        <v/>
      </c>
      <c r="F75" s="41" t="str">
        <f>IF($A75="","",COUNTIFS(MAESTRO!$C$2:$C$1220,$A75,MAESTRO!$N$2:$N$1220,"VIP",MAESTRO!$F$2:$F$1220,"&lt;&gt;"))</f>
        <v/>
      </c>
      <c r="G75" s="41" t="str">
        <f>IF($A75="","",COUNTIFS(MAESTRO!$C$2:$C$1220,$A75,MAESTRO!$N$2:$N$1220,"LATERAL VIP",MAESTRO!$F$2:$F$1220,"&lt;&gt;"))</f>
        <v/>
      </c>
      <c r="H75" s="41" t="str">
        <f>IF($A75="","",COUNTIFS(MAESTRO!$C$2:$C$1220,$A75,MAESTRO!$N$2:$N$1220,"LATERAL",MAESTRO!$F$2:$F$1220,"&lt;&gt;"))</f>
        <v/>
      </c>
      <c r="I75" s="41" t="str">
        <f>IF($A75="","",COUNTIFS(MAESTRO!$C$2:$C$1220,$A75,MAESTRO!$O$2:$O$1220,"SI",MAESTRO!$F$2:$F$1220,"&lt;&gt;"))</f>
        <v/>
      </c>
      <c r="J75" s="41"/>
      <c r="K75" s="41"/>
      <c r="L75" s="41"/>
      <c r="M75" s="41"/>
    </row>
    <row r="76" spans="1:13" ht="18" customHeight="1" x14ac:dyDescent="0.25">
      <c r="A76" s="41"/>
      <c r="B76" s="41" t="str">
        <f>IF($A76="","",COUNTIFS(MAESTRO!$C$2:$C$1220,$A76,MAESTRO!$F$2:$F$1220,"&lt;&gt;"))</f>
        <v/>
      </c>
      <c r="C76" s="41" t="str">
        <f>IF($A76="","",COUNTIFS(MAESTRO!$C$2:$C$1220,$A76,MAESTRO!$J$2:$J$1220,"SI",MAESTRO!$F$2:$F$1220,"&lt;&gt;"))</f>
        <v/>
      </c>
      <c r="D76" s="41" t="str">
        <f>IF($A76="","",COUNTIFS(MAESTRO!$C$2:$C$1220,$A76,MAESTRO!$J$2:$J$1220,"NO",MAESTRO!$F$2:$F$1220,"&lt;&gt;"))</f>
        <v/>
      </c>
      <c r="E76" s="41" t="str">
        <f t="shared" si="1"/>
        <v/>
      </c>
      <c r="F76" s="41" t="str">
        <f>IF($A76="","",COUNTIFS(MAESTRO!$C$2:$C$1220,$A76,MAESTRO!$N$2:$N$1220,"VIP",MAESTRO!$F$2:$F$1220,"&lt;&gt;"))</f>
        <v/>
      </c>
      <c r="G76" s="41" t="str">
        <f>IF($A76="","",COUNTIFS(MAESTRO!$C$2:$C$1220,$A76,MAESTRO!$N$2:$N$1220,"LATERAL VIP",MAESTRO!$F$2:$F$1220,"&lt;&gt;"))</f>
        <v/>
      </c>
      <c r="H76" s="41" t="str">
        <f>IF($A76="","",COUNTIFS(MAESTRO!$C$2:$C$1220,$A76,MAESTRO!$N$2:$N$1220,"LATERAL",MAESTRO!$F$2:$F$1220,"&lt;&gt;"))</f>
        <v/>
      </c>
      <c r="I76" s="41" t="str">
        <f>IF($A76="","",COUNTIFS(MAESTRO!$C$2:$C$1220,$A76,MAESTRO!$O$2:$O$1220,"SI",MAESTRO!$F$2:$F$1220,"&lt;&gt;"))</f>
        <v/>
      </c>
      <c r="J76" s="41"/>
      <c r="K76" s="41"/>
      <c r="L76" s="41"/>
      <c r="M76" s="41"/>
    </row>
    <row r="77" spans="1:13" ht="18" customHeight="1" x14ac:dyDescent="0.25">
      <c r="A77" s="41"/>
      <c r="B77" s="41" t="str">
        <f>IF($A77="","",COUNTIFS(MAESTRO!$C$2:$C$1220,$A77,MAESTRO!$F$2:$F$1220,"&lt;&gt;"))</f>
        <v/>
      </c>
      <c r="C77" s="41" t="str">
        <f>IF($A77="","",COUNTIFS(MAESTRO!$C$2:$C$1220,$A77,MAESTRO!$J$2:$J$1220,"SI",MAESTRO!$F$2:$F$1220,"&lt;&gt;"))</f>
        <v/>
      </c>
      <c r="D77" s="41" t="str">
        <f>IF($A77="","",COUNTIFS(MAESTRO!$C$2:$C$1220,$A77,MAESTRO!$J$2:$J$1220,"NO",MAESTRO!$F$2:$F$1220,"&lt;&gt;"))</f>
        <v/>
      </c>
      <c r="E77" s="41" t="str">
        <f t="shared" si="1"/>
        <v/>
      </c>
      <c r="F77" s="41" t="str">
        <f>IF($A77="","",COUNTIFS(MAESTRO!$C$2:$C$1220,$A77,MAESTRO!$N$2:$N$1220,"VIP",MAESTRO!$F$2:$F$1220,"&lt;&gt;"))</f>
        <v/>
      </c>
      <c r="G77" s="41" t="str">
        <f>IF($A77="","",COUNTIFS(MAESTRO!$C$2:$C$1220,$A77,MAESTRO!$N$2:$N$1220,"LATERAL VIP",MAESTRO!$F$2:$F$1220,"&lt;&gt;"))</f>
        <v/>
      </c>
      <c r="H77" s="41" t="str">
        <f>IF($A77="","",COUNTIFS(MAESTRO!$C$2:$C$1220,$A77,MAESTRO!$N$2:$N$1220,"LATERAL",MAESTRO!$F$2:$F$1220,"&lt;&gt;"))</f>
        <v/>
      </c>
      <c r="I77" s="41" t="str">
        <f>IF($A77="","",COUNTIFS(MAESTRO!$C$2:$C$1220,$A77,MAESTRO!$O$2:$O$1220,"SI",MAESTRO!$F$2:$F$1220,"&lt;&gt;"))</f>
        <v/>
      </c>
      <c r="J77" s="41"/>
      <c r="K77" s="41"/>
      <c r="L77" s="41"/>
      <c r="M77" s="41"/>
    </row>
    <row r="78" spans="1:13" ht="18" customHeight="1" x14ac:dyDescent="0.25">
      <c r="A78" s="41"/>
      <c r="B78" s="41" t="str">
        <f>IF($A78="","",COUNTIFS(MAESTRO!$C$2:$C$1220,$A78,MAESTRO!$F$2:$F$1220,"&lt;&gt;"))</f>
        <v/>
      </c>
      <c r="C78" s="41" t="str">
        <f>IF($A78="","",COUNTIFS(MAESTRO!$C$2:$C$1220,$A78,MAESTRO!$J$2:$J$1220,"SI",MAESTRO!$F$2:$F$1220,"&lt;&gt;"))</f>
        <v/>
      </c>
      <c r="D78" s="41" t="str">
        <f>IF($A78="","",COUNTIFS(MAESTRO!$C$2:$C$1220,$A78,MAESTRO!$J$2:$J$1220,"NO",MAESTRO!$F$2:$F$1220,"&lt;&gt;"))</f>
        <v/>
      </c>
      <c r="E78" s="41" t="str">
        <f t="shared" si="1"/>
        <v/>
      </c>
      <c r="F78" s="41" t="str">
        <f>IF($A78="","",COUNTIFS(MAESTRO!$C$2:$C$1220,$A78,MAESTRO!$N$2:$N$1220,"VIP",MAESTRO!$F$2:$F$1220,"&lt;&gt;"))</f>
        <v/>
      </c>
      <c r="G78" s="41" t="str">
        <f>IF($A78="","",COUNTIFS(MAESTRO!$C$2:$C$1220,$A78,MAESTRO!$N$2:$N$1220,"LATERAL VIP",MAESTRO!$F$2:$F$1220,"&lt;&gt;"))</f>
        <v/>
      </c>
      <c r="H78" s="41" t="str">
        <f>IF($A78="","",COUNTIFS(MAESTRO!$C$2:$C$1220,$A78,MAESTRO!$N$2:$N$1220,"LATERAL",MAESTRO!$F$2:$F$1220,"&lt;&gt;"))</f>
        <v/>
      </c>
      <c r="I78" s="41" t="str">
        <f>IF($A78="","",COUNTIFS(MAESTRO!$C$2:$C$1220,$A78,MAESTRO!$O$2:$O$1220,"SI",MAESTRO!$F$2:$F$1220,"&lt;&gt;"))</f>
        <v/>
      </c>
      <c r="J78" s="41"/>
      <c r="K78" s="41"/>
      <c r="L78" s="41"/>
      <c r="M78" s="41"/>
    </row>
    <row r="79" spans="1:13" ht="18" customHeight="1" x14ac:dyDescent="0.25">
      <c r="A79" s="41"/>
      <c r="B79" s="41" t="str">
        <f>IF($A79="","",COUNTIFS(MAESTRO!$C$2:$C$1220,$A79,MAESTRO!$F$2:$F$1220,"&lt;&gt;"))</f>
        <v/>
      </c>
      <c r="C79" s="41" t="str">
        <f>IF($A79="","",COUNTIFS(MAESTRO!$C$2:$C$1220,$A79,MAESTRO!$J$2:$J$1220,"SI",MAESTRO!$F$2:$F$1220,"&lt;&gt;"))</f>
        <v/>
      </c>
      <c r="D79" s="41" t="str">
        <f>IF($A79="","",COUNTIFS(MAESTRO!$C$2:$C$1220,$A79,MAESTRO!$J$2:$J$1220,"NO",MAESTRO!$F$2:$F$1220,"&lt;&gt;"))</f>
        <v/>
      </c>
      <c r="E79" s="41" t="str">
        <f t="shared" si="1"/>
        <v/>
      </c>
      <c r="F79" s="41" t="str">
        <f>IF($A79="","",COUNTIFS(MAESTRO!$C$2:$C$1220,$A79,MAESTRO!$N$2:$N$1220,"VIP",MAESTRO!$F$2:$F$1220,"&lt;&gt;"))</f>
        <v/>
      </c>
      <c r="G79" s="41" t="str">
        <f>IF($A79="","",COUNTIFS(MAESTRO!$C$2:$C$1220,$A79,MAESTRO!$N$2:$N$1220,"LATERAL VIP",MAESTRO!$F$2:$F$1220,"&lt;&gt;"))</f>
        <v/>
      </c>
      <c r="H79" s="41" t="str">
        <f>IF($A79="","",COUNTIFS(MAESTRO!$C$2:$C$1220,$A79,MAESTRO!$N$2:$N$1220,"LATERAL",MAESTRO!$F$2:$F$1220,"&lt;&gt;"))</f>
        <v/>
      </c>
      <c r="I79" s="41" t="str">
        <f>IF($A79="","",COUNTIFS(MAESTRO!$C$2:$C$1220,$A79,MAESTRO!$O$2:$O$1220,"SI",MAESTRO!$F$2:$F$1220,"&lt;&gt;"))</f>
        <v/>
      </c>
      <c r="J79" s="41"/>
      <c r="K79" s="41"/>
      <c r="L79" s="41"/>
      <c r="M79" s="41"/>
    </row>
    <row r="80" spans="1:13" ht="18" customHeight="1" x14ac:dyDescent="0.25">
      <c r="A80" s="41"/>
      <c r="B80" s="41" t="str">
        <f>IF($A80="","",COUNTIFS(MAESTRO!$C$2:$C$1220,$A80,MAESTRO!$F$2:$F$1220,"&lt;&gt;"))</f>
        <v/>
      </c>
      <c r="C80" s="41" t="str">
        <f>IF($A80="","",COUNTIFS(MAESTRO!$C$2:$C$1220,$A80,MAESTRO!$J$2:$J$1220,"SI",MAESTRO!$F$2:$F$1220,"&lt;&gt;"))</f>
        <v/>
      </c>
      <c r="D80" s="41" t="str">
        <f>IF($A80="","",COUNTIFS(MAESTRO!$C$2:$C$1220,$A80,MAESTRO!$J$2:$J$1220,"NO",MAESTRO!$F$2:$F$1220,"&lt;&gt;"))</f>
        <v/>
      </c>
      <c r="E80" s="41" t="str">
        <f t="shared" ref="E80" si="2">IF($A80="","",B80-C80-D80)</f>
        <v/>
      </c>
      <c r="F80" s="41" t="str">
        <f>IF($A80="","",COUNTIFS(MAESTRO!$C$2:$C$1220,$A80,MAESTRO!$N$2:$N$1220,"VIP",MAESTRO!$F$2:$F$1220,"&lt;&gt;"))</f>
        <v/>
      </c>
      <c r="G80" s="41" t="str">
        <f>IF($A80="","",COUNTIFS(MAESTRO!$C$2:$C$1220,$A80,MAESTRO!$N$2:$N$1220,"LATERAL VIP",MAESTRO!$F$2:$F$1220,"&lt;&gt;"))</f>
        <v/>
      </c>
      <c r="H80" s="41" t="str">
        <f>IF($A80="","",COUNTIFS(MAESTRO!$C$2:$C$1220,$A80,MAESTRO!$N$2:$N$1220,"LATERAL",MAESTRO!$F$2:$F$1220,"&lt;&gt;"))</f>
        <v/>
      </c>
      <c r="I80" s="41" t="str">
        <f>IF($A80="","",COUNTIFS(MAESTRO!$C$2:$C$1220,$A80,MAESTRO!$O$2:$O$1220,"SI",MAESTRO!$F$2:$F$1220,"&lt;&gt;"))</f>
        <v/>
      </c>
      <c r="J80" s="41"/>
      <c r="K80" s="41"/>
      <c r="L80" s="41"/>
      <c r="M80" s="41"/>
    </row>
  </sheetData>
  <mergeCells count="2">
    <mergeCell ref="A1:J1"/>
    <mergeCell ref="A14:I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5"/>
  <sheetViews>
    <sheetView zoomScale="50" zoomScaleNormal="50" workbookViewId="0">
      <pane xSplit="1" ySplit="11" topLeftCell="B12" activePane="bottomRight" state="frozen"/>
      <selection pane="topRight"/>
      <selection pane="bottomLeft"/>
      <selection pane="bottomRight" activeCell="F13" sqref="F13"/>
    </sheetView>
  </sheetViews>
  <sheetFormatPr baseColWidth="10" defaultColWidth="9.1796875" defaultRowHeight="12.5" x14ac:dyDescent="0.25"/>
  <cols>
    <col min="1" max="1" width="11.54296875" customWidth="1"/>
    <col min="2" max="46" width="14" customWidth="1"/>
  </cols>
  <sheetData>
    <row r="1" spans="1:46" ht="19.5" x14ac:dyDescent="0.45">
      <c r="A1" s="47" t="s">
        <v>2847</v>
      </c>
    </row>
    <row r="2" spans="1:46" ht="14.5" x14ac:dyDescent="0.35">
      <c r="A2" s="48" t="s">
        <v>2848</v>
      </c>
    </row>
    <row r="4" spans="1:46" ht="29" x14ac:dyDescent="0.25">
      <c r="A4" s="49" t="s">
        <v>2849</v>
      </c>
      <c r="B4" s="50">
        <v>239</v>
      </c>
    </row>
    <row r="5" spans="1:46" ht="29" x14ac:dyDescent="0.25">
      <c r="A5" s="49" t="s">
        <v>2850</v>
      </c>
      <c r="B5" s="50">
        <v>155</v>
      </c>
    </row>
    <row r="6" spans="1:46" ht="14.5" x14ac:dyDescent="0.25">
      <c r="A6" s="49" t="s">
        <v>2831</v>
      </c>
      <c r="B6" s="50">
        <v>155</v>
      </c>
    </row>
    <row r="7" spans="1:46" ht="29" x14ac:dyDescent="0.25">
      <c r="A7" s="49" t="s">
        <v>2851</v>
      </c>
      <c r="B7" s="50">
        <v>84</v>
      </c>
    </row>
    <row r="8" spans="1:46" ht="29" x14ac:dyDescent="0.25">
      <c r="A8" s="49" t="s">
        <v>2852</v>
      </c>
      <c r="B8" s="50" t="s">
        <v>2853</v>
      </c>
    </row>
    <row r="9" spans="1:46" ht="62.5" x14ac:dyDescent="0.25">
      <c r="A9" s="49" t="s">
        <v>2854</v>
      </c>
      <c r="B9" s="50" t="s">
        <v>2855</v>
      </c>
    </row>
    <row r="11" spans="1:46" ht="13" x14ac:dyDescent="0.25">
      <c r="A11" s="51"/>
      <c r="B11" s="52">
        <v>1</v>
      </c>
      <c r="C11" s="52">
        <v>2</v>
      </c>
      <c r="D11" s="52">
        <v>3</v>
      </c>
      <c r="E11" s="52">
        <v>4</v>
      </c>
      <c r="F11" s="52">
        <v>5</v>
      </c>
      <c r="G11" s="52">
        <v>6</v>
      </c>
      <c r="H11" s="52">
        <v>7</v>
      </c>
      <c r="I11" s="52">
        <v>8</v>
      </c>
      <c r="J11" s="52">
        <v>9</v>
      </c>
      <c r="K11" s="52">
        <v>10</v>
      </c>
      <c r="L11" s="52">
        <v>11</v>
      </c>
      <c r="M11" s="52">
        <v>12</v>
      </c>
      <c r="N11" s="52">
        <v>13</v>
      </c>
      <c r="O11" s="52">
        <v>14</v>
      </c>
      <c r="P11" s="52">
        <v>15</v>
      </c>
      <c r="Q11" s="52">
        <v>16</v>
      </c>
      <c r="R11" s="52">
        <v>17</v>
      </c>
      <c r="S11" s="52">
        <v>18</v>
      </c>
      <c r="T11" s="52">
        <v>19</v>
      </c>
      <c r="U11" s="52">
        <v>20</v>
      </c>
      <c r="V11" s="52">
        <v>21</v>
      </c>
      <c r="W11" s="52">
        <v>22</v>
      </c>
      <c r="X11" s="52">
        <v>23</v>
      </c>
      <c r="Y11" s="52">
        <v>24</v>
      </c>
      <c r="Z11" s="52">
        <v>25</v>
      </c>
      <c r="AA11" s="52">
        <v>26</v>
      </c>
      <c r="AB11" s="52">
        <v>27</v>
      </c>
      <c r="AC11" s="52">
        <v>28</v>
      </c>
      <c r="AD11" s="52">
        <v>29</v>
      </c>
      <c r="AE11" s="52">
        <v>30</v>
      </c>
      <c r="AF11" s="52">
        <v>31</v>
      </c>
      <c r="AG11" s="52">
        <v>32</v>
      </c>
      <c r="AH11" s="52">
        <v>33</v>
      </c>
      <c r="AI11" s="52">
        <v>34</v>
      </c>
      <c r="AJ11" s="52">
        <v>35</v>
      </c>
      <c r="AK11" s="52">
        <v>36</v>
      </c>
      <c r="AL11" s="52">
        <v>37</v>
      </c>
      <c r="AM11" s="52">
        <v>38</v>
      </c>
      <c r="AN11" s="52">
        <v>39</v>
      </c>
      <c r="AO11" s="52">
        <v>40</v>
      </c>
      <c r="AP11" s="52">
        <v>41</v>
      </c>
      <c r="AQ11" s="52">
        <v>42</v>
      </c>
      <c r="AR11" s="52">
        <v>43</v>
      </c>
      <c r="AS11" s="52">
        <v>44</v>
      </c>
      <c r="AT11" s="52">
        <v>45</v>
      </c>
    </row>
    <row r="12" spans="1:46" ht="78" customHeight="1" x14ac:dyDescent="0.25">
      <c r="A12" s="53" t="s">
        <v>2856</v>
      </c>
      <c r="B12" s="43" t="s">
        <v>2857</v>
      </c>
      <c r="C12" s="43" t="s">
        <v>2858</v>
      </c>
      <c r="D12" s="43" t="s">
        <v>2859</v>
      </c>
      <c r="E12" s="43" t="s">
        <v>2860</v>
      </c>
      <c r="F12" s="43" t="s">
        <v>2861</v>
      </c>
      <c r="G12" s="43" t="s">
        <v>2862</v>
      </c>
      <c r="H12" s="43" t="s">
        <v>2863</v>
      </c>
      <c r="I12" s="43" t="s">
        <v>2864</v>
      </c>
      <c r="J12" s="43" t="s">
        <v>2865</v>
      </c>
      <c r="K12" s="43" t="s">
        <v>2866</v>
      </c>
      <c r="L12" s="43" t="s">
        <v>2867</v>
      </c>
      <c r="M12" s="43" t="s">
        <v>2868</v>
      </c>
      <c r="N12" s="43" t="s">
        <v>2869</v>
      </c>
      <c r="O12" s="43" t="s">
        <v>2870</v>
      </c>
      <c r="P12" s="43" t="s">
        <v>2871</v>
      </c>
      <c r="Q12" s="43" t="s">
        <v>2872</v>
      </c>
      <c r="R12" s="43" t="s">
        <v>2873</v>
      </c>
      <c r="S12" s="43" t="s">
        <v>2874</v>
      </c>
      <c r="T12" s="43" t="s">
        <v>2875</v>
      </c>
      <c r="U12" s="43" t="s">
        <v>2876</v>
      </c>
      <c r="V12" s="43" t="s">
        <v>2877</v>
      </c>
      <c r="W12" s="43" t="s">
        <v>2878</v>
      </c>
      <c r="X12" s="43" t="s">
        <v>2879</v>
      </c>
      <c r="Y12" s="43" t="s">
        <v>2880</v>
      </c>
      <c r="Z12" s="43" t="s">
        <v>2881</v>
      </c>
      <c r="AA12" s="43" t="s">
        <v>2882</v>
      </c>
      <c r="AB12" s="43" t="s">
        <v>2883</v>
      </c>
      <c r="AC12" s="43" t="s">
        <v>2884</v>
      </c>
      <c r="AD12" s="43" t="s">
        <v>2885</v>
      </c>
      <c r="AE12" s="43" t="s">
        <v>2886</v>
      </c>
      <c r="AF12" s="43" t="s">
        <v>2887</v>
      </c>
      <c r="AG12" s="43" t="s">
        <v>2888</v>
      </c>
      <c r="AH12" s="43" t="s">
        <v>2889</v>
      </c>
      <c r="AI12" s="43" t="s">
        <v>2890</v>
      </c>
      <c r="AJ12" s="43" t="s">
        <v>2891</v>
      </c>
      <c r="AK12" s="43" t="s">
        <v>2892</v>
      </c>
      <c r="AL12" s="43" t="s">
        <v>2893</v>
      </c>
      <c r="AM12" s="43" t="s">
        <v>2894</v>
      </c>
      <c r="AN12" s="43" t="s">
        <v>2895</v>
      </c>
      <c r="AO12" s="43" t="s">
        <v>2896</v>
      </c>
      <c r="AP12" s="43" t="s">
        <v>2897</v>
      </c>
      <c r="AQ12" s="43" t="s">
        <v>2898</v>
      </c>
      <c r="AR12" s="43" t="s">
        <v>2899</v>
      </c>
      <c r="AS12" s="43" t="s">
        <v>2900</v>
      </c>
      <c r="AT12" s="43" t="s">
        <v>2901</v>
      </c>
    </row>
    <row r="13" spans="1:46" ht="78" customHeight="1" x14ac:dyDescent="0.25">
      <c r="A13" s="53" t="s">
        <v>2902</v>
      </c>
      <c r="B13" s="43" t="s">
        <v>2903</v>
      </c>
      <c r="C13" s="43" t="s">
        <v>2904</v>
      </c>
      <c r="D13" s="43" t="s">
        <v>2905</v>
      </c>
      <c r="E13" s="43" t="s">
        <v>2906</v>
      </c>
      <c r="F13" s="43" t="s">
        <v>2907</v>
      </c>
      <c r="G13" s="43" t="s">
        <v>2908</v>
      </c>
      <c r="H13" s="43" t="s">
        <v>2909</v>
      </c>
      <c r="I13" s="43" t="s">
        <v>2910</v>
      </c>
      <c r="J13" s="43" t="s">
        <v>2911</v>
      </c>
      <c r="K13" s="43" t="s">
        <v>2912</v>
      </c>
      <c r="L13" s="43" t="s">
        <v>2913</v>
      </c>
      <c r="M13" s="43" t="s">
        <v>2914</v>
      </c>
      <c r="N13" s="43" t="s">
        <v>2915</v>
      </c>
      <c r="O13" s="43" t="s">
        <v>2916</v>
      </c>
      <c r="P13" s="43" t="s">
        <v>2917</v>
      </c>
      <c r="Q13" s="43" t="s">
        <v>2918</v>
      </c>
      <c r="R13" s="43" t="s">
        <v>2919</v>
      </c>
      <c r="S13" s="43" t="s">
        <v>2920</v>
      </c>
      <c r="T13" s="43" t="s">
        <v>2921</v>
      </c>
      <c r="U13" s="43" t="s">
        <v>2922</v>
      </c>
      <c r="V13" s="43" t="s">
        <v>2923</v>
      </c>
      <c r="W13" s="43" t="s">
        <v>2924</v>
      </c>
      <c r="X13" s="43" t="s">
        <v>2925</v>
      </c>
      <c r="Y13" s="43" t="s">
        <v>2926</v>
      </c>
      <c r="Z13" s="43" t="s">
        <v>2927</v>
      </c>
      <c r="AA13" s="43" t="s">
        <v>2928</v>
      </c>
      <c r="AB13" s="43" t="s">
        <v>2929</v>
      </c>
      <c r="AC13" s="43" t="s">
        <v>2930</v>
      </c>
      <c r="AD13" s="43" t="s">
        <v>2931</v>
      </c>
      <c r="AE13" s="43" t="s">
        <v>2932</v>
      </c>
      <c r="AF13" s="43" t="s">
        <v>2933</v>
      </c>
      <c r="AG13" s="43" t="s">
        <v>2934</v>
      </c>
      <c r="AH13" s="43" t="s">
        <v>2935</v>
      </c>
      <c r="AI13" s="43" t="s">
        <v>2936</v>
      </c>
      <c r="AJ13" s="43" t="s">
        <v>2937</v>
      </c>
      <c r="AK13" s="43" t="s">
        <v>2938</v>
      </c>
      <c r="AL13" s="43" t="s">
        <v>2939</v>
      </c>
      <c r="AM13" s="43" t="s">
        <v>2940</v>
      </c>
      <c r="AN13" s="43" t="s">
        <v>2941</v>
      </c>
      <c r="AO13" s="43" t="s">
        <v>2942</v>
      </c>
      <c r="AP13" s="43" t="s">
        <v>2943</v>
      </c>
      <c r="AQ13" s="43" t="s">
        <v>2944</v>
      </c>
      <c r="AR13" s="43" t="s">
        <v>2945</v>
      </c>
      <c r="AS13" s="43" t="s">
        <v>2946</v>
      </c>
      <c r="AT13" s="43" t="s">
        <v>2947</v>
      </c>
    </row>
    <row r="14" spans="1:46" ht="78" customHeight="1" x14ac:dyDescent="0.25">
      <c r="A14" s="53" t="s">
        <v>2948</v>
      </c>
      <c r="B14" s="43" t="s">
        <v>2949</v>
      </c>
      <c r="C14" s="43" t="s">
        <v>2950</v>
      </c>
      <c r="D14" s="43" t="s">
        <v>2951</v>
      </c>
      <c r="E14" s="43" t="s">
        <v>2952</v>
      </c>
      <c r="F14" s="43" t="s">
        <v>2953</v>
      </c>
      <c r="G14" s="43" t="s">
        <v>2954</v>
      </c>
      <c r="H14" s="43" t="s">
        <v>2955</v>
      </c>
      <c r="I14" s="43" t="s">
        <v>2956</v>
      </c>
      <c r="J14" s="43" t="s">
        <v>2957</v>
      </c>
      <c r="K14" s="43" t="s">
        <v>2958</v>
      </c>
      <c r="L14" s="43" t="s">
        <v>2959</v>
      </c>
      <c r="M14" s="43" t="s">
        <v>2960</v>
      </c>
      <c r="N14" s="43" t="s">
        <v>2961</v>
      </c>
      <c r="O14" s="43" t="s">
        <v>2962</v>
      </c>
      <c r="P14" s="43" t="s">
        <v>2963</v>
      </c>
      <c r="Q14" s="43" t="s">
        <v>2964</v>
      </c>
      <c r="R14" s="43" t="s">
        <v>2965</v>
      </c>
      <c r="S14" s="43" t="s">
        <v>2966</v>
      </c>
      <c r="T14" s="43" t="s">
        <v>2967</v>
      </c>
      <c r="U14" s="43" t="s">
        <v>2968</v>
      </c>
      <c r="V14" s="43" t="s">
        <v>2969</v>
      </c>
      <c r="W14" s="43" t="s">
        <v>2970</v>
      </c>
      <c r="X14" s="43" t="s">
        <v>2971</v>
      </c>
      <c r="Y14" s="43" t="s">
        <v>2972</v>
      </c>
      <c r="Z14" s="43" t="s">
        <v>2973</v>
      </c>
      <c r="AA14" s="43" t="s">
        <v>2974</v>
      </c>
      <c r="AB14" s="43" t="s">
        <v>2975</v>
      </c>
      <c r="AC14" s="43" t="s">
        <v>2976</v>
      </c>
      <c r="AD14" s="43" t="s">
        <v>2977</v>
      </c>
      <c r="AE14" s="43" t="s">
        <v>2978</v>
      </c>
      <c r="AF14" s="43" t="s">
        <v>2979</v>
      </c>
      <c r="AG14" s="43" t="s">
        <v>2980</v>
      </c>
      <c r="AH14" s="43" t="s">
        <v>2981</v>
      </c>
      <c r="AI14" s="43" t="s">
        <v>2982</v>
      </c>
      <c r="AJ14" s="43" t="s">
        <v>2983</v>
      </c>
      <c r="AK14" s="43" t="s">
        <v>2984</v>
      </c>
      <c r="AL14" s="43" t="s">
        <v>2985</v>
      </c>
      <c r="AM14" s="43" t="s">
        <v>2986</v>
      </c>
      <c r="AN14" s="43" t="s">
        <v>2987</v>
      </c>
      <c r="AO14" s="43" t="s">
        <v>2988</v>
      </c>
      <c r="AP14" s="43" t="s">
        <v>2989</v>
      </c>
      <c r="AQ14" s="43" t="s">
        <v>2990</v>
      </c>
      <c r="AR14" s="43" t="s">
        <v>2991</v>
      </c>
      <c r="AS14" s="43" t="s">
        <v>2992</v>
      </c>
      <c r="AT14" s="43" t="s">
        <v>2993</v>
      </c>
    </row>
    <row r="15" spans="1:46" ht="78" customHeight="1" x14ac:dyDescent="0.25">
      <c r="A15" s="53" t="s">
        <v>2994</v>
      </c>
      <c r="B15" s="43" t="s">
        <v>2995</v>
      </c>
      <c r="C15" s="43" t="s">
        <v>2996</v>
      </c>
      <c r="D15" s="43" t="s">
        <v>2997</v>
      </c>
      <c r="E15" s="43" t="s">
        <v>2998</v>
      </c>
      <c r="F15" s="43" t="s">
        <v>2999</v>
      </c>
      <c r="G15" s="43" t="s">
        <v>3000</v>
      </c>
      <c r="H15" s="43" t="s">
        <v>3001</v>
      </c>
      <c r="I15" s="43" t="s">
        <v>3002</v>
      </c>
      <c r="J15" s="43" t="s">
        <v>3003</v>
      </c>
      <c r="K15" s="43" t="s">
        <v>3004</v>
      </c>
      <c r="L15" s="44" t="s">
        <v>3005</v>
      </c>
      <c r="M15" s="44" t="s">
        <v>3006</v>
      </c>
      <c r="N15" s="44" t="s">
        <v>3007</v>
      </c>
      <c r="O15" s="44" t="s">
        <v>3008</v>
      </c>
      <c r="P15" s="44" t="s">
        <v>3009</v>
      </c>
      <c r="Q15" s="44" t="s">
        <v>3010</v>
      </c>
      <c r="R15" s="44" t="s">
        <v>3011</v>
      </c>
      <c r="S15" s="45" t="s">
        <v>3012</v>
      </c>
      <c r="T15" s="45" t="s">
        <v>3013</v>
      </c>
      <c r="U15" s="45" t="s">
        <v>3014</v>
      </c>
      <c r="V15" s="45" t="s">
        <v>3015</v>
      </c>
      <c r="W15" s="45" t="s">
        <v>3016</v>
      </c>
      <c r="X15" s="45" t="s">
        <v>3017</v>
      </c>
      <c r="Y15" s="45" t="s">
        <v>3018</v>
      </c>
      <c r="Z15" s="45" t="s">
        <v>3019</v>
      </c>
      <c r="AA15" s="45" t="s">
        <v>3020</v>
      </c>
      <c r="AB15" s="45" t="s">
        <v>3021</v>
      </c>
      <c r="AC15" s="44" t="s">
        <v>3022</v>
      </c>
      <c r="AD15" s="44" t="s">
        <v>3023</v>
      </c>
      <c r="AE15" s="44" t="s">
        <v>3024</v>
      </c>
      <c r="AF15" s="44" t="s">
        <v>3025</v>
      </c>
      <c r="AG15" s="44" t="s">
        <v>3026</v>
      </c>
      <c r="AH15" s="44" t="s">
        <v>3027</v>
      </c>
      <c r="AI15" s="44" t="s">
        <v>3028</v>
      </c>
      <c r="AJ15" s="44" t="s">
        <v>3029</v>
      </c>
      <c r="AK15" s="43" t="s">
        <v>3030</v>
      </c>
      <c r="AL15" s="43" t="s">
        <v>3031</v>
      </c>
      <c r="AM15" s="43" t="s">
        <v>3032</v>
      </c>
      <c r="AN15" s="43" t="s">
        <v>3033</v>
      </c>
      <c r="AO15" s="43" t="s">
        <v>3034</v>
      </c>
      <c r="AP15" s="43" t="s">
        <v>3035</v>
      </c>
      <c r="AQ15" s="43" t="s">
        <v>3036</v>
      </c>
      <c r="AR15" s="43" t="s">
        <v>3037</v>
      </c>
      <c r="AS15" s="43" t="s">
        <v>3038</v>
      </c>
      <c r="AT15" s="43" t="s">
        <v>3039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3"/>
  <sheetViews>
    <sheetView workbookViewId="0">
      <pane ySplit="4" topLeftCell="A11" activePane="bottomLeft" state="frozen"/>
      <selection pane="bottomLeft" activeCell="J17" sqref="J17"/>
    </sheetView>
  </sheetViews>
  <sheetFormatPr baseColWidth="10" defaultColWidth="9.1796875" defaultRowHeight="12.5" x14ac:dyDescent="0.25"/>
  <cols>
    <col min="1" max="1" width="24" customWidth="1"/>
    <col min="2" max="2" width="12" customWidth="1"/>
    <col min="3" max="3" width="8" customWidth="1"/>
    <col min="4" max="4" width="18" customWidth="1"/>
    <col min="5" max="5" width="12" customWidth="1"/>
    <col min="6" max="6" width="10" customWidth="1"/>
    <col min="7" max="7" width="22" customWidth="1"/>
    <col min="8" max="8" width="34" customWidth="1"/>
    <col min="9" max="9" width="48" customWidth="1"/>
    <col min="10" max="10" width="12" customWidth="1"/>
  </cols>
  <sheetData>
    <row r="1" spans="1:10" x14ac:dyDescent="0.25">
      <c r="A1" t="s">
        <v>3040</v>
      </c>
    </row>
    <row r="2" spans="1:10" x14ac:dyDescent="0.25">
      <c r="A2" t="s">
        <v>3041</v>
      </c>
    </row>
    <row r="4" spans="1:10" ht="29" x14ac:dyDescent="0.25">
      <c r="A4" s="54" t="s">
        <v>15</v>
      </c>
      <c r="B4" s="54" t="s">
        <v>1</v>
      </c>
      <c r="C4" s="54" t="s">
        <v>0</v>
      </c>
      <c r="D4" s="54" t="s">
        <v>2</v>
      </c>
      <c r="E4" s="54" t="s">
        <v>4</v>
      </c>
      <c r="F4" s="54" t="s">
        <v>9</v>
      </c>
      <c r="G4" s="54" t="s">
        <v>3</v>
      </c>
      <c r="H4" s="54" t="s">
        <v>5</v>
      </c>
      <c r="I4" s="54" t="s">
        <v>10</v>
      </c>
      <c r="J4" s="54" t="s">
        <v>3042</v>
      </c>
    </row>
    <row r="5" spans="1:10" x14ac:dyDescent="0.25">
      <c r="A5" s="55" t="s">
        <v>25</v>
      </c>
      <c r="B5" s="55">
        <v>1</v>
      </c>
      <c r="C5" s="55">
        <v>1</v>
      </c>
      <c r="D5" s="55" t="s">
        <v>16</v>
      </c>
      <c r="E5" s="55" t="s">
        <v>24</v>
      </c>
      <c r="F5" s="55" t="s">
        <v>22</v>
      </c>
      <c r="G5" s="55" t="s">
        <v>17</v>
      </c>
      <c r="H5" s="55" t="s">
        <v>3043</v>
      </c>
      <c r="I5" s="55" t="s">
        <v>23</v>
      </c>
      <c r="J5" s="55">
        <v>2</v>
      </c>
    </row>
    <row r="6" spans="1:10" x14ac:dyDescent="0.25">
      <c r="A6" s="55" t="s">
        <v>32</v>
      </c>
      <c r="B6" s="55">
        <v>2</v>
      </c>
      <c r="C6" s="55">
        <v>2</v>
      </c>
      <c r="D6" s="55" t="s">
        <v>16</v>
      </c>
      <c r="E6" s="55" t="s">
        <v>24</v>
      </c>
      <c r="F6" s="55" t="s">
        <v>22</v>
      </c>
      <c r="G6" s="55" t="s">
        <v>26</v>
      </c>
      <c r="H6" s="55" t="s">
        <v>3044</v>
      </c>
      <c r="I6" s="55" t="s">
        <v>31</v>
      </c>
      <c r="J6" s="55">
        <v>3</v>
      </c>
    </row>
    <row r="7" spans="1:10" x14ac:dyDescent="0.25">
      <c r="A7" s="55" t="s">
        <v>39</v>
      </c>
      <c r="B7" s="55">
        <v>3</v>
      </c>
      <c r="C7" s="55">
        <v>3</v>
      </c>
      <c r="D7" s="55" t="s">
        <v>16</v>
      </c>
      <c r="E7" s="55" t="s">
        <v>24</v>
      </c>
      <c r="F7" s="55" t="s">
        <v>22</v>
      </c>
      <c r="G7" s="55" t="s">
        <v>33</v>
      </c>
      <c r="H7" s="55" t="s">
        <v>3045</v>
      </c>
      <c r="I7" s="55" t="s">
        <v>38</v>
      </c>
      <c r="J7" s="55">
        <v>4</v>
      </c>
    </row>
    <row r="8" spans="1:10" x14ac:dyDescent="0.25">
      <c r="A8" s="55" t="s">
        <v>45</v>
      </c>
      <c r="B8" s="55">
        <v>4</v>
      </c>
      <c r="C8" s="55">
        <v>4</v>
      </c>
      <c r="D8" s="55" t="s">
        <v>16</v>
      </c>
      <c r="E8" s="55" t="s">
        <v>24</v>
      </c>
      <c r="F8" s="55" t="s">
        <v>22</v>
      </c>
      <c r="G8" s="55" t="s">
        <v>40</v>
      </c>
      <c r="H8" s="55" t="s">
        <v>3046</v>
      </c>
      <c r="I8" s="55" t="s">
        <v>44</v>
      </c>
      <c r="J8" s="55">
        <v>5</v>
      </c>
    </row>
    <row r="9" spans="1:10" x14ac:dyDescent="0.25">
      <c r="A9" s="55" t="s">
        <v>52</v>
      </c>
      <c r="B9" s="55">
        <v>5</v>
      </c>
      <c r="C9" s="55">
        <v>5</v>
      </c>
      <c r="D9" s="55" t="s">
        <v>16</v>
      </c>
      <c r="E9" s="55" t="s">
        <v>24</v>
      </c>
      <c r="F9" s="55" t="s">
        <v>22</v>
      </c>
      <c r="G9" s="55" t="s">
        <v>46</v>
      </c>
      <c r="H9" s="55" t="s">
        <v>3047</v>
      </c>
      <c r="I9" s="55" t="s">
        <v>51</v>
      </c>
      <c r="J9" s="55">
        <v>6</v>
      </c>
    </row>
    <row r="10" spans="1:10" ht="25" x14ac:dyDescent="0.25">
      <c r="A10" s="55" t="s">
        <v>59</v>
      </c>
      <c r="B10" s="55">
        <v>6</v>
      </c>
      <c r="C10" s="55">
        <v>6</v>
      </c>
      <c r="D10" s="55" t="s">
        <v>16</v>
      </c>
      <c r="E10" s="55" t="s">
        <v>24</v>
      </c>
      <c r="F10" s="55" t="s">
        <v>57</v>
      </c>
      <c r="G10" s="55" t="s">
        <v>46</v>
      </c>
      <c r="H10" s="55" t="s">
        <v>3048</v>
      </c>
      <c r="I10" s="55" t="s">
        <v>58</v>
      </c>
      <c r="J10" s="55">
        <v>7</v>
      </c>
    </row>
    <row r="11" spans="1:10" x14ac:dyDescent="0.25">
      <c r="A11" s="55" t="s">
        <v>65</v>
      </c>
      <c r="B11" s="55">
        <v>7</v>
      </c>
      <c r="C11" s="55">
        <v>7</v>
      </c>
      <c r="D11" s="55" t="s">
        <v>16</v>
      </c>
      <c r="E11" s="55" t="s">
        <v>24</v>
      </c>
      <c r="F11" s="55" t="s">
        <v>22</v>
      </c>
      <c r="G11" s="55" t="s">
        <v>60</v>
      </c>
      <c r="H11" s="55" t="s">
        <v>3049</v>
      </c>
      <c r="I11" s="55" t="s">
        <v>64</v>
      </c>
      <c r="J11" s="55">
        <v>8</v>
      </c>
    </row>
    <row r="12" spans="1:10" ht="25" x14ac:dyDescent="0.25">
      <c r="A12" s="55" t="s">
        <v>78</v>
      </c>
      <c r="B12" s="55">
        <v>9</v>
      </c>
      <c r="C12" s="55">
        <v>9</v>
      </c>
      <c r="D12" s="55" t="s">
        <v>16</v>
      </c>
      <c r="E12" s="55" t="s">
        <v>24</v>
      </c>
      <c r="F12" s="55" t="s">
        <v>57</v>
      </c>
      <c r="G12" s="55" t="s">
        <v>17</v>
      </c>
      <c r="H12" s="55" t="s">
        <v>3050</v>
      </c>
      <c r="I12" s="55" t="s">
        <v>77</v>
      </c>
      <c r="J12" s="55">
        <v>10</v>
      </c>
    </row>
    <row r="13" spans="1:10" ht="25" x14ac:dyDescent="0.25">
      <c r="A13" s="55" t="s">
        <v>84</v>
      </c>
      <c r="B13" s="55">
        <v>10</v>
      </c>
      <c r="C13" s="55">
        <v>10</v>
      </c>
      <c r="D13" s="55" t="s">
        <v>16</v>
      </c>
      <c r="E13" s="55" t="s">
        <v>24</v>
      </c>
      <c r="F13" s="55" t="s">
        <v>57</v>
      </c>
      <c r="G13" s="55"/>
      <c r="H13" s="55" t="s">
        <v>3051</v>
      </c>
      <c r="I13" s="55" t="s">
        <v>83</v>
      </c>
      <c r="J13" s="55">
        <v>11</v>
      </c>
    </row>
    <row r="14" spans="1:10" ht="25" x14ac:dyDescent="0.25">
      <c r="A14" s="55" t="s">
        <v>89</v>
      </c>
      <c r="B14" s="55">
        <v>11</v>
      </c>
      <c r="C14" s="55">
        <v>11</v>
      </c>
      <c r="D14" s="55" t="s">
        <v>16</v>
      </c>
      <c r="E14" s="55" t="s">
        <v>24</v>
      </c>
      <c r="F14" s="55" t="s">
        <v>57</v>
      </c>
      <c r="G14" s="55" t="s">
        <v>17</v>
      </c>
      <c r="H14" s="55" t="s">
        <v>3052</v>
      </c>
      <c r="I14" s="55" t="s">
        <v>77</v>
      </c>
      <c r="J14" s="55">
        <v>12</v>
      </c>
    </row>
    <row r="15" spans="1:10" ht="25" x14ac:dyDescent="0.25">
      <c r="A15" s="55" t="s">
        <v>94</v>
      </c>
      <c r="B15" s="55">
        <v>12</v>
      </c>
      <c r="C15" s="55">
        <v>12</v>
      </c>
      <c r="D15" s="55" t="s">
        <v>16</v>
      </c>
      <c r="E15" s="55" t="s">
        <v>24</v>
      </c>
      <c r="F15" s="55" t="s">
        <v>57</v>
      </c>
      <c r="G15" s="55" t="s">
        <v>17</v>
      </c>
      <c r="H15" s="55" t="s">
        <v>3053</v>
      </c>
      <c r="I15" s="55" t="s">
        <v>77</v>
      </c>
      <c r="J15" s="55">
        <v>13</v>
      </c>
    </row>
    <row r="16" spans="1:10" ht="25" x14ac:dyDescent="0.25">
      <c r="A16" s="55" t="s">
        <v>118</v>
      </c>
      <c r="B16" s="55">
        <v>16</v>
      </c>
      <c r="C16" s="55">
        <v>16</v>
      </c>
      <c r="D16" s="55" t="s">
        <v>16</v>
      </c>
      <c r="E16" s="55" t="s">
        <v>24</v>
      </c>
      <c r="F16" s="55" t="s">
        <v>57</v>
      </c>
      <c r="G16" s="55" t="s">
        <v>33</v>
      </c>
      <c r="H16" s="55" t="s">
        <v>3054</v>
      </c>
      <c r="I16" s="55" t="s">
        <v>117</v>
      </c>
      <c r="J16" s="55">
        <v>17</v>
      </c>
    </row>
    <row r="17" spans="1:10" ht="25" x14ac:dyDescent="0.25">
      <c r="A17" s="55" t="s">
        <v>147</v>
      </c>
      <c r="B17" s="55">
        <v>22</v>
      </c>
      <c r="C17" s="55">
        <v>22</v>
      </c>
      <c r="D17" s="55" t="s">
        <v>16</v>
      </c>
      <c r="E17" s="55" t="s">
        <v>24</v>
      </c>
      <c r="F17" s="55" t="s">
        <v>57</v>
      </c>
      <c r="G17" s="55" t="s">
        <v>33</v>
      </c>
      <c r="H17" s="55" t="s">
        <v>3055</v>
      </c>
      <c r="I17" s="55" t="s">
        <v>146</v>
      </c>
      <c r="J17" s="55">
        <v>23</v>
      </c>
    </row>
    <row r="18" spans="1:10" ht="25" x14ac:dyDescent="0.25">
      <c r="A18" s="55" t="s">
        <v>161</v>
      </c>
      <c r="B18" s="55">
        <v>25</v>
      </c>
      <c r="C18" s="55">
        <v>25</v>
      </c>
      <c r="D18" s="55" t="s">
        <v>16</v>
      </c>
      <c r="E18" s="55" t="s">
        <v>24</v>
      </c>
      <c r="F18" s="55" t="s">
        <v>57</v>
      </c>
      <c r="G18" s="55" t="s">
        <v>33</v>
      </c>
      <c r="H18" s="55" t="s">
        <v>3056</v>
      </c>
      <c r="I18" s="55" t="s">
        <v>160</v>
      </c>
      <c r="J18" s="55">
        <v>26</v>
      </c>
    </row>
    <row r="19" spans="1:10" ht="25" x14ac:dyDescent="0.25">
      <c r="A19" s="55" t="s">
        <v>175</v>
      </c>
      <c r="B19" s="55">
        <v>28</v>
      </c>
      <c r="C19" s="55">
        <v>28</v>
      </c>
      <c r="D19" s="55" t="s">
        <v>16</v>
      </c>
      <c r="E19" s="55" t="s">
        <v>24</v>
      </c>
      <c r="F19" s="55" t="s">
        <v>57</v>
      </c>
      <c r="G19" s="55" t="s">
        <v>33</v>
      </c>
      <c r="H19" s="55" t="s">
        <v>3057</v>
      </c>
      <c r="I19" s="55" t="s">
        <v>174</v>
      </c>
      <c r="J19" s="55">
        <v>29</v>
      </c>
    </row>
    <row r="20" spans="1:10" ht="25" x14ac:dyDescent="0.25">
      <c r="A20" s="55" t="s">
        <v>180</v>
      </c>
      <c r="B20" s="55">
        <v>29</v>
      </c>
      <c r="C20" s="55">
        <v>29</v>
      </c>
      <c r="D20" s="55" t="s">
        <v>16</v>
      </c>
      <c r="E20" s="55" t="s">
        <v>24</v>
      </c>
      <c r="F20" s="55" t="s">
        <v>57</v>
      </c>
      <c r="G20" s="55" t="s">
        <v>33</v>
      </c>
      <c r="H20" s="55" t="s">
        <v>3058</v>
      </c>
      <c r="I20" s="55" t="s">
        <v>174</v>
      </c>
      <c r="J20" s="55">
        <v>30</v>
      </c>
    </row>
    <row r="21" spans="1:10" ht="25" x14ac:dyDescent="0.25">
      <c r="A21" s="55" t="s">
        <v>195</v>
      </c>
      <c r="B21" s="55">
        <v>32</v>
      </c>
      <c r="C21" s="55">
        <v>32</v>
      </c>
      <c r="D21" s="55" t="s">
        <v>16</v>
      </c>
      <c r="E21" s="55" t="s">
        <v>24</v>
      </c>
      <c r="F21" s="55" t="s">
        <v>57</v>
      </c>
      <c r="G21" s="55" t="s">
        <v>181</v>
      </c>
      <c r="H21" s="55" t="s">
        <v>3059</v>
      </c>
      <c r="I21" s="55" t="s">
        <v>194</v>
      </c>
      <c r="J21" s="55">
        <v>33</v>
      </c>
    </row>
    <row r="22" spans="1:10" ht="25" x14ac:dyDescent="0.25">
      <c r="A22" s="55" t="s">
        <v>200</v>
      </c>
      <c r="B22" s="55">
        <v>33</v>
      </c>
      <c r="C22" s="55">
        <v>33</v>
      </c>
      <c r="D22" s="55" t="s">
        <v>16</v>
      </c>
      <c r="E22" s="55" t="s">
        <v>24</v>
      </c>
      <c r="F22" s="55" t="s">
        <v>57</v>
      </c>
      <c r="G22" s="55" t="s">
        <v>181</v>
      </c>
      <c r="H22" s="55" t="s">
        <v>3060</v>
      </c>
      <c r="I22" s="55" t="s">
        <v>199</v>
      </c>
      <c r="J22" s="55">
        <v>34</v>
      </c>
    </row>
    <row r="23" spans="1:10" ht="25" x14ac:dyDescent="0.25">
      <c r="A23" s="55" t="s">
        <v>205</v>
      </c>
      <c r="B23" s="55">
        <v>34</v>
      </c>
      <c r="C23" s="55">
        <v>34</v>
      </c>
      <c r="D23" s="55" t="s">
        <v>16</v>
      </c>
      <c r="E23" s="55" t="s">
        <v>24</v>
      </c>
      <c r="F23" s="55" t="s">
        <v>57</v>
      </c>
      <c r="G23" s="55" t="s">
        <v>181</v>
      </c>
      <c r="H23" s="55" t="s">
        <v>3061</v>
      </c>
      <c r="I23" s="55" t="s">
        <v>204</v>
      </c>
      <c r="J23" s="55">
        <v>35</v>
      </c>
    </row>
    <row r="24" spans="1:10" ht="25" x14ac:dyDescent="0.25">
      <c r="A24" s="55" t="s">
        <v>223</v>
      </c>
      <c r="B24" s="55">
        <v>38</v>
      </c>
      <c r="C24" s="55">
        <v>38</v>
      </c>
      <c r="D24" s="55" t="s">
        <v>16</v>
      </c>
      <c r="E24" s="55" t="s">
        <v>24</v>
      </c>
      <c r="F24" s="55" t="s">
        <v>57</v>
      </c>
      <c r="G24" s="55" t="s">
        <v>181</v>
      </c>
      <c r="H24" s="55" t="s">
        <v>3062</v>
      </c>
      <c r="I24" s="55" t="s">
        <v>222</v>
      </c>
      <c r="J24" s="55">
        <v>39</v>
      </c>
    </row>
    <row r="25" spans="1:10" x14ac:dyDescent="0.25">
      <c r="A25" s="55" t="s">
        <v>236</v>
      </c>
      <c r="B25" s="55">
        <v>41</v>
      </c>
      <c r="C25" s="55">
        <v>41</v>
      </c>
      <c r="D25" s="55" t="s">
        <v>16</v>
      </c>
      <c r="E25" s="55" t="s">
        <v>24</v>
      </c>
      <c r="F25" s="55" t="s">
        <v>22</v>
      </c>
      <c r="G25" s="55" t="s">
        <v>181</v>
      </c>
      <c r="H25" s="55" t="s">
        <v>3063</v>
      </c>
      <c r="I25" s="55" t="s">
        <v>235</v>
      </c>
      <c r="J25" s="55">
        <v>42</v>
      </c>
    </row>
    <row r="26" spans="1:10" x14ac:dyDescent="0.25">
      <c r="A26" s="55" t="s">
        <v>246</v>
      </c>
      <c r="B26" s="55">
        <v>43</v>
      </c>
      <c r="C26" s="55">
        <v>43</v>
      </c>
      <c r="D26" s="55" t="s">
        <v>16</v>
      </c>
      <c r="E26" s="55" t="s">
        <v>24</v>
      </c>
      <c r="F26" s="55" t="s">
        <v>22</v>
      </c>
      <c r="G26" s="55" t="s">
        <v>181</v>
      </c>
      <c r="H26" s="55" t="s">
        <v>3064</v>
      </c>
      <c r="I26" s="55" t="s">
        <v>245</v>
      </c>
      <c r="J26" s="55">
        <v>44</v>
      </c>
    </row>
    <row r="27" spans="1:10" x14ac:dyDescent="0.25">
      <c r="A27" s="55" t="s">
        <v>251</v>
      </c>
      <c r="B27" s="55">
        <v>44</v>
      </c>
      <c r="C27" s="55">
        <v>44</v>
      </c>
      <c r="D27" s="55" t="s">
        <v>16</v>
      </c>
      <c r="E27" s="55" t="s">
        <v>24</v>
      </c>
      <c r="F27" s="55" t="s">
        <v>22</v>
      </c>
      <c r="G27" s="55" t="s">
        <v>181</v>
      </c>
      <c r="H27" s="55" t="s">
        <v>3065</v>
      </c>
      <c r="I27" s="55" t="s">
        <v>250</v>
      </c>
      <c r="J27" s="55">
        <v>45</v>
      </c>
    </row>
    <row r="28" spans="1:10" ht="25" x14ac:dyDescent="0.25">
      <c r="A28" s="55" t="s">
        <v>257</v>
      </c>
      <c r="B28" s="55">
        <v>45</v>
      </c>
      <c r="C28" s="55">
        <v>45</v>
      </c>
      <c r="D28" s="55" t="s">
        <v>16</v>
      </c>
      <c r="E28" s="55" t="s">
        <v>24</v>
      </c>
      <c r="F28" s="55" t="s">
        <v>57</v>
      </c>
      <c r="G28" s="55" t="s">
        <v>181</v>
      </c>
      <c r="H28" s="55" t="s">
        <v>3066</v>
      </c>
      <c r="I28" s="55" t="s">
        <v>256</v>
      </c>
      <c r="J28" s="55">
        <v>46</v>
      </c>
    </row>
    <row r="29" spans="1:10" x14ac:dyDescent="0.25">
      <c r="A29" s="55" t="s">
        <v>268</v>
      </c>
      <c r="B29" s="55">
        <v>47</v>
      </c>
      <c r="C29" s="55">
        <v>47</v>
      </c>
      <c r="D29" s="55" t="s">
        <v>16</v>
      </c>
      <c r="E29" s="55" t="s">
        <v>24</v>
      </c>
      <c r="F29" s="55" t="s">
        <v>22</v>
      </c>
      <c r="G29" s="55" t="s">
        <v>181</v>
      </c>
      <c r="H29" s="55" t="s">
        <v>3067</v>
      </c>
      <c r="I29" s="55" t="s">
        <v>267</v>
      </c>
      <c r="J29" s="55">
        <v>48</v>
      </c>
    </row>
    <row r="30" spans="1:10" ht="25" x14ac:dyDescent="0.25">
      <c r="A30" s="55" t="s">
        <v>273</v>
      </c>
      <c r="B30" s="55">
        <v>48</v>
      </c>
      <c r="C30" s="55">
        <v>48</v>
      </c>
      <c r="D30" s="55" t="s">
        <v>16</v>
      </c>
      <c r="E30" s="55" t="s">
        <v>24</v>
      </c>
      <c r="F30" s="55" t="s">
        <v>57</v>
      </c>
      <c r="G30" s="55" t="s">
        <v>181</v>
      </c>
      <c r="H30" s="55" t="s">
        <v>3068</v>
      </c>
      <c r="I30" s="55" t="s">
        <v>272</v>
      </c>
      <c r="J30" s="55">
        <v>49</v>
      </c>
    </row>
    <row r="31" spans="1:10" x14ac:dyDescent="0.25">
      <c r="A31" s="55" t="s">
        <v>283</v>
      </c>
      <c r="B31" s="55">
        <v>50</v>
      </c>
      <c r="C31" s="55">
        <v>50</v>
      </c>
      <c r="D31" s="55" t="s">
        <v>16</v>
      </c>
      <c r="E31" s="55" t="s">
        <v>24</v>
      </c>
      <c r="F31" s="55" t="s">
        <v>22</v>
      </c>
      <c r="G31" s="55" t="s">
        <v>181</v>
      </c>
      <c r="H31" s="55" t="s">
        <v>3069</v>
      </c>
      <c r="I31" s="55" t="s">
        <v>282</v>
      </c>
      <c r="J31" s="55">
        <v>51</v>
      </c>
    </row>
    <row r="32" spans="1:10" x14ac:dyDescent="0.25">
      <c r="A32" s="55" t="s">
        <v>288</v>
      </c>
      <c r="B32" s="55">
        <v>51</v>
      </c>
      <c r="C32" s="55">
        <v>51</v>
      </c>
      <c r="D32" s="55" t="s">
        <v>16</v>
      </c>
      <c r="E32" s="55" t="s">
        <v>24</v>
      </c>
      <c r="F32" s="55" t="s">
        <v>22</v>
      </c>
      <c r="G32" s="55" t="s">
        <v>181</v>
      </c>
      <c r="H32" s="55" t="s">
        <v>3070</v>
      </c>
      <c r="I32" s="55" t="s">
        <v>287</v>
      </c>
      <c r="J32" s="55">
        <v>52</v>
      </c>
    </row>
    <row r="33" spans="1:10" x14ac:dyDescent="0.25">
      <c r="A33" s="55" t="s">
        <v>301</v>
      </c>
      <c r="B33" s="55">
        <v>54</v>
      </c>
      <c r="C33" s="55">
        <v>54</v>
      </c>
      <c r="D33" s="55" t="s">
        <v>16</v>
      </c>
      <c r="E33" s="55" t="s">
        <v>24</v>
      </c>
      <c r="F33" s="55" t="s">
        <v>22</v>
      </c>
      <c r="G33" s="55" t="s">
        <v>181</v>
      </c>
      <c r="H33" s="55" t="s">
        <v>3071</v>
      </c>
      <c r="I33" s="55" t="s">
        <v>300</v>
      </c>
      <c r="J33" s="55">
        <v>55</v>
      </c>
    </row>
    <row r="34" spans="1:10" x14ac:dyDescent="0.25">
      <c r="A34" s="55" t="s">
        <v>314</v>
      </c>
      <c r="B34" s="55">
        <v>57</v>
      </c>
      <c r="C34" s="55">
        <v>57</v>
      </c>
      <c r="D34" s="55" t="s">
        <v>16</v>
      </c>
      <c r="E34" s="55" t="s">
        <v>24</v>
      </c>
      <c r="F34" s="55" t="s">
        <v>22</v>
      </c>
      <c r="G34" s="55" t="s">
        <v>40</v>
      </c>
      <c r="H34" s="55" t="s">
        <v>3072</v>
      </c>
      <c r="I34" s="55" t="s">
        <v>309</v>
      </c>
      <c r="J34" s="55">
        <v>58</v>
      </c>
    </row>
    <row r="35" spans="1:10" x14ac:dyDescent="0.25">
      <c r="A35" s="55" t="s">
        <v>320</v>
      </c>
      <c r="B35" s="55">
        <v>58</v>
      </c>
      <c r="C35" s="55">
        <v>58</v>
      </c>
      <c r="D35" s="55" t="s">
        <v>16</v>
      </c>
      <c r="E35" s="55" t="s">
        <v>24</v>
      </c>
      <c r="F35" s="55" t="s">
        <v>22</v>
      </c>
      <c r="G35" s="55" t="s">
        <v>315</v>
      </c>
      <c r="H35" s="55" t="s">
        <v>3073</v>
      </c>
      <c r="I35" s="55" t="s">
        <v>319</v>
      </c>
      <c r="J35" s="55">
        <v>59</v>
      </c>
    </row>
    <row r="36" spans="1:10" x14ac:dyDescent="0.25">
      <c r="A36" s="55" t="s">
        <v>325</v>
      </c>
      <c r="B36" s="55">
        <v>59</v>
      </c>
      <c r="C36" s="55">
        <v>59</v>
      </c>
      <c r="D36" s="55" t="s">
        <v>16</v>
      </c>
      <c r="E36" s="55" t="s">
        <v>24</v>
      </c>
      <c r="F36" s="55" t="s">
        <v>22</v>
      </c>
      <c r="G36" s="55" t="s">
        <v>315</v>
      </c>
      <c r="H36" s="55" t="s">
        <v>3074</v>
      </c>
      <c r="I36" s="55" t="s">
        <v>324</v>
      </c>
      <c r="J36" s="55">
        <v>60</v>
      </c>
    </row>
    <row r="37" spans="1:10" x14ac:dyDescent="0.25">
      <c r="A37" s="55" t="s">
        <v>332</v>
      </c>
      <c r="B37" s="55">
        <v>60</v>
      </c>
      <c r="C37" s="55">
        <v>60</v>
      </c>
      <c r="D37" s="55" t="s">
        <v>16</v>
      </c>
      <c r="E37" s="55" t="s">
        <v>24</v>
      </c>
      <c r="F37" s="55" t="s">
        <v>22</v>
      </c>
      <c r="G37" s="55" t="s">
        <v>326</v>
      </c>
      <c r="H37" s="55" t="s">
        <v>3075</v>
      </c>
      <c r="I37" s="55" t="s">
        <v>331</v>
      </c>
      <c r="J37" s="55">
        <v>61</v>
      </c>
    </row>
    <row r="38" spans="1:10" ht="25" x14ac:dyDescent="0.25">
      <c r="A38" s="55" t="s">
        <v>338</v>
      </c>
      <c r="B38" s="55">
        <v>61</v>
      </c>
      <c r="C38" s="55">
        <v>61</v>
      </c>
      <c r="D38" s="55" t="s">
        <v>16</v>
      </c>
      <c r="E38" s="55" t="s">
        <v>24</v>
      </c>
      <c r="F38" s="55" t="s">
        <v>57</v>
      </c>
      <c r="G38" s="55" t="s">
        <v>333</v>
      </c>
      <c r="H38" s="55" t="s">
        <v>3076</v>
      </c>
      <c r="I38" s="55" t="s">
        <v>337</v>
      </c>
      <c r="J38" s="55">
        <v>62</v>
      </c>
    </row>
    <row r="39" spans="1:10" ht="25" x14ac:dyDescent="0.25">
      <c r="A39" s="55" t="s">
        <v>350</v>
      </c>
      <c r="B39" s="55">
        <v>64</v>
      </c>
      <c r="C39" s="55">
        <v>64</v>
      </c>
      <c r="D39" s="55" t="s">
        <v>16</v>
      </c>
      <c r="E39" s="55" t="s">
        <v>24</v>
      </c>
      <c r="F39" s="55" t="s">
        <v>57</v>
      </c>
      <c r="G39" s="55" t="s">
        <v>40</v>
      </c>
      <c r="H39" s="55" t="s">
        <v>3077</v>
      </c>
      <c r="I39" s="55" t="s">
        <v>309</v>
      </c>
      <c r="J39" s="55">
        <v>65</v>
      </c>
    </row>
    <row r="40" spans="1:10" x14ac:dyDescent="0.25">
      <c r="A40" s="55" t="s">
        <v>357</v>
      </c>
      <c r="B40" s="55">
        <v>66</v>
      </c>
      <c r="C40" s="55">
        <v>66</v>
      </c>
      <c r="D40" s="55" t="s">
        <v>16</v>
      </c>
      <c r="E40" s="55" t="s">
        <v>24</v>
      </c>
      <c r="F40" s="55" t="s">
        <v>22</v>
      </c>
      <c r="G40" s="55" t="s">
        <v>46</v>
      </c>
      <c r="H40" s="55" t="s">
        <v>3078</v>
      </c>
      <c r="I40" s="55" t="s">
        <v>356</v>
      </c>
      <c r="J40" s="55">
        <v>67</v>
      </c>
    </row>
    <row r="41" spans="1:10" x14ac:dyDescent="0.25">
      <c r="A41" s="55" t="s">
        <v>366</v>
      </c>
      <c r="B41" s="55">
        <v>68</v>
      </c>
      <c r="C41" s="55">
        <v>68</v>
      </c>
      <c r="D41" s="55" t="s">
        <v>16</v>
      </c>
      <c r="E41" s="55" t="s">
        <v>24</v>
      </c>
      <c r="F41" s="55" t="s">
        <v>22</v>
      </c>
      <c r="G41" s="55" t="s">
        <v>315</v>
      </c>
      <c r="H41" s="55" t="s">
        <v>3079</v>
      </c>
      <c r="I41" s="55" t="s">
        <v>365</v>
      </c>
      <c r="J41" s="55">
        <v>69</v>
      </c>
    </row>
    <row r="42" spans="1:10" x14ac:dyDescent="0.25">
      <c r="A42" s="55" t="s">
        <v>373</v>
      </c>
      <c r="B42" s="55">
        <v>69</v>
      </c>
      <c r="C42" s="55">
        <v>69</v>
      </c>
      <c r="D42" s="55" t="s">
        <v>16</v>
      </c>
      <c r="E42" s="55" t="s">
        <v>24</v>
      </c>
      <c r="F42" s="55" t="s">
        <v>22</v>
      </c>
      <c r="G42" s="55" t="s">
        <v>367</v>
      </c>
      <c r="H42" s="55" t="s">
        <v>3080</v>
      </c>
      <c r="I42" s="55" t="s">
        <v>372</v>
      </c>
      <c r="J42" s="55">
        <v>70</v>
      </c>
    </row>
    <row r="43" spans="1:10" x14ac:dyDescent="0.25">
      <c r="A43" s="55" t="s">
        <v>378</v>
      </c>
      <c r="B43" s="55">
        <v>70</v>
      </c>
      <c r="C43" s="55">
        <v>70</v>
      </c>
      <c r="D43" s="55" t="s">
        <v>16</v>
      </c>
      <c r="E43" s="55" t="s">
        <v>24</v>
      </c>
      <c r="F43" s="55" t="s">
        <v>22</v>
      </c>
      <c r="G43" s="55" t="s">
        <v>367</v>
      </c>
      <c r="H43" s="55" t="s">
        <v>3081</v>
      </c>
      <c r="I43" s="55" t="s">
        <v>377</v>
      </c>
      <c r="J43" s="55">
        <v>71</v>
      </c>
    </row>
    <row r="44" spans="1:10" x14ac:dyDescent="0.25">
      <c r="A44" s="55" t="s">
        <v>384</v>
      </c>
      <c r="B44" s="55">
        <v>71</v>
      </c>
      <c r="C44" s="55">
        <v>71</v>
      </c>
      <c r="D44" s="55" t="s">
        <v>16</v>
      </c>
      <c r="E44" s="55" t="s">
        <v>24</v>
      </c>
      <c r="F44" s="55" t="s">
        <v>22</v>
      </c>
      <c r="G44" s="55" t="s">
        <v>379</v>
      </c>
      <c r="H44" s="55" t="s">
        <v>3082</v>
      </c>
      <c r="I44" s="55" t="s">
        <v>383</v>
      </c>
      <c r="J44" s="55">
        <v>72</v>
      </c>
    </row>
    <row r="45" spans="1:10" ht="25" x14ac:dyDescent="0.25">
      <c r="A45" s="55" t="s">
        <v>392</v>
      </c>
      <c r="B45" s="55">
        <v>73</v>
      </c>
      <c r="C45" s="55">
        <v>73</v>
      </c>
      <c r="D45" s="55" t="s">
        <v>16</v>
      </c>
      <c r="E45" s="55" t="s">
        <v>24</v>
      </c>
      <c r="F45" s="55" t="s">
        <v>57</v>
      </c>
      <c r="G45" s="55" t="s">
        <v>60</v>
      </c>
      <c r="H45" s="55" t="s">
        <v>3083</v>
      </c>
      <c r="I45" s="55" t="s">
        <v>391</v>
      </c>
      <c r="J45" s="55">
        <v>74</v>
      </c>
    </row>
    <row r="46" spans="1:10" ht="25" x14ac:dyDescent="0.25">
      <c r="A46" s="55" t="s">
        <v>397</v>
      </c>
      <c r="B46" s="55">
        <v>74</v>
      </c>
      <c r="C46" s="55">
        <v>74</v>
      </c>
      <c r="D46" s="55" t="s">
        <v>16</v>
      </c>
      <c r="E46" s="55" t="s">
        <v>24</v>
      </c>
      <c r="F46" s="55" t="s">
        <v>57</v>
      </c>
      <c r="G46" s="55" t="s">
        <v>60</v>
      </c>
      <c r="H46" s="55" t="s">
        <v>3084</v>
      </c>
      <c r="I46" s="55" t="s">
        <v>391</v>
      </c>
      <c r="J46" s="55">
        <v>75</v>
      </c>
    </row>
    <row r="47" spans="1:10" x14ac:dyDescent="0.25">
      <c r="A47" s="55" t="s">
        <v>402</v>
      </c>
      <c r="B47" s="55">
        <v>75</v>
      </c>
      <c r="C47" s="55">
        <v>75</v>
      </c>
      <c r="D47" s="55" t="s">
        <v>16</v>
      </c>
      <c r="E47" s="55" t="s">
        <v>24</v>
      </c>
      <c r="F47" s="55" t="s">
        <v>22</v>
      </c>
      <c r="G47" s="55" t="s">
        <v>60</v>
      </c>
      <c r="H47" s="55" t="s">
        <v>3085</v>
      </c>
      <c r="I47" s="55" t="s">
        <v>391</v>
      </c>
      <c r="J47" s="55">
        <v>76</v>
      </c>
    </row>
    <row r="48" spans="1:10" ht="25" x14ac:dyDescent="0.25">
      <c r="A48" s="55" t="s">
        <v>431</v>
      </c>
      <c r="B48" s="55">
        <v>82</v>
      </c>
      <c r="C48" s="55">
        <v>82</v>
      </c>
      <c r="D48" s="55" t="s">
        <v>16</v>
      </c>
      <c r="E48" s="55" t="s">
        <v>24</v>
      </c>
      <c r="F48" s="55" t="s">
        <v>57</v>
      </c>
      <c r="G48" s="55" t="s">
        <v>60</v>
      </c>
      <c r="H48" s="55" t="s">
        <v>3086</v>
      </c>
      <c r="I48" s="55" t="s">
        <v>430</v>
      </c>
      <c r="J48" s="55">
        <v>83</v>
      </c>
    </row>
    <row r="49" spans="1:10" x14ac:dyDescent="0.25">
      <c r="A49" s="55" t="s">
        <v>435</v>
      </c>
      <c r="B49" s="55">
        <v>83</v>
      </c>
      <c r="C49" s="55">
        <v>83</v>
      </c>
      <c r="D49" s="55" t="s">
        <v>16</v>
      </c>
      <c r="E49" s="55" t="s">
        <v>24</v>
      </c>
      <c r="F49" s="55" t="s">
        <v>22</v>
      </c>
      <c r="G49" s="55" t="s">
        <v>60</v>
      </c>
      <c r="H49" s="55" t="s">
        <v>3087</v>
      </c>
      <c r="I49" s="55" t="s">
        <v>430</v>
      </c>
      <c r="J49" s="55">
        <v>84</v>
      </c>
    </row>
    <row r="50" spans="1:10" x14ac:dyDescent="0.25">
      <c r="A50" s="55" t="s">
        <v>441</v>
      </c>
      <c r="B50" s="55">
        <v>84</v>
      </c>
      <c r="C50" s="55">
        <v>84</v>
      </c>
      <c r="D50" s="55" t="s">
        <v>16</v>
      </c>
      <c r="E50" s="55" t="s">
        <v>24</v>
      </c>
      <c r="F50" s="55" t="s">
        <v>22</v>
      </c>
      <c r="G50" s="55" t="s">
        <v>60</v>
      </c>
      <c r="H50" s="55" t="s">
        <v>3088</v>
      </c>
      <c r="I50" s="55" t="s">
        <v>440</v>
      </c>
      <c r="J50" s="55">
        <v>85</v>
      </c>
    </row>
    <row r="51" spans="1:10" ht="25" x14ac:dyDescent="0.25">
      <c r="A51" s="55" t="s">
        <v>447</v>
      </c>
      <c r="B51" s="55">
        <v>85</v>
      </c>
      <c r="C51" s="55">
        <v>85</v>
      </c>
      <c r="D51" s="55" t="s">
        <v>16</v>
      </c>
      <c r="E51" s="55" t="s">
        <v>24</v>
      </c>
      <c r="F51" s="55" t="s">
        <v>57</v>
      </c>
      <c r="G51" s="55" t="s">
        <v>60</v>
      </c>
      <c r="H51" s="55" t="s">
        <v>3089</v>
      </c>
      <c r="I51" s="55" t="s">
        <v>446</v>
      </c>
      <c r="J51" s="55">
        <v>86</v>
      </c>
    </row>
    <row r="52" spans="1:10" x14ac:dyDescent="0.25">
      <c r="A52" s="55" t="s">
        <v>452</v>
      </c>
      <c r="B52" s="55">
        <v>86</v>
      </c>
      <c r="C52" s="55">
        <v>86</v>
      </c>
      <c r="D52" s="55" t="s">
        <v>16</v>
      </c>
      <c r="E52" s="55" t="s">
        <v>24</v>
      </c>
      <c r="F52" s="55" t="s">
        <v>22</v>
      </c>
      <c r="G52" s="55" t="s">
        <v>60</v>
      </c>
      <c r="H52" s="55" t="s">
        <v>3090</v>
      </c>
      <c r="I52" s="55" t="s">
        <v>446</v>
      </c>
      <c r="J52" s="55">
        <v>87</v>
      </c>
    </row>
    <row r="53" spans="1:10" x14ac:dyDescent="0.25">
      <c r="A53" s="55" t="s">
        <v>457</v>
      </c>
      <c r="B53" s="55">
        <v>87</v>
      </c>
      <c r="C53" s="55">
        <v>87</v>
      </c>
      <c r="D53" s="55" t="s">
        <v>16</v>
      </c>
      <c r="E53" s="55" t="s">
        <v>24</v>
      </c>
      <c r="F53" s="55" t="s">
        <v>22</v>
      </c>
      <c r="G53" s="55" t="s">
        <v>66</v>
      </c>
      <c r="H53" s="55" t="s">
        <v>3091</v>
      </c>
      <c r="I53" s="55" t="s">
        <v>456</v>
      </c>
      <c r="J53" s="55">
        <v>88</v>
      </c>
    </row>
    <row r="54" spans="1:10" ht="25" x14ac:dyDescent="0.25">
      <c r="A54" s="55" t="s">
        <v>463</v>
      </c>
      <c r="B54" s="55">
        <v>88</v>
      </c>
      <c r="C54" s="55">
        <v>88</v>
      </c>
      <c r="D54" s="55" t="s">
        <v>16</v>
      </c>
      <c r="E54" s="55" t="s">
        <v>24</v>
      </c>
      <c r="F54" s="55" t="s">
        <v>57</v>
      </c>
      <c r="G54" s="55" t="s">
        <v>66</v>
      </c>
      <c r="H54" s="55" t="s">
        <v>3092</v>
      </c>
      <c r="I54" s="55" t="s">
        <v>462</v>
      </c>
      <c r="J54" s="55">
        <v>89</v>
      </c>
    </row>
    <row r="55" spans="1:10" ht="25" x14ac:dyDescent="0.25">
      <c r="A55" s="55" t="s">
        <v>471</v>
      </c>
      <c r="B55" s="55">
        <v>90</v>
      </c>
      <c r="C55" s="55">
        <v>90</v>
      </c>
      <c r="D55" s="55" t="s">
        <v>16</v>
      </c>
      <c r="E55" s="55" t="s">
        <v>24</v>
      </c>
      <c r="F55" s="55" t="s">
        <v>57</v>
      </c>
      <c r="G55" s="55" t="s">
        <v>66</v>
      </c>
      <c r="H55" s="55" t="s">
        <v>3093</v>
      </c>
      <c r="I55" s="55" t="s">
        <v>462</v>
      </c>
      <c r="J55" s="55">
        <v>91</v>
      </c>
    </row>
    <row r="56" spans="1:10" ht="25" x14ac:dyDescent="0.25">
      <c r="A56" s="55" t="s">
        <v>476</v>
      </c>
      <c r="B56" s="55">
        <v>91</v>
      </c>
      <c r="C56" s="55">
        <v>91</v>
      </c>
      <c r="D56" s="55" t="s">
        <v>16</v>
      </c>
      <c r="E56" s="55" t="s">
        <v>24</v>
      </c>
      <c r="F56" s="55" t="s">
        <v>57</v>
      </c>
      <c r="G56" s="55" t="s">
        <v>66</v>
      </c>
      <c r="H56" s="55" t="s">
        <v>3094</v>
      </c>
      <c r="I56" s="55" t="s">
        <v>462</v>
      </c>
      <c r="J56" s="55">
        <v>92</v>
      </c>
    </row>
    <row r="57" spans="1:10" ht="25" x14ac:dyDescent="0.25">
      <c r="A57" s="55" t="s">
        <v>486</v>
      </c>
      <c r="B57" s="55">
        <v>94</v>
      </c>
      <c r="C57" s="55">
        <v>94</v>
      </c>
      <c r="D57" s="55" t="s">
        <v>16</v>
      </c>
      <c r="E57" s="55" t="s">
        <v>24</v>
      </c>
      <c r="F57" s="55" t="s">
        <v>57</v>
      </c>
      <c r="G57" s="55" t="s">
        <v>66</v>
      </c>
      <c r="H57" s="55" t="s">
        <v>3095</v>
      </c>
      <c r="I57" s="55" t="s">
        <v>462</v>
      </c>
      <c r="J57" s="55">
        <v>95</v>
      </c>
    </row>
    <row r="58" spans="1:10" ht="25" x14ac:dyDescent="0.25">
      <c r="A58" s="55" t="s">
        <v>491</v>
      </c>
      <c r="B58" s="55">
        <v>95</v>
      </c>
      <c r="C58" s="55">
        <v>95</v>
      </c>
      <c r="D58" s="55" t="s">
        <v>16</v>
      </c>
      <c r="E58" s="55" t="s">
        <v>24</v>
      </c>
      <c r="F58" s="55" t="s">
        <v>57</v>
      </c>
      <c r="G58" s="55" t="s">
        <v>66</v>
      </c>
      <c r="H58" s="55" t="s">
        <v>3096</v>
      </c>
      <c r="I58" s="55" t="s">
        <v>462</v>
      </c>
      <c r="J58" s="55">
        <v>96</v>
      </c>
    </row>
    <row r="59" spans="1:10" ht="25" x14ac:dyDescent="0.25">
      <c r="A59" s="55" t="s">
        <v>496</v>
      </c>
      <c r="B59" s="55">
        <v>96</v>
      </c>
      <c r="C59" s="55">
        <v>96</v>
      </c>
      <c r="D59" s="55" t="s">
        <v>16</v>
      </c>
      <c r="E59" s="55" t="s">
        <v>24</v>
      </c>
      <c r="F59" s="55" t="s">
        <v>57</v>
      </c>
      <c r="G59" s="55" t="s">
        <v>66</v>
      </c>
      <c r="H59" s="55" t="s">
        <v>3097</v>
      </c>
      <c r="I59" s="55" t="s">
        <v>462</v>
      </c>
      <c r="J59" s="55">
        <v>97</v>
      </c>
    </row>
    <row r="60" spans="1:10" x14ac:dyDescent="0.25">
      <c r="A60" s="55" t="s">
        <v>501</v>
      </c>
      <c r="B60" s="55">
        <v>97</v>
      </c>
      <c r="C60" s="55">
        <v>97</v>
      </c>
      <c r="D60" s="55" t="s">
        <v>16</v>
      </c>
      <c r="E60" s="55" t="s">
        <v>24</v>
      </c>
      <c r="F60" s="55" t="s">
        <v>22</v>
      </c>
      <c r="G60" s="55" t="s">
        <v>66</v>
      </c>
      <c r="H60" s="55" t="s">
        <v>3098</v>
      </c>
      <c r="I60" s="55" t="s">
        <v>462</v>
      </c>
      <c r="J60" s="55">
        <v>98</v>
      </c>
    </row>
    <row r="61" spans="1:10" x14ac:dyDescent="0.25">
      <c r="A61" s="55" t="s">
        <v>504</v>
      </c>
      <c r="B61" s="55">
        <v>98</v>
      </c>
      <c r="C61" s="55">
        <v>98</v>
      </c>
      <c r="D61" s="55" t="s">
        <v>16</v>
      </c>
      <c r="E61" s="55" t="s">
        <v>24</v>
      </c>
      <c r="F61" s="55" t="s">
        <v>22</v>
      </c>
      <c r="G61" s="55" t="s">
        <v>66</v>
      </c>
      <c r="H61" s="55" t="s">
        <v>3099</v>
      </c>
      <c r="I61" s="55" t="s">
        <v>462</v>
      </c>
      <c r="J61" s="55">
        <v>99</v>
      </c>
    </row>
    <row r="62" spans="1:10" ht="25" x14ac:dyDescent="0.25">
      <c r="A62" s="55" t="s">
        <v>511</v>
      </c>
      <c r="B62" s="55">
        <v>100</v>
      </c>
      <c r="C62" s="55">
        <v>100</v>
      </c>
      <c r="D62" s="55" t="s">
        <v>16</v>
      </c>
      <c r="E62" s="55" t="s">
        <v>24</v>
      </c>
      <c r="F62" s="55" t="s">
        <v>57</v>
      </c>
      <c r="G62" s="55" t="s">
        <v>66</v>
      </c>
      <c r="H62" s="55" t="s">
        <v>3100</v>
      </c>
      <c r="I62" s="55" t="s">
        <v>510</v>
      </c>
      <c r="J62" s="55">
        <v>101</v>
      </c>
    </row>
    <row r="63" spans="1:10" x14ac:dyDescent="0.25">
      <c r="A63" s="55" t="s">
        <v>517</v>
      </c>
      <c r="B63" s="55">
        <v>101</v>
      </c>
      <c r="C63" s="55">
        <v>101</v>
      </c>
      <c r="D63" s="55" t="s">
        <v>16</v>
      </c>
      <c r="E63" s="55" t="s">
        <v>24</v>
      </c>
      <c r="F63" s="55" t="s">
        <v>22</v>
      </c>
      <c r="G63" s="55" t="s">
        <v>66</v>
      </c>
      <c r="H63" s="55" t="s">
        <v>3101</v>
      </c>
      <c r="I63" s="55" t="s">
        <v>516</v>
      </c>
      <c r="J63" s="55">
        <v>102</v>
      </c>
    </row>
    <row r="64" spans="1:10" ht="25" x14ac:dyDescent="0.25">
      <c r="A64" s="55" t="s">
        <v>526</v>
      </c>
      <c r="B64" s="55">
        <v>103</v>
      </c>
      <c r="C64" s="55">
        <v>103</v>
      </c>
      <c r="D64" s="55" t="s">
        <v>16</v>
      </c>
      <c r="E64" s="55" t="s">
        <v>24</v>
      </c>
      <c r="F64" s="55" t="s">
        <v>57</v>
      </c>
      <c r="G64" s="55" t="s">
        <v>66</v>
      </c>
      <c r="H64" s="55" t="s">
        <v>3102</v>
      </c>
      <c r="I64" s="55" t="s">
        <v>521</v>
      </c>
      <c r="J64" s="55">
        <v>104</v>
      </c>
    </row>
    <row r="65" spans="1:10" ht="25" x14ac:dyDescent="0.25">
      <c r="A65" s="55" t="s">
        <v>531</v>
      </c>
      <c r="B65" s="55">
        <v>104</v>
      </c>
      <c r="C65" s="55">
        <v>104</v>
      </c>
      <c r="D65" s="55" t="s">
        <v>16</v>
      </c>
      <c r="E65" s="55" t="s">
        <v>24</v>
      </c>
      <c r="F65" s="55" t="s">
        <v>57</v>
      </c>
      <c r="G65" s="55" t="s">
        <v>66</v>
      </c>
      <c r="H65" s="55" t="s">
        <v>3103</v>
      </c>
      <c r="I65" s="55" t="s">
        <v>521</v>
      </c>
      <c r="J65" s="55">
        <v>105</v>
      </c>
    </row>
    <row r="66" spans="1:10" ht="25" x14ac:dyDescent="0.25">
      <c r="A66" s="55" t="s">
        <v>535</v>
      </c>
      <c r="B66" s="55">
        <v>105</v>
      </c>
      <c r="C66" s="55">
        <v>105</v>
      </c>
      <c r="D66" s="55" t="s">
        <v>16</v>
      </c>
      <c r="E66" s="55" t="s">
        <v>24</v>
      </c>
      <c r="F66" s="55" t="s">
        <v>57</v>
      </c>
      <c r="G66" s="55" t="s">
        <v>66</v>
      </c>
      <c r="H66" s="55" t="s">
        <v>3104</v>
      </c>
      <c r="I66" s="55" t="s">
        <v>521</v>
      </c>
      <c r="J66" s="55">
        <v>106</v>
      </c>
    </row>
    <row r="67" spans="1:10" ht="25" x14ac:dyDescent="0.25">
      <c r="A67" s="55" t="s">
        <v>544</v>
      </c>
      <c r="B67" s="55">
        <v>107</v>
      </c>
      <c r="C67" s="55">
        <v>107</v>
      </c>
      <c r="D67" s="55" t="s">
        <v>16</v>
      </c>
      <c r="E67" s="55" t="s">
        <v>24</v>
      </c>
      <c r="F67" s="55" t="s">
        <v>57</v>
      </c>
      <c r="G67" s="55" t="s">
        <v>66</v>
      </c>
      <c r="H67" s="55" t="s">
        <v>3105</v>
      </c>
      <c r="I67" s="55" t="s">
        <v>521</v>
      </c>
      <c r="J67" s="55">
        <v>108</v>
      </c>
    </row>
    <row r="68" spans="1:10" ht="25" x14ac:dyDescent="0.25">
      <c r="A68" s="55" t="s">
        <v>547</v>
      </c>
      <c r="B68" s="55">
        <v>108</v>
      </c>
      <c r="C68" s="55">
        <v>108</v>
      </c>
      <c r="D68" s="55" t="s">
        <v>16</v>
      </c>
      <c r="E68" s="55" t="s">
        <v>24</v>
      </c>
      <c r="F68" s="55" t="s">
        <v>57</v>
      </c>
      <c r="G68" s="55" t="s">
        <v>66</v>
      </c>
      <c r="H68" s="55" t="s">
        <v>3106</v>
      </c>
      <c r="I68" s="55" t="s">
        <v>521</v>
      </c>
      <c r="J68" s="55">
        <v>109</v>
      </c>
    </row>
    <row r="69" spans="1:10" ht="25" x14ac:dyDescent="0.25">
      <c r="A69" s="55" t="s">
        <v>552</v>
      </c>
      <c r="B69" s="55">
        <v>109</v>
      </c>
      <c r="C69" s="55">
        <v>109</v>
      </c>
      <c r="D69" s="55" t="s">
        <v>16</v>
      </c>
      <c r="E69" s="55" t="s">
        <v>24</v>
      </c>
      <c r="F69" s="55" t="s">
        <v>57</v>
      </c>
      <c r="G69" s="55" t="s">
        <v>66</v>
      </c>
      <c r="H69" s="55" t="s">
        <v>3107</v>
      </c>
      <c r="I69" s="55" t="s">
        <v>521</v>
      </c>
      <c r="J69" s="55">
        <v>110</v>
      </c>
    </row>
    <row r="70" spans="1:10" ht="25" x14ac:dyDescent="0.25">
      <c r="A70" s="55" t="s">
        <v>560</v>
      </c>
      <c r="B70" s="55">
        <v>111</v>
      </c>
      <c r="C70" s="55">
        <v>111</v>
      </c>
      <c r="D70" s="55" t="s">
        <v>16</v>
      </c>
      <c r="E70" s="55" t="s">
        <v>24</v>
      </c>
      <c r="F70" s="55" t="s">
        <v>57</v>
      </c>
      <c r="G70" s="55" t="s">
        <v>66</v>
      </c>
      <c r="H70" s="55" t="s">
        <v>3108</v>
      </c>
      <c r="I70" s="55" t="s">
        <v>521</v>
      </c>
      <c r="J70" s="55">
        <v>112</v>
      </c>
    </row>
    <row r="71" spans="1:10" x14ac:dyDescent="0.25">
      <c r="A71" s="55" t="s">
        <v>564</v>
      </c>
      <c r="B71" s="55">
        <v>112</v>
      </c>
      <c r="C71" s="55">
        <v>112</v>
      </c>
      <c r="D71" s="55" t="s">
        <v>16</v>
      </c>
      <c r="E71" s="55" t="s">
        <v>24</v>
      </c>
      <c r="F71" s="55" t="s">
        <v>22</v>
      </c>
      <c r="G71" s="55" t="s">
        <v>66</v>
      </c>
      <c r="H71" s="55" t="s">
        <v>3109</v>
      </c>
      <c r="I71" s="55" t="s">
        <v>516</v>
      </c>
      <c r="J71" s="55">
        <v>113</v>
      </c>
    </row>
    <row r="72" spans="1:10" x14ac:dyDescent="0.25">
      <c r="A72" s="55" t="s">
        <v>567</v>
      </c>
      <c r="B72" s="55">
        <v>113</v>
      </c>
      <c r="C72" s="55">
        <v>113</v>
      </c>
      <c r="D72" s="55" t="s">
        <v>16</v>
      </c>
      <c r="E72" s="55" t="s">
        <v>24</v>
      </c>
      <c r="F72" s="55" t="s">
        <v>22</v>
      </c>
      <c r="G72" s="55" t="s">
        <v>66</v>
      </c>
      <c r="H72" s="55" t="s">
        <v>3110</v>
      </c>
      <c r="I72" s="55" t="s">
        <v>516</v>
      </c>
      <c r="J72" s="55">
        <v>114</v>
      </c>
    </row>
    <row r="73" spans="1:10" ht="25" x14ac:dyDescent="0.25">
      <c r="A73" s="55" t="s">
        <v>572</v>
      </c>
      <c r="B73" s="55">
        <v>114</v>
      </c>
      <c r="C73" s="55">
        <v>114</v>
      </c>
      <c r="D73" s="55" t="s">
        <v>16</v>
      </c>
      <c r="E73" s="55" t="s">
        <v>24</v>
      </c>
      <c r="F73" s="55" t="s">
        <v>57</v>
      </c>
      <c r="G73" s="55" t="s">
        <v>66</v>
      </c>
      <c r="H73" s="55" t="s">
        <v>3111</v>
      </c>
      <c r="I73" s="55" t="s">
        <v>516</v>
      </c>
      <c r="J73" s="55">
        <v>115</v>
      </c>
    </row>
    <row r="74" spans="1:10" x14ac:dyDescent="0.25">
      <c r="A74" s="55" t="s">
        <v>575</v>
      </c>
      <c r="B74" s="55">
        <v>115</v>
      </c>
      <c r="C74" s="55">
        <v>115</v>
      </c>
      <c r="D74" s="55" t="s">
        <v>16</v>
      </c>
      <c r="E74" s="55" t="s">
        <v>24</v>
      </c>
      <c r="F74" s="55" t="s">
        <v>22</v>
      </c>
      <c r="G74" s="55" t="s">
        <v>66</v>
      </c>
      <c r="H74" s="55" t="s">
        <v>3112</v>
      </c>
      <c r="I74" s="55" t="s">
        <v>516</v>
      </c>
      <c r="J74" s="55">
        <v>116</v>
      </c>
    </row>
    <row r="75" spans="1:10" ht="25" x14ac:dyDescent="0.25">
      <c r="A75" s="55" t="s">
        <v>579</v>
      </c>
      <c r="B75" s="55">
        <v>116</v>
      </c>
      <c r="C75" s="55">
        <v>116</v>
      </c>
      <c r="D75" s="55" t="s">
        <v>16</v>
      </c>
      <c r="E75" s="55" t="s">
        <v>24</v>
      </c>
      <c r="F75" s="55" t="s">
        <v>57</v>
      </c>
      <c r="G75" s="55" t="s">
        <v>66</v>
      </c>
      <c r="H75" s="55" t="s">
        <v>3113</v>
      </c>
      <c r="I75" s="55" t="s">
        <v>516</v>
      </c>
      <c r="J75" s="55">
        <v>117</v>
      </c>
    </row>
    <row r="76" spans="1:10" x14ac:dyDescent="0.25">
      <c r="A76" s="55" t="s">
        <v>583</v>
      </c>
      <c r="B76" s="55">
        <v>117</v>
      </c>
      <c r="C76" s="55">
        <v>117</v>
      </c>
      <c r="D76" s="55" t="s">
        <v>16</v>
      </c>
      <c r="E76" s="55" t="s">
        <v>24</v>
      </c>
      <c r="F76" s="55" t="s">
        <v>22</v>
      </c>
      <c r="G76" s="55" t="s">
        <v>66</v>
      </c>
      <c r="H76" s="55" t="s">
        <v>3114</v>
      </c>
      <c r="I76" s="55" t="s">
        <v>516</v>
      </c>
      <c r="J76" s="55">
        <v>118</v>
      </c>
    </row>
    <row r="77" spans="1:10" x14ac:dyDescent="0.25">
      <c r="A77" s="55" t="s">
        <v>586</v>
      </c>
      <c r="B77" s="55">
        <v>118</v>
      </c>
      <c r="C77" s="55">
        <v>118</v>
      </c>
      <c r="D77" s="55" t="s">
        <v>16</v>
      </c>
      <c r="E77" s="55" t="s">
        <v>24</v>
      </c>
      <c r="F77" s="55" t="s">
        <v>22</v>
      </c>
      <c r="G77" s="55" t="s">
        <v>66</v>
      </c>
      <c r="H77" s="55" t="s">
        <v>3115</v>
      </c>
      <c r="I77" s="55" t="s">
        <v>516</v>
      </c>
      <c r="J77" s="55">
        <v>119</v>
      </c>
    </row>
    <row r="78" spans="1:10" ht="25" x14ac:dyDescent="0.25">
      <c r="A78" s="55" t="s">
        <v>592</v>
      </c>
      <c r="B78" s="55">
        <v>119</v>
      </c>
      <c r="C78" s="55">
        <v>119</v>
      </c>
      <c r="D78" s="55" t="s">
        <v>16</v>
      </c>
      <c r="E78" s="55" t="s">
        <v>24</v>
      </c>
      <c r="F78" s="55" t="s">
        <v>57</v>
      </c>
      <c r="G78" s="55" t="s">
        <v>66</v>
      </c>
      <c r="H78" s="55" t="s">
        <v>3116</v>
      </c>
      <c r="I78" s="55" t="s">
        <v>591</v>
      </c>
      <c r="J78" s="55">
        <v>120</v>
      </c>
    </row>
    <row r="79" spans="1:10" ht="25" x14ac:dyDescent="0.25">
      <c r="A79" s="55" t="s">
        <v>596</v>
      </c>
      <c r="B79" s="55">
        <v>120</v>
      </c>
      <c r="C79" s="55">
        <v>120</v>
      </c>
      <c r="D79" s="55" t="s">
        <v>16</v>
      </c>
      <c r="E79" s="55" t="s">
        <v>24</v>
      </c>
      <c r="F79" s="55" t="s">
        <v>57</v>
      </c>
      <c r="G79" s="55" t="s">
        <v>66</v>
      </c>
      <c r="H79" s="55" t="s">
        <v>3117</v>
      </c>
      <c r="I79" s="55" t="s">
        <v>591</v>
      </c>
      <c r="J79" s="55">
        <v>121</v>
      </c>
    </row>
    <row r="80" spans="1:10" x14ac:dyDescent="0.25">
      <c r="A80" s="55" t="s">
        <v>599</v>
      </c>
      <c r="B80" s="55">
        <v>121</v>
      </c>
      <c r="C80" s="55">
        <v>121</v>
      </c>
      <c r="D80" s="55" t="s">
        <v>16</v>
      </c>
      <c r="E80" s="55" t="s">
        <v>24</v>
      </c>
      <c r="F80" s="55" t="s">
        <v>22</v>
      </c>
      <c r="G80" s="55" t="s">
        <v>66</v>
      </c>
      <c r="H80" s="55" t="s">
        <v>3118</v>
      </c>
      <c r="I80" s="55" t="s">
        <v>591</v>
      </c>
      <c r="J80" s="55">
        <v>122</v>
      </c>
    </row>
    <row r="81" spans="1:10" ht="25" x14ac:dyDescent="0.25">
      <c r="A81" s="55" t="s">
        <v>603</v>
      </c>
      <c r="B81" s="55">
        <v>122</v>
      </c>
      <c r="C81" s="55">
        <v>122</v>
      </c>
      <c r="D81" s="55" t="s">
        <v>16</v>
      </c>
      <c r="E81" s="55" t="s">
        <v>24</v>
      </c>
      <c r="F81" s="55" t="s">
        <v>57</v>
      </c>
      <c r="G81" s="55" t="s">
        <v>66</v>
      </c>
      <c r="H81" s="55" t="s">
        <v>3119</v>
      </c>
      <c r="I81" s="55" t="s">
        <v>591</v>
      </c>
      <c r="J81" s="55">
        <v>123</v>
      </c>
    </row>
    <row r="82" spans="1:10" ht="25" x14ac:dyDescent="0.25">
      <c r="A82" s="55" t="s">
        <v>608</v>
      </c>
      <c r="B82" s="55">
        <v>123</v>
      </c>
      <c r="C82" s="55">
        <v>123</v>
      </c>
      <c r="D82" s="55" t="s">
        <v>16</v>
      </c>
      <c r="E82" s="55" t="s">
        <v>24</v>
      </c>
      <c r="F82" s="55" t="s">
        <v>57</v>
      </c>
      <c r="G82" s="55" t="s">
        <v>66</v>
      </c>
      <c r="H82" s="55" t="s">
        <v>3120</v>
      </c>
      <c r="I82" s="55" t="s">
        <v>591</v>
      </c>
      <c r="J82" s="55">
        <v>124</v>
      </c>
    </row>
    <row r="83" spans="1:10" x14ac:dyDescent="0.25">
      <c r="A83" s="55" t="s">
        <v>619</v>
      </c>
      <c r="B83" s="55">
        <v>125</v>
      </c>
      <c r="C83" s="55">
        <v>125</v>
      </c>
      <c r="D83" s="55" t="s">
        <v>16</v>
      </c>
      <c r="E83" s="55" t="s">
        <v>24</v>
      </c>
      <c r="F83" s="55" t="s">
        <v>22</v>
      </c>
      <c r="G83" s="55" t="s">
        <v>609</v>
      </c>
      <c r="H83" s="55" t="s">
        <v>3121</v>
      </c>
      <c r="I83" s="55" t="s">
        <v>618</v>
      </c>
      <c r="J83" s="55">
        <v>126</v>
      </c>
    </row>
    <row r="84" spans="1:10" x14ac:dyDescent="0.25">
      <c r="A84" s="55" t="s">
        <v>625</v>
      </c>
      <c r="B84" s="55">
        <v>126</v>
      </c>
      <c r="C84" s="55">
        <v>126</v>
      </c>
      <c r="D84" s="55" t="s">
        <v>16</v>
      </c>
      <c r="E84" s="55" t="s">
        <v>24</v>
      </c>
      <c r="F84" s="55" t="s">
        <v>22</v>
      </c>
      <c r="G84" s="55" t="s">
        <v>609</v>
      </c>
      <c r="H84" s="55" t="s">
        <v>3122</v>
      </c>
      <c r="I84" s="55" t="s">
        <v>624</v>
      </c>
      <c r="J84" s="55">
        <v>127</v>
      </c>
    </row>
    <row r="85" spans="1:10" ht="25" x14ac:dyDescent="0.25">
      <c r="A85" s="55" t="s">
        <v>644</v>
      </c>
      <c r="B85" s="55">
        <v>130</v>
      </c>
      <c r="C85" s="55">
        <v>130</v>
      </c>
      <c r="D85" s="55" t="s">
        <v>16</v>
      </c>
      <c r="E85" s="55" t="s">
        <v>24</v>
      </c>
      <c r="F85" s="55" t="s">
        <v>22</v>
      </c>
      <c r="G85" s="55" t="s">
        <v>609</v>
      </c>
      <c r="H85" s="55" t="s">
        <v>3123</v>
      </c>
      <c r="I85" s="55" t="s">
        <v>643</v>
      </c>
      <c r="J85" s="55">
        <v>131</v>
      </c>
    </row>
    <row r="86" spans="1:10" x14ac:dyDescent="0.25">
      <c r="A86" s="55" t="s">
        <v>650</v>
      </c>
      <c r="B86" s="55">
        <v>131</v>
      </c>
      <c r="C86" s="55">
        <v>131</v>
      </c>
      <c r="D86" s="55" t="s">
        <v>16</v>
      </c>
      <c r="E86" s="55" t="s">
        <v>24</v>
      </c>
      <c r="F86" s="55" t="s">
        <v>22</v>
      </c>
      <c r="G86" s="55" t="s">
        <v>645</v>
      </c>
      <c r="H86" s="55" t="s">
        <v>3124</v>
      </c>
      <c r="I86" s="55" t="s">
        <v>649</v>
      </c>
      <c r="J86" s="55">
        <v>132</v>
      </c>
    </row>
    <row r="87" spans="1:10" ht="25" x14ac:dyDescent="0.25">
      <c r="A87" s="55" t="s">
        <v>664</v>
      </c>
      <c r="B87" s="55">
        <v>134</v>
      </c>
      <c r="C87" s="55">
        <v>134</v>
      </c>
      <c r="D87" s="55" t="s">
        <v>16</v>
      </c>
      <c r="E87" s="55" t="s">
        <v>24</v>
      </c>
      <c r="F87" s="55" t="s">
        <v>57</v>
      </c>
      <c r="G87" s="55"/>
      <c r="H87" s="55" t="s">
        <v>3125</v>
      </c>
      <c r="I87" s="55" t="s">
        <v>663</v>
      </c>
      <c r="J87" s="55">
        <v>135</v>
      </c>
    </row>
    <row r="88" spans="1:10" x14ac:dyDescent="0.25">
      <c r="A88" s="55" t="s">
        <v>669</v>
      </c>
      <c r="B88" s="55">
        <v>135</v>
      </c>
      <c r="C88" s="55">
        <v>135</v>
      </c>
      <c r="D88" s="55" t="s">
        <v>16</v>
      </c>
      <c r="E88" s="55" t="s">
        <v>24</v>
      </c>
      <c r="F88" s="55" t="s">
        <v>22</v>
      </c>
      <c r="G88" s="55" t="s">
        <v>95</v>
      </c>
      <c r="H88" s="55" t="s">
        <v>3126</v>
      </c>
      <c r="I88" s="55" t="s">
        <v>668</v>
      </c>
      <c r="J88" s="55">
        <v>136</v>
      </c>
    </row>
    <row r="89" spans="1:10" ht="25" x14ac:dyDescent="0.25">
      <c r="A89" s="55" t="s">
        <v>674</v>
      </c>
      <c r="B89" s="55">
        <v>136</v>
      </c>
      <c r="C89" s="55">
        <v>136</v>
      </c>
      <c r="D89" s="55" t="s">
        <v>16</v>
      </c>
      <c r="E89" s="55" t="s">
        <v>24</v>
      </c>
      <c r="F89" s="55" t="s">
        <v>22</v>
      </c>
      <c r="G89" s="55" t="s">
        <v>670</v>
      </c>
      <c r="H89" s="55" t="s">
        <v>3127</v>
      </c>
      <c r="I89" s="55" t="s">
        <v>673</v>
      </c>
      <c r="J89" s="55">
        <v>137</v>
      </c>
    </row>
    <row r="90" spans="1:10" x14ac:dyDescent="0.25">
      <c r="A90" s="55" t="s">
        <v>680</v>
      </c>
      <c r="B90" s="55">
        <v>137</v>
      </c>
      <c r="C90" s="55">
        <v>137</v>
      </c>
      <c r="D90" s="55" t="s">
        <v>16</v>
      </c>
      <c r="E90" s="55" t="s">
        <v>24</v>
      </c>
      <c r="F90" s="55" t="s">
        <v>22</v>
      </c>
      <c r="G90" s="55"/>
      <c r="H90" s="55" t="s">
        <v>3128</v>
      </c>
      <c r="I90" s="55" t="s">
        <v>679</v>
      </c>
      <c r="J90" s="55">
        <v>138</v>
      </c>
    </row>
    <row r="91" spans="1:10" ht="25" x14ac:dyDescent="0.25">
      <c r="A91" s="55" t="s">
        <v>693</v>
      </c>
      <c r="B91" s="55">
        <v>140</v>
      </c>
      <c r="C91" s="55">
        <v>140</v>
      </c>
      <c r="D91" s="55" t="s">
        <v>16</v>
      </c>
      <c r="E91" s="55" t="s">
        <v>24</v>
      </c>
      <c r="F91" s="55" t="s">
        <v>57</v>
      </c>
      <c r="G91" s="55"/>
      <c r="H91" s="55" t="s">
        <v>3129</v>
      </c>
      <c r="I91" s="55" t="s">
        <v>692</v>
      </c>
      <c r="J91" s="55">
        <v>141</v>
      </c>
    </row>
    <row r="92" spans="1:10" ht="25" x14ac:dyDescent="0.25">
      <c r="A92" s="55" t="s">
        <v>697</v>
      </c>
      <c r="B92" s="55">
        <v>141</v>
      </c>
      <c r="C92" s="55">
        <v>141</v>
      </c>
      <c r="D92" s="55" t="s">
        <v>16</v>
      </c>
      <c r="E92" s="55" t="s">
        <v>24</v>
      </c>
      <c r="F92" s="55" t="s">
        <v>57</v>
      </c>
      <c r="G92" s="55"/>
      <c r="H92" s="55" t="s">
        <v>3130</v>
      </c>
      <c r="I92" s="55" t="s">
        <v>696</v>
      </c>
      <c r="J92" s="55">
        <v>142</v>
      </c>
    </row>
    <row r="93" spans="1:10" ht="25" x14ac:dyDescent="0.25">
      <c r="A93" s="55" t="s">
        <v>714</v>
      </c>
      <c r="B93" s="55">
        <v>145</v>
      </c>
      <c r="C93" s="55">
        <v>145</v>
      </c>
      <c r="D93" s="55" t="s">
        <v>16</v>
      </c>
      <c r="E93" s="55" t="s">
        <v>24</v>
      </c>
      <c r="F93" s="55" t="s">
        <v>57</v>
      </c>
      <c r="G93" s="55"/>
      <c r="H93" s="55" t="s">
        <v>3131</v>
      </c>
      <c r="I93" s="55" t="s">
        <v>713</v>
      </c>
      <c r="J93" s="55">
        <v>146</v>
      </c>
    </row>
    <row r="94" spans="1:10" ht="25" x14ac:dyDescent="0.25">
      <c r="A94" s="55" t="s">
        <v>718</v>
      </c>
      <c r="B94" s="55">
        <v>146</v>
      </c>
      <c r="C94" s="55">
        <v>146</v>
      </c>
      <c r="D94" s="55" t="s">
        <v>16</v>
      </c>
      <c r="E94" s="55" t="s">
        <v>24</v>
      </c>
      <c r="F94" s="55" t="s">
        <v>57</v>
      </c>
      <c r="G94" s="55" t="s">
        <v>670</v>
      </c>
      <c r="H94" s="55" t="s">
        <v>3132</v>
      </c>
      <c r="I94" s="55" t="s">
        <v>717</v>
      </c>
      <c r="J94" s="55">
        <v>147</v>
      </c>
    </row>
    <row r="95" spans="1:10" ht="25" x14ac:dyDescent="0.25">
      <c r="A95" s="55" t="s">
        <v>722</v>
      </c>
      <c r="B95" s="55">
        <v>147</v>
      </c>
      <c r="C95" s="55">
        <v>147</v>
      </c>
      <c r="D95" s="55" t="s">
        <v>16</v>
      </c>
      <c r="E95" s="55" t="s">
        <v>24</v>
      </c>
      <c r="F95" s="55" t="s">
        <v>57</v>
      </c>
      <c r="G95" s="55" t="s">
        <v>670</v>
      </c>
      <c r="H95" s="55" t="s">
        <v>3133</v>
      </c>
      <c r="I95" s="55" t="s">
        <v>721</v>
      </c>
      <c r="J95" s="55">
        <v>148</v>
      </c>
    </row>
    <row r="96" spans="1:10" ht="25" x14ac:dyDescent="0.25">
      <c r="A96" s="55" t="s">
        <v>741</v>
      </c>
      <c r="B96" s="55">
        <v>153</v>
      </c>
      <c r="C96" s="55">
        <v>153</v>
      </c>
      <c r="D96" s="55" t="s">
        <v>16</v>
      </c>
      <c r="E96" s="55" t="s">
        <v>24</v>
      </c>
      <c r="F96" s="55" t="s">
        <v>57</v>
      </c>
      <c r="G96" s="55" t="s">
        <v>33</v>
      </c>
      <c r="H96" s="55" t="s">
        <v>3134</v>
      </c>
      <c r="I96" s="55" t="s">
        <v>740</v>
      </c>
      <c r="J96" s="55">
        <v>154</v>
      </c>
    </row>
    <row r="97" spans="1:10" ht="25" x14ac:dyDescent="0.25">
      <c r="A97" s="55" t="s">
        <v>746</v>
      </c>
      <c r="B97" s="55">
        <v>154</v>
      </c>
      <c r="C97" s="55">
        <v>154</v>
      </c>
      <c r="D97" s="55" t="s">
        <v>16</v>
      </c>
      <c r="E97" s="55" t="s">
        <v>24</v>
      </c>
      <c r="F97" s="55" t="s">
        <v>57</v>
      </c>
      <c r="G97" s="55" t="s">
        <v>609</v>
      </c>
      <c r="H97" s="55" t="s">
        <v>3135</v>
      </c>
      <c r="I97" s="55" t="s">
        <v>745</v>
      </c>
      <c r="J97" s="55">
        <v>155</v>
      </c>
    </row>
    <row r="98" spans="1:10" ht="25" x14ac:dyDescent="0.25">
      <c r="A98" s="55" t="s">
        <v>750</v>
      </c>
      <c r="B98" s="55">
        <v>155</v>
      </c>
      <c r="C98" s="55">
        <v>155</v>
      </c>
      <c r="D98" s="55" t="s">
        <v>16</v>
      </c>
      <c r="E98" s="55" t="s">
        <v>24</v>
      </c>
      <c r="F98" s="55" t="s">
        <v>57</v>
      </c>
      <c r="G98" s="55" t="s">
        <v>609</v>
      </c>
      <c r="H98" s="55" t="s">
        <v>3136</v>
      </c>
      <c r="I98" s="55" t="s">
        <v>749</v>
      </c>
      <c r="J98" s="55">
        <v>156</v>
      </c>
    </row>
    <row r="99" spans="1:10" ht="25" x14ac:dyDescent="0.25">
      <c r="A99" s="55" t="s">
        <v>759</v>
      </c>
      <c r="B99" s="55">
        <v>157</v>
      </c>
      <c r="C99" s="55">
        <v>157</v>
      </c>
      <c r="D99" s="55" t="s">
        <v>16</v>
      </c>
      <c r="E99" s="55" t="s">
        <v>24</v>
      </c>
      <c r="F99" s="55" t="s">
        <v>57</v>
      </c>
      <c r="G99" s="55"/>
      <c r="H99" s="55" t="s">
        <v>3137</v>
      </c>
      <c r="I99" s="55" t="s">
        <v>758</v>
      </c>
      <c r="J99" s="55">
        <v>158</v>
      </c>
    </row>
    <row r="100" spans="1:10" x14ac:dyDescent="0.25">
      <c r="A100" s="55" t="s">
        <v>763</v>
      </c>
      <c r="B100" s="55">
        <v>158</v>
      </c>
      <c r="C100" s="55">
        <v>158</v>
      </c>
      <c r="D100" s="55" t="s">
        <v>16</v>
      </c>
      <c r="E100" s="55" t="s">
        <v>24</v>
      </c>
      <c r="F100" s="55" t="s">
        <v>22</v>
      </c>
      <c r="G100" s="55"/>
      <c r="H100" s="55" t="s">
        <v>3138</v>
      </c>
      <c r="I100" s="55" t="s">
        <v>762</v>
      </c>
      <c r="J100" s="55">
        <v>159</v>
      </c>
    </row>
    <row r="101" spans="1:10" x14ac:dyDescent="0.25">
      <c r="A101" s="55" t="s">
        <v>767</v>
      </c>
      <c r="B101" s="55">
        <v>159</v>
      </c>
      <c r="C101" s="55">
        <v>159</v>
      </c>
      <c r="D101" s="55" t="s">
        <v>16</v>
      </c>
      <c r="E101" s="55" t="s">
        <v>24</v>
      </c>
      <c r="F101" s="55" t="s">
        <v>22</v>
      </c>
      <c r="G101" s="55"/>
      <c r="H101" s="55" t="s">
        <v>3139</v>
      </c>
      <c r="I101" s="55" t="s">
        <v>766</v>
      </c>
      <c r="J101" s="55">
        <v>160</v>
      </c>
    </row>
    <row r="102" spans="1:10" x14ac:dyDescent="0.25">
      <c r="A102" s="55" t="s">
        <v>772</v>
      </c>
      <c r="B102" s="55">
        <v>160</v>
      </c>
      <c r="C102" s="55">
        <v>160</v>
      </c>
      <c r="D102" s="55" t="s">
        <v>16</v>
      </c>
      <c r="E102" s="55" t="s">
        <v>24</v>
      </c>
      <c r="F102" s="55" t="s">
        <v>22</v>
      </c>
      <c r="G102" s="55"/>
      <c r="H102" s="55" t="s">
        <v>3140</v>
      </c>
      <c r="I102" s="55" t="s">
        <v>771</v>
      </c>
      <c r="J102" s="55">
        <v>161</v>
      </c>
    </row>
    <row r="103" spans="1:10" x14ac:dyDescent="0.25">
      <c r="A103" s="55" t="s">
        <v>786</v>
      </c>
      <c r="B103" s="55">
        <v>163</v>
      </c>
      <c r="C103" s="55">
        <v>163</v>
      </c>
      <c r="D103" s="55" t="s">
        <v>16</v>
      </c>
      <c r="E103" s="55" t="s">
        <v>24</v>
      </c>
      <c r="F103" s="55" t="s">
        <v>22</v>
      </c>
      <c r="G103" s="55" t="s">
        <v>670</v>
      </c>
      <c r="H103" s="55" t="s">
        <v>3141</v>
      </c>
      <c r="I103" s="55" t="s">
        <v>785</v>
      </c>
      <c r="J103" s="55">
        <v>164</v>
      </c>
    </row>
    <row r="104" spans="1:10" x14ac:dyDescent="0.25">
      <c r="A104" s="55" t="s">
        <v>790</v>
      </c>
      <c r="B104" s="55">
        <v>164</v>
      </c>
      <c r="C104" s="55">
        <v>164</v>
      </c>
      <c r="D104" s="55" t="s">
        <v>16</v>
      </c>
      <c r="E104" s="55" t="s">
        <v>24</v>
      </c>
      <c r="F104" s="55" t="s">
        <v>22</v>
      </c>
      <c r="G104" s="55" t="s">
        <v>670</v>
      </c>
      <c r="H104" s="55" t="s">
        <v>3142</v>
      </c>
      <c r="I104" s="55" t="s">
        <v>789</v>
      </c>
      <c r="J104" s="55">
        <v>165</v>
      </c>
    </row>
    <row r="105" spans="1:10" x14ac:dyDescent="0.25">
      <c r="A105" s="55" t="s">
        <v>801</v>
      </c>
      <c r="B105" s="55">
        <v>167</v>
      </c>
      <c r="C105" s="55">
        <v>167</v>
      </c>
      <c r="D105" s="55" t="s">
        <v>16</v>
      </c>
      <c r="E105" s="55" t="s">
        <v>24</v>
      </c>
      <c r="F105" s="55" t="s">
        <v>22</v>
      </c>
      <c r="G105" s="55" t="s">
        <v>46</v>
      </c>
      <c r="H105" s="55" t="s">
        <v>3143</v>
      </c>
      <c r="I105" s="55" t="s">
        <v>800</v>
      </c>
      <c r="J105" s="55">
        <v>168</v>
      </c>
    </row>
    <row r="106" spans="1:10" ht="25" x14ac:dyDescent="0.25">
      <c r="A106" s="55" t="s">
        <v>805</v>
      </c>
      <c r="B106" s="55">
        <v>168</v>
      </c>
      <c r="C106" s="55">
        <v>168</v>
      </c>
      <c r="D106" s="55" t="s">
        <v>16</v>
      </c>
      <c r="E106" s="55" t="s">
        <v>24</v>
      </c>
      <c r="F106" s="55" t="s">
        <v>57</v>
      </c>
      <c r="G106" s="55" t="s">
        <v>670</v>
      </c>
      <c r="H106" s="55" t="s">
        <v>3144</v>
      </c>
      <c r="I106" s="55" t="s">
        <v>804</v>
      </c>
      <c r="J106" s="55">
        <v>169</v>
      </c>
    </row>
    <row r="107" spans="1:10" ht="25" x14ac:dyDescent="0.25">
      <c r="A107" s="55" t="s">
        <v>813</v>
      </c>
      <c r="B107" s="55">
        <v>170</v>
      </c>
      <c r="C107" s="55">
        <v>170</v>
      </c>
      <c r="D107" s="55" t="s">
        <v>16</v>
      </c>
      <c r="E107" s="55" t="s">
        <v>24</v>
      </c>
      <c r="F107" s="55" t="s">
        <v>57</v>
      </c>
      <c r="G107" s="55" t="s">
        <v>670</v>
      </c>
      <c r="H107" s="55" t="s">
        <v>3145</v>
      </c>
      <c r="I107" s="55" t="s">
        <v>812</v>
      </c>
      <c r="J107" s="55">
        <v>171</v>
      </c>
    </row>
    <row r="108" spans="1:10" ht="25" x14ac:dyDescent="0.25">
      <c r="A108" s="55" t="s">
        <v>839</v>
      </c>
      <c r="B108" s="55">
        <v>177</v>
      </c>
      <c r="C108" s="55">
        <v>177</v>
      </c>
      <c r="D108" s="55" t="s">
        <v>16</v>
      </c>
      <c r="E108" s="55" t="s">
        <v>24</v>
      </c>
      <c r="F108" s="55" t="s">
        <v>57</v>
      </c>
      <c r="G108" s="55" t="s">
        <v>46</v>
      </c>
      <c r="H108" s="55" t="s">
        <v>3146</v>
      </c>
      <c r="I108" s="55" t="s">
        <v>838</v>
      </c>
      <c r="J108" s="55">
        <v>178</v>
      </c>
    </row>
    <row r="109" spans="1:10" x14ac:dyDescent="0.25">
      <c r="A109" s="55" t="s">
        <v>847</v>
      </c>
      <c r="B109" s="55">
        <v>178</v>
      </c>
      <c r="C109" s="55">
        <v>178</v>
      </c>
      <c r="D109" s="55" t="s">
        <v>840</v>
      </c>
      <c r="E109" s="55" t="s">
        <v>24</v>
      </c>
      <c r="F109" s="55" t="s">
        <v>22</v>
      </c>
      <c r="G109" s="55" t="s">
        <v>841</v>
      </c>
      <c r="H109" s="55" t="s">
        <v>3147</v>
      </c>
      <c r="I109" s="55" t="s">
        <v>846</v>
      </c>
      <c r="J109" s="55">
        <v>179</v>
      </c>
    </row>
    <row r="110" spans="1:10" x14ac:dyDescent="0.25">
      <c r="A110" s="55" t="s">
        <v>854</v>
      </c>
      <c r="B110" s="55">
        <v>179</v>
      </c>
      <c r="C110" s="55">
        <v>179</v>
      </c>
      <c r="D110" s="55" t="s">
        <v>840</v>
      </c>
      <c r="E110" s="55" t="s">
        <v>24</v>
      </c>
      <c r="F110" s="55" t="s">
        <v>22</v>
      </c>
      <c r="G110" s="55" t="s">
        <v>848</v>
      </c>
      <c r="H110" s="55" t="s">
        <v>3148</v>
      </c>
      <c r="I110" s="55" t="s">
        <v>853</v>
      </c>
      <c r="J110" s="55">
        <v>180</v>
      </c>
    </row>
    <row r="111" spans="1:10" ht="25" x14ac:dyDescent="0.25">
      <c r="A111" s="55" t="s">
        <v>866</v>
      </c>
      <c r="B111" s="55">
        <v>181</v>
      </c>
      <c r="C111" s="55">
        <v>181</v>
      </c>
      <c r="D111" s="55" t="s">
        <v>840</v>
      </c>
      <c r="E111" s="55" t="s">
        <v>24</v>
      </c>
      <c r="F111" s="55" t="s">
        <v>57</v>
      </c>
      <c r="G111" s="55" t="s">
        <v>860</v>
      </c>
      <c r="H111" s="55" t="s">
        <v>3149</v>
      </c>
      <c r="I111" s="55" t="s">
        <v>865</v>
      </c>
      <c r="J111" s="55">
        <v>182</v>
      </c>
    </row>
    <row r="112" spans="1:10" ht="25" x14ac:dyDescent="0.25">
      <c r="A112" s="55" t="s">
        <v>871</v>
      </c>
      <c r="B112" s="55">
        <v>182</v>
      </c>
      <c r="C112" s="55">
        <v>182</v>
      </c>
      <c r="D112" s="55" t="s">
        <v>840</v>
      </c>
      <c r="E112" s="55" t="s">
        <v>24</v>
      </c>
      <c r="F112" s="55" t="s">
        <v>22</v>
      </c>
      <c r="G112" s="55" t="s">
        <v>860</v>
      </c>
      <c r="H112" s="55" t="s">
        <v>3150</v>
      </c>
      <c r="I112" s="55" t="s">
        <v>870</v>
      </c>
      <c r="J112" s="55">
        <v>183</v>
      </c>
    </row>
    <row r="113" spans="1:10" x14ac:dyDescent="0.25">
      <c r="A113" s="55" t="s">
        <v>881</v>
      </c>
      <c r="B113" s="55">
        <v>184</v>
      </c>
      <c r="C113" s="55">
        <v>184</v>
      </c>
      <c r="D113" s="55" t="s">
        <v>840</v>
      </c>
      <c r="E113" s="55" t="s">
        <v>24</v>
      </c>
      <c r="F113" s="55" t="s">
        <v>22</v>
      </c>
      <c r="G113" s="55" t="s">
        <v>860</v>
      </c>
      <c r="H113" s="55" t="s">
        <v>3151</v>
      </c>
      <c r="I113" s="55" t="s">
        <v>880</v>
      </c>
      <c r="J113" s="55">
        <v>185</v>
      </c>
    </row>
    <row r="114" spans="1:10" ht="25" x14ac:dyDescent="0.25">
      <c r="A114" s="55" t="s">
        <v>887</v>
      </c>
      <c r="B114" s="55">
        <v>185</v>
      </c>
      <c r="C114" s="55">
        <v>185</v>
      </c>
      <c r="D114" s="55" t="s">
        <v>840</v>
      </c>
      <c r="E114" s="55" t="s">
        <v>24</v>
      </c>
      <c r="F114" s="55" t="s">
        <v>57</v>
      </c>
      <c r="G114" s="55" t="s">
        <v>882</v>
      </c>
      <c r="H114" s="55" t="s">
        <v>3152</v>
      </c>
      <c r="I114" s="55" t="s">
        <v>886</v>
      </c>
      <c r="J114" s="55">
        <v>186</v>
      </c>
    </row>
    <row r="115" spans="1:10" x14ac:dyDescent="0.25">
      <c r="A115" s="55" t="s">
        <v>893</v>
      </c>
      <c r="B115" s="55">
        <v>186</v>
      </c>
      <c r="C115" s="55">
        <v>186</v>
      </c>
      <c r="D115" s="55" t="s">
        <v>840</v>
      </c>
      <c r="E115" s="55" t="s">
        <v>24</v>
      </c>
      <c r="F115" s="55" t="s">
        <v>22</v>
      </c>
      <c r="G115" s="55" t="s">
        <v>888</v>
      </c>
      <c r="H115" s="55" t="s">
        <v>3153</v>
      </c>
      <c r="I115" s="55" t="s">
        <v>892</v>
      </c>
      <c r="J115" s="55">
        <v>187</v>
      </c>
    </row>
    <row r="116" spans="1:10" x14ac:dyDescent="0.25">
      <c r="A116" s="55" t="s">
        <v>898</v>
      </c>
      <c r="B116" s="55">
        <v>187</v>
      </c>
      <c r="C116" s="55">
        <v>187</v>
      </c>
      <c r="D116" s="55" t="s">
        <v>840</v>
      </c>
      <c r="E116" s="55" t="s">
        <v>24</v>
      </c>
      <c r="F116" s="55" t="s">
        <v>22</v>
      </c>
      <c r="G116" s="55" t="s">
        <v>751</v>
      </c>
      <c r="H116" s="55" t="s">
        <v>3154</v>
      </c>
      <c r="I116" s="55" t="s">
        <v>897</v>
      </c>
      <c r="J116" s="55">
        <v>188</v>
      </c>
    </row>
    <row r="117" spans="1:10" ht="25" x14ac:dyDescent="0.25">
      <c r="A117" s="55" t="s">
        <v>902</v>
      </c>
      <c r="B117" s="55">
        <v>188</v>
      </c>
      <c r="C117" s="55">
        <v>188</v>
      </c>
      <c r="D117" s="55" t="s">
        <v>840</v>
      </c>
      <c r="E117" s="55" t="s">
        <v>24</v>
      </c>
      <c r="F117" s="55" t="s">
        <v>57</v>
      </c>
      <c r="G117" s="55" t="s">
        <v>899</v>
      </c>
      <c r="H117" s="55" t="s">
        <v>3155</v>
      </c>
      <c r="I117" s="55" t="s">
        <v>901</v>
      </c>
      <c r="J117" s="55">
        <v>189</v>
      </c>
    </row>
    <row r="118" spans="1:10" x14ac:dyDescent="0.25">
      <c r="A118" s="55" t="s">
        <v>907</v>
      </c>
      <c r="B118" s="55">
        <v>189</v>
      </c>
      <c r="C118" s="55">
        <v>189</v>
      </c>
      <c r="D118" s="55" t="s">
        <v>903</v>
      </c>
      <c r="E118" s="55" t="s">
        <v>24</v>
      </c>
      <c r="F118" s="55" t="s">
        <v>22</v>
      </c>
      <c r="G118" s="55" t="s">
        <v>645</v>
      </c>
      <c r="H118" s="55" t="s">
        <v>3156</v>
      </c>
      <c r="I118" s="55" t="s">
        <v>906</v>
      </c>
      <c r="J118" s="55">
        <v>190</v>
      </c>
    </row>
    <row r="119" spans="1:10" x14ac:dyDescent="0.25">
      <c r="A119" s="55" t="s">
        <v>913</v>
      </c>
      <c r="B119" s="55">
        <v>190</v>
      </c>
      <c r="C119" s="55">
        <v>190</v>
      </c>
      <c r="D119" s="55" t="s">
        <v>903</v>
      </c>
      <c r="E119" s="55" t="s">
        <v>24</v>
      </c>
      <c r="F119" s="55" t="s">
        <v>22</v>
      </c>
      <c r="G119" s="55" t="s">
        <v>908</v>
      </c>
      <c r="H119" s="55" t="s">
        <v>3157</v>
      </c>
      <c r="I119" s="55" t="s">
        <v>912</v>
      </c>
      <c r="J119" s="55">
        <v>191</v>
      </c>
    </row>
    <row r="120" spans="1:10" ht="25" x14ac:dyDescent="0.25">
      <c r="A120" s="55" t="s">
        <v>918</v>
      </c>
      <c r="B120" s="55">
        <v>191</v>
      </c>
      <c r="C120" s="55">
        <v>191</v>
      </c>
      <c r="D120" s="55" t="s">
        <v>903</v>
      </c>
      <c r="E120" s="55" t="s">
        <v>24</v>
      </c>
      <c r="F120" s="55" t="s">
        <v>57</v>
      </c>
      <c r="G120" s="55" t="s">
        <v>751</v>
      </c>
      <c r="H120" s="55" t="s">
        <v>3158</v>
      </c>
      <c r="I120" s="55" t="s">
        <v>917</v>
      </c>
      <c r="J120" s="55">
        <v>192</v>
      </c>
    </row>
    <row r="121" spans="1:10" x14ac:dyDescent="0.25">
      <c r="A121" s="55" t="s">
        <v>924</v>
      </c>
      <c r="B121" s="55">
        <v>192</v>
      </c>
      <c r="C121" s="55">
        <v>192</v>
      </c>
      <c r="D121" s="55" t="s">
        <v>903</v>
      </c>
      <c r="E121" s="55" t="s">
        <v>24</v>
      </c>
      <c r="F121" s="55" t="s">
        <v>22</v>
      </c>
      <c r="G121" s="55" t="s">
        <v>751</v>
      </c>
      <c r="H121" s="55" t="s">
        <v>3159</v>
      </c>
      <c r="I121" s="55" t="s">
        <v>923</v>
      </c>
      <c r="J121" s="55">
        <v>193</v>
      </c>
    </row>
    <row r="122" spans="1:10" ht="25" x14ac:dyDescent="0.25">
      <c r="A122" s="55" t="s">
        <v>929</v>
      </c>
      <c r="B122" s="55">
        <v>193</v>
      </c>
      <c r="C122" s="55">
        <v>193</v>
      </c>
      <c r="D122" s="55" t="s">
        <v>903</v>
      </c>
      <c r="E122" s="55" t="s">
        <v>24</v>
      </c>
      <c r="F122" s="55" t="s">
        <v>57</v>
      </c>
      <c r="G122" s="55" t="s">
        <v>925</v>
      </c>
      <c r="H122" s="55" t="s">
        <v>3160</v>
      </c>
      <c r="I122" s="55" t="s">
        <v>928</v>
      </c>
      <c r="J122" s="55">
        <v>194</v>
      </c>
    </row>
    <row r="123" spans="1:10" ht="25" x14ac:dyDescent="0.25">
      <c r="A123" s="55" t="s">
        <v>944</v>
      </c>
      <c r="B123" s="55">
        <v>196</v>
      </c>
      <c r="C123" s="55">
        <v>196</v>
      </c>
      <c r="D123" s="55" t="s">
        <v>938</v>
      </c>
      <c r="E123" s="55" t="s">
        <v>24</v>
      </c>
      <c r="F123" s="55" t="s">
        <v>57</v>
      </c>
      <c r="G123" s="55" t="s">
        <v>939</v>
      </c>
      <c r="H123" s="55" t="s">
        <v>3161</v>
      </c>
      <c r="I123" s="55" t="s">
        <v>943</v>
      </c>
      <c r="J123" s="55">
        <v>197</v>
      </c>
    </row>
    <row r="124" spans="1:10" x14ac:dyDescent="0.25">
      <c r="A124" s="55" t="s">
        <v>949</v>
      </c>
      <c r="B124" s="55">
        <v>197</v>
      </c>
      <c r="C124" s="55">
        <v>197</v>
      </c>
      <c r="D124" s="55" t="s">
        <v>938</v>
      </c>
      <c r="E124" s="55" t="s">
        <v>24</v>
      </c>
      <c r="F124" s="55" t="s">
        <v>22</v>
      </c>
      <c r="G124" s="55" t="s">
        <v>939</v>
      </c>
      <c r="H124" s="55" t="s">
        <v>3162</v>
      </c>
      <c r="I124" s="55" t="s">
        <v>948</v>
      </c>
      <c r="J124" s="55">
        <v>198</v>
      </c>
    </row>
    <row r="125" spans="1:10" x14ac:dyDescent="0.25">
      <c r="A125" s="55" t="s">
        <v>952</v>
      </c>
      <c r="B125" s="55">
        <v>198</v>
      </c>
      <c r="C125" s="55">
        <v>198</v>
      </c>
      <c r="D125" s="55" t="s">
        <v>938</v>
      </c>
      <c r="E125" s="55" t="s">
        <v>24</v>
      </c>
      <c r="F125" s="55" t="s">
        <v>22</v>
      </c>
      <c r="G125" s="55" t="s">
        <v>939</v>
      </c>
      <c r="H125" s="55" t="s">
        <v>3163</v>
      </c>
      <c r="I125" s="55" t="s">
        <v>951</v>
      </c>
      <c r="J125" s="55">
        <v>199</v>
      </c>
    </row>
    <row r="126" spans="1:10" x14ac:dyDescent="0.25">
      <c r="A126" s="55" t="s">
        <v>957</v>
      </c>
      <c r="B126" s="55">
        <v>199</v>
      </c>
      <c r="C126" s="55">
        <v>199</v>
      </c>
      <c r="D126" s="55" t="s">
        <v>938</v>
      </c>
      <c r="E126" s="55" t="s">
        <v>24</v>
      </c>
      <c r="F126" s="55" t="s">
        <v>22</v>
      </c>
      <c r="G126" s="55" t="s">
        <v>939</v>
      </c>
      <c r="H126" s="55" t="s">
        <v>3164</v>
      </c>
      <c r="I126" s="55" t="s">
        <v>956</v>
      </c>
      <c r="J126" s="55">
        <v>200</v>
      </c>
    </row>
    <row r="127" spans="1:10" ht="25" x14ac:dyDescent="0.25">
      <c r="A127" s="55" t="s">
        <v>962</v>
      </c>
      <c r="B127" s="55">
        <v>200</v>
      </c>
      <c r="C127" s="55">
        <v>200</v>
      </c>
      <c r="D127" s="55" t="s">
        <v>938</v>
      </c>
      <c r="E127" s="55" t="s">
        <v>24</v>
      </c>
      <c r="F127" s="55" t="s">
        <v>57</v>
      </c>
      <c r="G127" s="55" t="s">
        <v>939</v>
      </c>
      <c r="H127" s="55" t="s">
        <v>3165</v>
      </c>
      <c r="I127" s="55" t="s">
        <v>961</v>
      </c>
      <c r="J127" s="55">
        <v>201</v>
      </c>
    </row>
    <row r="128" spans="1:10" ht="25" x14ac:dyDescent="0.25">
      <c r="A128" s="55" t="s">
        <v>971</v>
      </c>
      <c r="B128" s="55">
        <v>202</v>
      </c>
      <c r="C128" s="55">
        <v>202</v>
      </c>
      <c r="D128" s="55" t="s">
        <v>938</v>
      </c>
      <c r="E128" s="55" t="s">
        <v>24</v>
      </c>
      <c r="F128" s="55" t="s">
        <v>57</v>
      </c>
      <c r="G128" s="55" t="s">
        <v>939</v>
      </c>
      <c r="H128" s="55" t="s">
        <v>3166</v>
      </c>
      <c r="I128" s="55" t="s">
        <v>970</v>
      </c>
      <c r="J128" s="55">
        <v>203</v>
      </c>
    </row>
    <row r="129" spans="1:10" ht="25" x14ac:dyDescent="0.25">
      <c r="A129" s="55" t="s">
        <v>977</v>
      </c>
      <c r="B129" s="55">
        <v>203</v>
      </c>
      <c r="C129" s="55">
        <v>203</v>
      </c>
      <c r="D129" s="55" t="s">
        <v>938</v>
      </c>
      <c r="E129" s="55" t="s">
        <v>24</v>
      </c>
      <c r="F129" s="55" t="s">
        <v>22</v>
      </c>
      <c r="G129" s="55" t="s">
        <v>751</v>
      </c>
      <c r="H129" s="55" t="s">
        <v>3167</v>
      </c>
      <c r="I129" s="55" t="s">
        <v>976</v>
      </c>
      <c r="J129" s="55">
        <v>204</v>
      </c>
    </row>
    <row r="130" spans="1:10" ht="25" x14ac:dyDescent="0.25">
      <c r="A130" s="55" t="s">
        <v>981</v>
      </c>
      <c r="B130" s="55">
        <v>204</v>
      </c>
      <c r="C130" s="55">
        <v>204</v>
      </c>
      <c r="D130" s="55" t="s">
        <v>938</v>
      </c>
      <c r="E130" s="55" t="s">
        <v>24</v>
      </c>
      <c r="F130" s="55" t="s">
        <v>22</v>
      </c>
      <c r="G130" s="55" t="s">
        <v>95</v>
      </c>
      <c r="H130" s="55" t="s">
        <v>3168</v>
      </c>
      <c r="I130" s="55" t="s">
        <v>980</v>
      </c>
      <c r="J130" s="55">
        <v>205</v>
      </c>
    </row>
    <row r="131" spans="1:10" x14ac:dyDescent="0.25">
      <c r="A131" s="55" t="s">
        <v>986</v>
      </c>
      <c r="B131" s="55">
        <v>205</v>
      </c>
      <c r="C131" s="55">
        <v>205</v>
      </c>
      <c r="D131" s="55" t="s">
        <v>938</v>
      </c>
      <c r="E131" s="55" t="s">
        <v>24</v>
      </c>
      <c r="F131" s="55" t="s">
        <v>22</v>
      </c>
      <c r="G131" s="55"/>
      <c r="H131" s="55" t="s">
        <v>3169</v>
      </c>
      <c r="I131" s="55" t="s">
        <v>985</v>
      </c>
      <c r="J131" s="55">
        <v>206</v>
      </c>
    </row>
    <row r="132" spans="1:10" x14ac:dyDescent="0.25">
      <c r="A132" s="55" t="s">
        <v>990</v>
      </c>
      <c r="B132" s="55">
        <v>206</v>
      </c>
      <c r="C132" s="55">
        <v>206</v>
      </c>
      <c r="D132" s="55" t="s">
        <v>938</v>
      </c>
      <c r="E132" s="55" t="s">
        <v>24</v>
      </c>
      <c r="F132" s="55" t="s">
        <v>22</v>
      </c>
      <c r="G132" s="55"/>
      <c r="H132" s="55" t="s">
        <v>3170</v>
      </c>
      <c r="I132" s="55" t="s">
        <v>989</v>
      </c>
      <c r="J132" s="55">
        <v>207</v>
      </c>
    </row>
    <row r="133" spans="1:10" ht="25" x14ac:dyDescent="0.25">
      <c r="A133" s="55" t="s">
        <v>996</v>
      </c>
      <c r="B133" s="55">
        <v>207</v>
      </c>
      <c r="C133" s="55">
        <v>207</v>
      </c>
      <c r="D133" s="55" t="s">
        <v>938</v>
      </c>
      <c r="E133" s="55" t="s">
        <v>24</v>
      </c>
      <c r="F133" s="55" t="s">
        <v>22</v>
      </c>
      <c r="G133" s="55"/>
      <c r="H133" s="55" t="s">
        <v>3171</v>
      </c>
      <c r="I133" s="55" t="s">
        <v>995</v>
      </c>
      <c r="J133" s="55">
        <v>208</v>
      </c>
    </row>
    <row r="134" spans="1:10" ht="25" x14ac:dyDescent="0.25">
      <c r="A134" s="55" t="s">
        <v>1001</v>
      </c>
      <c r="B134" s="55">
        <v>208</v>
      </c>
      <c r="C134" s="55">
        <v>208</v>
      </c>
      <c r="D134" s="55" t="s">
        <v>938</v>
      </c>
      <c r="E134" s="55" t="s">
        <v>24</v>
      </c>
      <c r="F134" s="55" t="s">
        <v>57</v>
      </c>
      <c r="G134" s="55"/>
      <c r="H134" s="55" t="s">
        <v>3172</v>
      </c>
      <c r="I134" s="55" t="s">
        <v>1000</v>
      </c>
      <c r="J134" s="55">
        <v>209</v>
      </c>
    </row>
    <row r="135" spans="1:10" x14ac:dyDescent="0.25">
      <c r="A135" s="55" t="s">
        <v>1006</v>
      </c>
      <c r="B135" s="55">
        <v>209</v>
      </c>
      <c r="C135" s="55">
        <v>209</v>
      </c>
      <c r="D135" s="55" t="s">
        <v>938</v>
      </c>
      <c r="E135" s="55" t="s">
        <v>24</v>
      </c>
      <c r="F135" s="55" t="s">
        <v>22</v>
      </c>
      <c r="G135" s="55"/>
      <c r="H135" s="55" t="s">
        <v>3173</v>
      </c>
      <c r="I135" s="55" t="s">
        <v>1005</v>
      </c>
      <c r="J135" s="55">
        <v>210</v>
      </c>
    </row>
    <row r="136" spans="1:10" x14ac:dyDescent="0.25">
      <c r="A136" s="55" t="s">
        <v>1012</v>
      </c>
      <c r="B136" s="55">
        <v>210</v>
      </c>
      <c r="C136" s="55">
        <v>210</v>
      </c>
      <c r="D136" s="55" t="s">
        <v>938</v>
      </c>
      <c r="E136" s="55" t="s">
        <v>24</v>
      </c>
      <c r="F136" s="55" t="s">
        <v>22</v>
      </c>
      <c r="G136" s="55"/>
      <c r="H136" s="55" t="s">
        <v>3174</v>
      </c>
      <c r="I136" s="55" t="s">
        <v>1011</v>
      </c>
      <c r="J136" s="55">
        <v>211</v>
      </c>
    </row>
    <row r="137" spans="1:10" x14ac:dyDescent="0.25">
      <c r="A137" s="55" t="s">
        <v>1019</v>
      </c>
      <c r="B137" s="55">
        <v>211</v>
      </c>
      <c r="C137" s="55">
        <v>211</v>
      </c>
      <c r="D137" s="55" t="s">
        <v>1013</v>
      </c>
      <c r="E137" s="55" t="s">
        <v>24</v>
      </c>
      <c r="F137" s="55" t="s">
        <v>22</v>
      </c>
      <c r="G137" s="55" t="s">
        <v>315</v>
      </c>
      <c r="H137" s="55" t="s">
        <v>3175</v>
      </c>
      <c r="I137" s="55" t="s">
        <v>1018</v>
      </c>
      <c r="J137" s="55">
        <v>212</v>
      </c>
    </row>
    <row r="138" spans="1:10" x14ac:dyDescent="0.25">
      <c r="A138" s="55" t="s">
        <v>1027</v>
      </c>
      <c r="B138" s="55">
        <v>213</v>
      </c>
      <c r="C138" s="55">
        <v>213</v>
      </c>
      <c r="D138" s="55" t="s">
        <v>1013</v>
      </c>
      <c r="E138" s="55" t="s">
        <v>24</v>
      </c>
      <c r="F138" s="55" t="s">
        <v>22</v>
      </c>
      <c r="G138" s="55" t="s">
        <v>645</v>
      </c>
      <c r="H138" s="55" t="s">
        <v>3176</v>
      </c>
      <c r="I138" s="55" t="s">
        <v>1026</v>
      </c>
      <c r="J138" s="55">
        <v>214</v>
      </c>
    </row>
    <row r="139" spans="1:10" x14ac:dyDescent="0.25">
      <c r="A139" s="55" t="s">
        <v>1033</v>
      </c>
      <c r="B139" s="55">
        <v>214</v>
      </c>
      <c r="C139" s="55">
        <v>214</v>
      </c>
      <c r="D139" s="55" t="s">
        <v>1013</v>
      </c>
      <c r="E139" s="55" t="s">
        <v>24</v>
      </c>
      <c r="F139" s="55" t="s">
        <v>22</v>
      </c>
      <c r="G139" s="55" t="s">
        <v>645</v>
      </c>
      <c r="H139" s="55" t="s">
        <v>3177</v>
      </c>
      <c r="I139" s="55" t="s">
        <v>1032</v>
      </c>
      <c r="J139" s="55">
        <v>215</v>
      </c>
    </row>
    <row r="140" spans="1:10" x14ac:dyDescent="0.25">
      <c r="A140" s="55" t="s">
        <v>1038</v>
      </c>
      <c r="B140" s="55">
        <v>215</v>
      </c>
      <c r="C140" s="55">
        <v>215</v>
      </c>
      <c r="D140" s="55" t="s">
        <v>1013</v>
      </c>
      <c r="E140" s="55" t="s">
        <v>24</v>
      </c>
      <c r="F140" s="55" t="s">
        <v>22</v>
      </c>
      <c r="G140" s="55" t="s">
        <v>645</v>
      </c>
      <c r="H140" s="55" t="s">
        <v>3178</v>
      </c>
      <c r="I140" s="55" t="s">
        <v>1037</v>
      </c>
      <c r="J140" s="55">
        <v>216</v>
      </c>
    </row>
    <row r="141" spans="1:10" ht="25" x14ac:dyDescent="0.25">
      <c r="A141" s="55" t="s">
        <v>1044</v>
      </c>
      <c r="B141" s="55">
        <v>216</v>
      </c>
      <c r="C141" s="55">
        <v>216</v>
      </c>
      <c r="D141" s="55" t="s">
        <v>1013</v>
      </c>
      <c r="E141" s="55" t="s">
        <v>24</v>
      </c>
      <c r="F141" s="55" t="s">
        <v>22</v>
      </c>
      <c r="G141" s="55" t="s">
        <v>645</v>
      </c>
      <c r="H141" s="55" t="s">
        <v>3179</v>
      </c>
      <c r="I141" s="55" t="s">
        <v>1043</v>
      </c>
      <c r="J141" s="55">
        <v>217</v>
      </c>
    </row>
    <row r="142" spans="1:10" x14ac:dyDescent="0.25">
      <c r="A142" s="55" t="s">
        <v>1048</v>
      </c>
      <c r="B142" s="55">
        <v>217</v>
      </c>
      <c r="C142" s="55">
        <v>217</v>
      </c>
      <c r="D142" s="55" t="s">
        <v>1013</v>
      </c>
      <c r="E142" s="55" t="s">
        <v>24</v>
      </c>
      <c r="F142" s="55" t="s">
        <v>22</v>
      </c>
      <c r="G142" s="55" t="s">
        <v>645</v>
      </c>
      <c r="H142" s="55" t="s">
        <v>3180</v>
      </c>
      <c r="I142" s="55" t="s">
        <v>1047</v>
      </c>
      <c r="J142" s="55">
        <v>218</v>
      </c>
    </row>
    <row r="143" spans="1:10" x14ac:dyDescent="0.25">
      <c r="A143" s="55" t="s">
        <v>1052</v>
      </c>
      <c r="B143" s="55">
        <v>218</v>
      </c>
      <c r="C143" s="55">
        <v>218</v>
      </c>
      <c r="D143" s="55" t="s">
        <v>1013</v>
      </c>
      <c r="E143" s="55" t="s">
        <v>24</v>
      </c>
      <c r="F143" s="55" t="s">
        <v>22</v>
      </c>
      <c r="G143" s="55" t="s">
        <v>645</v>
      </c>
      <c r="H143" s="55" t="s">
        <v>3181</v>
      </c>
      <c r="I143" s="55" t="s">
        <v>1051</v>
      </c>
      <c r="J143" s="55">
        <v>219</v>
      </c>
    </row>
    <row r="144" spans="1:10" x14ac:dyDescent="0.25">
      <c r="A144" s="55" t="s">
        <v>1057</v>
      </c>
      <c r="B144" s="55">
        <v>219</v>
      </c>
      <c r="C144" s="55">
        <v>219</v>
      </c>
      <c r="D144" s="55" t="s">
        <v>1013</v>
      </c>
      <c r="E144" s="55" t="s">
        <v>24</v>
      </c>
      <c r="F144" s="55" t="s">
        <v>22</v>
      </c>
      <c r="G144" s="55" t="s">
        <v>908</v>
      </c>
      <c r="H144" s="55" t="s">
        <v>3182</v>
      </c>
      <c r="I144" s="55" t="s">
        <v>1056</v>
      </c>
      <c r="J144" s="55">
        <v>220</v>
      </c>
    </row>
    <row r="145" spans="1:10" x14ac:dyDescent="0.25">
      <c r="A145" s="55" t="s">
        <v>1062</v>
      </c>
      <c r="B145" s="55">
        <v>220</v>
      </c>
      <c r="C145" s="55">
        <v>220</v>
      </c>
      <c r="D145" s="55" t="s">
        <v>1013</v>
      </c>
      <c r="E145" s="55" t="s">
        <v>24</v>
      </c>
      <c r="F145" s="55" t="s">
        <v>22</v>
      </c>
      <c r="G145" s="55" t="s">
        <v>908</v>
      </c>
      <c r="H145" s="55" t="s">
        <v>3183</v>
      </c>
      <c r="I145" s="55" t="s">
        <v>1061</v>
      </c>
      <c r="J145" s="55">
        <v>221</v>
      </c>
    </row>
    <row r="146" spans="1:10" ht="25" x14ac:dyDescent="0.25">
      <c r="A146" s="55" t="s">
        <v>1068</v>
      </c>
      <c r="B146" s="55">
        <v>221</v>
      </c>
      <c r="C146" s="55">
        <v>221</v>
      </c>
      <c r="D146" s="55" t="s">
        <v>1013</v>
      </c>
      <c r="E146" s="55" t="s">
        <v>24</v>
      </c>
      <c r="F146" s="55" t="s">
        <v>22</v>
      </c>
      <c r="G146" s="55" t="s">
        <v>908</v>
      </c>
      <c r="H146" s="55" t="s">
        <v>3184</v>
      </c>
      <c r="I146" s="55" t="s">
        <v>1067</v>
      </c>
      <c r="J146" s="55">
        <v>222</v>
      </c>
    </row>
    <row r="147" spans="1:10" x14ac:dyDescent="0.25">
      <c r="A147" s="55" t="s">
        <v>1073</v>
      </c>
      <c r="B147" s="55">
        <v>222</v>
      </c>
      <c r="C147" s="55">
        <v>222</v>
      </c>
      <c r="D147" s="55" t="s">
        <v>1013</v>
      </c>
      <c r="E147" s="55" t="s">
        <v>24</v>
      </c>
      <c r="F147" s="55" t="s">
        <v>22</v>
      </c>
      <c r="G147" s="55" t="s">
        <v>908</v>
      </c>
      <c r="H147" s="55" t="s">
        <v>3185</v>
      </c>
      <c r="I147" s="55" t="s">
        <v>1072</v>
      </c>
      <c r="J147" s="55">
        <v>223</v>
      </c>
    </row>
    <row r="148" spans="1:10" x14ac:dyDescent="0.25">
      <c r="A148" s="55" t="s">
        <v>1078</v>
      </c>
      <c r="B148" s="55">
        <v>223</v>
      </c>
      <c r="C148" s="55">
        <v>223</v>
      </c>
      <c r="D148" s="55" t="s">
        <v>1013</v>
      </c>
      <c r="E148" s="55" t="s">
        <v>24</v>
      </c>
      <c r="F148" s="55" t="s">
        <v>22</v>
      </c>
      <c r="G148" s="55" t="s">
        <v>908</v>
      </c>
      <c r="H148" s="55" t="s">
        <v>3186</v>
      </c>
      <c r="I148" s="55" t="s">
        <v>1077</v>
      </c>
      <c r="J148" s="55">
        <v>224</v>
      </c>
    </row>
    <row r="149" spans="1:10" x14ac:dyDescent="0.25">
      <c r="A149" s="55" t="s">
        <v>1084</v>
      </c>
      <c r="B149" s="55">
        <v>224</v>
      </c>
      <c r="C149" s="55">
        <v>224</v>
      </c>
      <c r="D149" s="55" t="s">
        <v>1013</v>
      </c>
      <c r="E149" s="55" t="s">
        <v>24</v>
      </c>
      <c r="F149" s="55" t="s">
        <v>22</v>
      </c>
      <c r="G149" s="55" t="s">
        <v>46</v>
      </c>
      <c r="H149" s="55" t="s">
        <v>3187</v>
      </c>
      <c r="I149" s="55" t="s">
        <v>1083</v>
      </c>
      <c r="J149" s="55">
        <v>225</v>
      </c>
    </row>
    <row r="150" spans="1:10" x14ac:dyDescent="0.25">
      <c r="A150" s="55" t="s">
        <v>1089</v>
      </c>
      <c r="B150" s="55">
        <v>225</v>
      </c>
      <c r="C150" s="55">
        <v>225</v>
      </c>
      <c r="D150" s="55" t="s">
        <v>1013</v>
      </c>
      <c r="E150" s="55" t="s">
        <v>24</v>
      </c>
      <c r="F150" s="55" t="s">
        <v>22</v>
      </c>
      <c r="G150" s="55" t="s">
        <v>1085</v>
      </c>
      <c r="H150" s="55" t="s">
        <v>3188</v>
      </c>
      <c r="I150" s="55" t="s">
        <v>1088</v>
      </c>
      <c r="J150" s="55">
        <v>226</v>
      </c>
    </row>
    <row r="151" spans="1:10" ht="25" x14ac:dyDescent="0.25">
      <c r="A151" s="55" t="s">
        <v>1093</v>
      </c>
      <c r="B151" s="55">
        <v>226</v>
      </c>
      <c r="C151" s="55">
        <v>226</v>
      </c>
      <c r="D151" s="55" t="s">
        <v>1013</v>
      </c>
      <c r="E151" s="55" t="s">
        <v>24</v>
      </c>
      <c r="F151" s="55" t="s">
        <v>22</v>
      </c>
      <c r="G151" s="55" t="s">
        <v>908</v>
      </c>
      <c r="H151" s="55" t="s">
        <v>3189</v>
      </c>
      <c r="I151" s="55" t="s">
        <v>1092</v>
      </c>
      <c r="J151" s="55">
        <v>227</v>
      </c>
    </row>
    <row r="152" spans="1:10" x14ac:dyDescent="0.25">
      <c r="A152" s="55" t="s">
        <v>1096</v>
      </c>
      <c r="B152" s="55">
        <v>227</v>
      </c>
      <c r="C152" s="55">
        <v>227</v>
      </c>
      <c r="D152" s="55" t="s">
        <v>1013</v>
      </c>
      <c r="E152" s="55" t="s">
        <v>24</v>
      </c>
      <c r="F152" s="55" t="s">
        <v>22</v>
      </c>
      <c r="G152" s="55" t="s">
        <v>908</v>
      </c>
      <c r="H152" s="55" t="s">
        <v>3190</v>
      </c>
      <c r="I152" s="55" t="s">
        <v>1095</v>
      </c>
      <c r="J152" s="55">
        <v>228</v>
      </c>
    </row>
    <row r="153" spans="1:10" x14ac:dyDescent="0.25">
      <c r="A153" s="55" t="s">
        <v>1103</v>
      </c>
      <c r="B153" s="55">
        <v>228</v>
      </c>
      <c r="C153" s="55">
        <v>228</v>
      </c>
      <c r="D153" s="55" t="s">
        <v>1013</v>
      </c>
      <c r="E153" s="55" t="s">
        <v>24</v>
      </c>
      <c r="F153" s="55" t="s">
        <v>22</v>
      </c>
      <c r="G153" s="55" t="s">
        <v>1097</v>
      </c>
      <c r="H153" s="55" t="s">
        <v>3191</v>
      </c>
      <c r="I153" s="55" t="s">
        <v>1102</v>
      </c>
      <c r="J153" s="55">
        <v>229</v>
      </c>
    </row>
    <row r="154" spans="1:10" x14ac:dyDescent="0.25">
      <c r="A154" s="55" t="s">
        <v>1107</v>
      </c>
      <c r="B154" s="55">
        <v>229</v>
      </c>
      <c r="C154" s="55">
        <v>229</v>
      </c>
      <c r="D154" s="55" t="s">
        <v>1013</v>
      </c>
      <c r="E154" s="55" t="s">
        <v>24</v>
      </c>
      <c r="F154" s="55" t="s">
        <v>22</v>
      </c>
      <c r="G154" s="55" t="s">
        <v>908</v>
      </c>
      <c r="H154" s="55" t="s">
        <v>3192</v>
      </c>
      <c r="I154" s="55" t="s">
        <v>1106</v>
      </c>
      <c r="J154" s="55">
        <v>230</v>
      </c>
    </row>
    <row r="155" spans="1:10" x14ac:dyDescent="0.25">
      <c r="A155" s="55" t="s">
        <v>1112</v>
      </c>
      <c r="B155" s="55">
        <v>230</v>
      </c>
      <c r="C155" s="55">
        <v>230</v>
      </c>
      <c r="D155" s="55" t="s">
        <v>1013</v>
      </c>
      <c r="E155" s="55" t="s">
        <v>24</v>
      </c>
      <c r="F155" s="55" t="s">
        <v>22</v>
      </c>
      <c r="G155" s="55" t="s">
        <v>908</v>
      </c>
      <c r="H155" s="55" t="s">
        <v>3193</v>
      </c>
      <c r="I155" s="55" t="s">
        <v>1111</v>
      </c>
      <c r="J155" s="55">
        <v>231</v>
      </c>
    </row>
    <row r="156" spans="1:10" x14ac:dyDescent="0.25">
      <c r="A156" s="55" t="s">
        <v>1119</v>
      </c>
      <c r="B156" s="55">
        <v>231</v>
      </c>
      <c r="C156" s="55">
        <v>231</v>
      </c>
      <c r="D156" s="55" t="s">
        <v>1013</v>
      </c>
      <c r="E156" s="55" t="s">
        <v>24</v>
      </c>
      <c r="F156" s="55" t="s">
        <v>22</v>
      </c>
      <c r="G156" s="55" t="s">
        <v>1113</v>
      </c>
      <c r="H156" s="55" t="s">
        <v>3194</v>
      </c>
      <c r="I156" s="55" t="s">
        <v>1118</v>
      </c>
      <c r="J156" s="55">
        <v>232</v>
      </c>
    </row>
    <row r="157" spans="1:10" x14ac:dyDescent="0.25">
      <c r="A157" s="55" t="s">
        <v>1125</v>
      </c>
      <c r="B157" s="55">
        <v>232</v>
      </c>
      <c r="C157" s="55">
        <v>232</v>
      </c>
      <c r="D157" s="55" t="s">
        <v>1013</v>
      </c>
      <c r="E157" s="55" t="s">
        <v>24</v>
      </c>
      <c r="F157" s="55" t="s">
        <v>22</v>
      </c>
      <c r="G157" s="55" t="s">
        <v>1120</v>
      </c>
      <c r="H157" s="55" t="s">
        <v>3195</v>
      </c>
      <c r="I157" s="55" t="s">
        <v>1124</v>
      </c>
      <c r="J157" s="55">
        <v>233</v>
      </c>
    </row>
    <row r="158" spans="1:10" ht="25" x14ac:dyDescent="0.25">
      <c r="A158" s="55" t="s">
        <v>1138</v>
      </c>
      <c r="B158" s="55">
        <v>235</v>
      </c>
      <c r="C158" s="55">
        <v>235</v>
      </c>
      <c r="D158" s="55" t="s">
        <v>1134</v>
      </c>
      <c r="E158" s="55" t="s">
        <v>24</v>
      </c>
      <c r="F158" s="55" t="s">
        <v>22</v>
      </c>
      <c r="G158" s="55" t="s">
        <v>670</v>
      </c>
      <c r="H158" s="55" t="s">
        <v>3196</v>
      </c>
      <c r="I158" s="55" t="s">
        <v>1137</v>
      </c>
      <c r="J158" s="55">
        <v>236</v>
      </c>
    </row>
    <row r="159" spans="1:10" ht="25" x14ac:dyDescent="0.25">
      <c r="A159" s="55" t="s">
        <v>1147</v>
      </c>
      <c r="B159" s="55">
        <v>237</v>
      </c>
      <c r="C159" s="55">
        <v>237</v>
      </c>
      <c r="D159" s="55" t="s">
        <v>1134</v>
      </c>
      <c r="E159" s="55" t="s">
        <v>24</v>
      </c>
      <c r="F159" s="55" t="s">
        <v>57</v>
      </c>
      <c r="G159" s="55" t="s">
        <v>751</v>
      </c>
      <c r="H159" s="55" t="s">
        <v>3197</v>
      </c>
      <c r="I159" s="55" t="s">
        <v>1146</v>
      </c>
      <c r="J159" s="55">
        <v>238</v>
      </c>
    </row>
    <row r="160" spans="1:10" ht="25" x14ac:dyDescent="0.25">
      <c r="A160" s="56" t="s">
        <v>1152</v>
      </c>
      <c r="B160" s="55">
        <v>238</v>
      </c>
      <c r="C160" s="55">
        <v>238</v>
      </c>
      <c r="D160" s="55" t="s">
        <v>1134</v>
      </c>
      <c r="E160" s="55" t="s">
        <v>24</v>
      </c>
      <c r="F160" s="55" t="s">
        <v>57</v>
      </c>
      <c r="G160" s="55" t="s">
        <v>751</v>
      </c>
      <c r="H160" s="55" t="s">
        <v>3198</v>
      </c>
      <c r="I160" s="55" t="s">
        <v>1151</v>
      </c>
      <c r="J160" s="55">
        <v>239</v>
      </c>
    </row>
    <row r="161" spans="1:10" x14ac:dyDescent="0.25">
      <c r="A161" s="56" t="s">
        <v>1152</v>
      </c>
      <c r="B161" s="55">
        <v>240</v>
      </c>
      <c r="C161" s="55">
        <v>240</v>
      </c>
      <c r="D161" s="55" t="s">
        <v>1134</v>
      </c>
      <c r="E161" s="55" t="s">
        <v>24</v>
      </c>
      <c r="F161" s="55" t="s">
        <v>22</v>
      </c>
      <c r="G161" s="55" t="s">
        <v>751</v>
      </c>
      <c r="H161" s="55" t="s">
        <v>3199</v>
      </c>
      <c r="I161" s="55" t="s">
        <v>1159</v>
      </c>
      <c r="J161" s="55">
        <v>241</v>
      </c>
    </row>
    <row r="162" spans="1:10" ht="25" x14ac:dyDescent="0.25">
      <c r="A162" s="56" t="s">
        <v>1152</v>
      </c>
      <c r="B162" s="55">
        <v>242</v>
      </c>
      <c r="C162" s="55">
        <v>242</v>
      </c>
      <c r="D162" s="55" t="s">
        <v>1134</v>
      </c>
      <c r="E162" s="55" t="s">
        <v>24</v>
      </c>
      <c r="F162" s="55" t="s">
        <v>57</v>
      </c>
      <c r="G162" s="55" t="s">
        <v>751</v>
      </c>
      <c r="H162" s="55" t="s">
        <v>3200</v>
      </c>
      <c r="I162" s="55" t="s">
        <v>1168</v>
      </c>
      <c r="J162" s="55">
        <v>243</v>
      </c>
    </row>
    <row r="163" spans="1:10" ht="25" x14ac:dyDescent="0.25">
      <c r="A163" s="56" t="s">
        <v>1152</v>
      </c>
      <c r="B163" s="55">
        <v>245</v>
      </c>
      <c r="C163" s="55">
        <v>245</v>
      </c>
      <c r="D163" s="55" t="s">
        <v>1134</v>
      </c>
      <c r="E163" s="55" t="s">
        <v>24</v>
      </c>
      <c r="F163" s="55" t="s">
        <v>57</v>
      </c>
      <c r="G163" s="55" t="s">
        <v>751</v>
      </c>
      <c r="H163" s="55" t="s">
        <v>3201</v>
      </c>
      <c r="I163" s="55" t="s">
        <v>1179</v>
      </c>
      <c r="J163" s="55">
        <v>246</v>
      </c>
    </row>
    <row r="164" spans="1:10" ht="25" x14ac:dyDescent="0.25">
      <c r="A164" s="56" t="s">
        <v>1152</v>
      </c>
      <c r="B164" s="55">
        <v>246</v>
      </c>
      <c r="C164" s="55">
        <v>246</v>
      </c>
      <c r="D164" s="55" t="s">
        <v>1134</v>
      </c>
      <c r="E164" s="55" t="s">
        <v>24</v>
      </c>
      <c r="F164" s="55" t="s">
        <v>57</v>
      </c>
      <c r="G164" s="55" t="s">
        <v>751</v>
      </c>
      <c r="H164" s="55" t="s">
        <v>3202</v>
      </c>
      <c r="I164" s="55" t="s">
        <v>1182</v>
      </c>
      <c r="J164" s="55">
        <v>247</v>
      </c>
    </row>
    <row r="165" spans="1:10" ht="25" x14ac:dyDescent="0.25">
      <c r="A165" s="56" t="s">
        <v>1152</v>
      </c>
      <c r="B165" s="55">
        <v>249</v>
      </c>
      <c r="C165" s="55">
        <v>249</v>
      </c>
      <c r="D165" s="55" t="s">
        <v>1134</v>
      </c>
      <c r="E165" s="55" t="s">
        <v>24</v>
      </c>
      <c r="F165" s="55" t="s">
        <v>57</v>
      </c>
      <c r="G165" s="55" t="s">
        <v>751</v>
      </c>
      <c r="H165" s="55" t="s">
        <v>3203</v>
      </c>
      <c r="I165" s="55" t="s">
        <v>1194</v>
      </c>
      <c r="J165" s="55">
        <v>250</v>
      </c>
    </row>
    <row r="166" spans="1:10" ht="25" x14ac:dyDescent="0.25">
      <c r="A166" s="56" t="s">
        <v>1152</v>
      </c>
      <c r="B166" s="55">
        <v>250</v>
      </c>
      <c r="C166" s="55">
        <v>250</v>
      </c>
      <c r="D166" s="55" t="s">
        <v>1134</v>
      </c>
      <c r="E166" s="55" t="s">
        <v>24</v>
      </c>
      <c r="F166" s="55" t="s">
        <v>57</v>
      </c>
      <c r="G166" s="55" t="s">
        <v>751</v>
      </c>
      <c r="H166" s="55" t="s">
        <v>3204</v>
      </c>
      <c r="I166" s="55" t="s">
        <v>1197</v>
      </c>
      <c r="J166" s="55">
        <v>251</v>
      </c>
    </row>
    <row r="167" spans="1:10" ht="25" x14ac:dyDescent="0.25">
      <c r="A167" s="56" t="s">
        <v>1152</v>
      </c>
      <c r="B167" s="55">
        <v>252</v>
      </c>
      <c r="C167" s="55">
        <v>252</v>
      </c>
      <c r="D167" s="55" t="s">
        <v>1134</v>
      </c>
      <c r="E167" s="55" t="s">
        <v>24</v>
      </c>
      <c r="F167" s="55" t="s">
        <v>57</v>
      </c>
      <c r="G167" s="55" t="s">
        <v>751</v>
      </c>
      <c r="H167" s="55" t="s">
        <v>3205</v>
      </c>
      <c r="I167" s="55" t="s">
        <v>1202</v>
      </c>
      <c r="J167" s="55">
        <v>253</v>
      </c>
    </row>
    <row r="168" spans="1:10" ht="25" x14ac:dyDescent="0.25">
      <c r="A168" s="56" t="s">
        <v>1152</v>
      </c>
      <c r="B168" s="55">
        <v>253</v>
      </c>
      <c r="C168" s="55">
        <v>253</v>
      </c>
      <c r="D168" s="55" t="s">
        <v>1134</v>
      </c>
      <c r="E168" s="55" t="s">
        <v>24</v>
      </c>
      <c r="F168" s="55" t="s">
        <v>57</v>
      </c>
      <c r="G168" s="55" t="s">
        <v>751</v>
      </c>
      <c r="H168" s="55" t="s">
        <v>3206</v>
      </c>
      <c r="I168" s="55" t="s">
        <v>1205</v>
      </c>
      <c r="J168" s="55">
        <v>254</v>
      </c>
    </row>
    <row r="169" spans="1:10" ht="25" x14ac:dyDescent="0.25">
      <c r="A169" s="56" t="s">
        <v>1152</v>
      </c>
      <c r="B169" s="55">
        <v>255</v>
      </c>
      <c r="C169" s="55">
        <v>255</v>
      </c>
      <c r="D169" s="55" t="s">
        <v>1134</v>
      </c>
      <c r="E169" s="55" t="s">
        <v>24</v>
      </c>
      <c r="F169" s="55" t="s">
        <v>22</v>
      </c>
      <c r="G169" s="55" t="s">
        <v>46</v>
      </c>
      <c r="H169" s="55" t="s">
        <v>3207</v>
      </c>
      <c r="I169" s="55" t="s">
        <v>1212</v>
      </c>
      <c r="J169" s="55">
        <v>256</v>
      </c>
    </row>
    <row r="170" spans="1:10" ht="25" x14ac:dyDescent="0.25">
      <c r="A170" s="56" t="s">
        <v>1152</v>
      </c>
      <c r="B170" s="55">
        <v>259</v>
      </c>
      <c r="C170" s="55">
        <v>259</v>
      </c>
      <c r="D170" s="55" t="s">
        <v>1225</v>
      </c>
      <c r="E170" s="55" t="s">
        <v>24</v>
      </c>
      <c r="F170" s="55" t="s">
        <v>57</v>
      </c>
      <c r="G170" s="55" t="s">
        <v>95</v>
      </c>
      <c r="H170" s="55" t="s">
        <v>3208</v>
      </c>
      <c r="I170" s="55" t="s">
        <v>1229</v>
      </c>
      <c r="J170" s="55">
        <v>260</v>
      </c>
    </row>
    <row r="171" spans="1:10" ht="25" x14ac:dyDescent="0.25">
      <c r="A171" s="56" t="s">
        <v>1152</v>
      </c>
      <c r="B171" s="55">
        <v>260</v>
      </c>
      <c r="C171" s="55">
        <v>260</v>
      </c>
      <c r="D171" s="55" t="s">
        <v>1225</v>
      </c>
      <c r="E171" s="55" t="s">
        <v>24</v>
      </c>
      <c r="F171" s="55" t="s">
        <v>57</v>
      </c>
      <c r="G171" s="55"/>
      <c r="H171" s="55" t="s">
        <v>3209</v>
      </c>
      <c r="I171" s="55" t="s">
        <v>1233</v>
      </c>
      <c r="J171" s="55">
        <v>261</v>
      </c>
    </row>
    <row r="172" spans="1:10" ht="25" x14ac:dyDescent="0.25">
      <c r="A172" s="56" t="s">
        <v>1152</v>
      </c>
      <c r="B172" s="55">
        <v>261</v>
      </c>
      <c r="C172" s="55">
        <v>261</v>
      </c>
      <c r="D172" s="55" t="s">
        <v>1225</v>
      </c>
      <c r="E172" s="55" t="s">
        <v>24</v>
      </c>
      <c r="F172" s="55" t="s">
        <v>57</v>
      </c>
      <c r="G172" s="55" t="s">
        <v>751</v>
      </c>
      <c r="H172" s="55" t="s">
        <v>3210</v>
      </c>
      <c r="I172" s="55" t="s">
        <v>1237</v>
      </c>
      <c r="J172" s="55">
        <v>262</v>
      </c>
    </row>
    <row r="173" spans="1:10" ht="25" x14ac:dyDescent="0.25">
      <c r="A173" s="56" t="s">
        <v>1152</v>
      </c>
      <c r="B173" s="55">
        <v>287</v>
      </c>
      <c r="C173" s="55">
        <v>287</v>
      </c>
      <c r="D173" s="55" t="s">
        <v>1319</v>
      </c>
      <c r="E173" s="55" t="s">
        <v>24</v>
      </c>
      <c r="F173" s="55" t="s">
        <v>57</v>
      </c>
      <c r="G173" s="55" t="s">
        <v>751</v>
      </c>
      <c r="H173" s="55" t="s">
        <v>3211</v>
      </c>
      <c r="I173" s="55" t="s">
        <v>1324</v>
      </c>
      <c r="J173" s="55">
        <v>288</v>
      </c>
    </row>
    <row r="174" spans="1:10" ht="25" x14ac:dyDescent="0.25">
      <c r="A174" s="56" t="s">
        <v>1152</v>
      </c>
      <c r="B174" s="55">
        <v>292</v>
      </c>
      <c r="C174" s="55">
        <v>292</v>
      </c>
      <c r="D174" s="55" t="s">
        <v>1319</v>
      </c>
      <c r="E174" s="55" t="s">
        <v>24</v>
      </c>
      <c r="F174" s="55" t="s">
        <v>57</v>
      </c>
      <c r="G174" s="55" t="s">
        <v>817</v>
      </c>
      <c r="H174" s="55" t="s">
        <v>3212</v>
      </c>
      <c r="I174" s="55" t="s">
        <v>1339</v>
      </c>
      <c r="J174" s="55">
        <v>293</v>
      </c>
    </row>
    <row r="175" spans="1:10" x14ac:dyDescent="0.25">
      <c r="A175" s="56" t="s">
        <v>1152</v>
      </c>
      <c r="B175" s="55">
        <v>299</v>
      </c>
      <c r="C175" s="55">
        <v>299</v>
      </c>
      <c r="D175" s="55" t="s">
        <v>1319</v>
      </c>
      <c r="E175" s="55" t="s">
        <v>24</v>
      </c>
      <c r="F175" s="55" t="s">
        <v>22</v>
      </c>
      <c r="G175" s="55"/>
      <c r="H175" s="55" t="s">
        <v>3213</v>
      </c>
      <c r="I175" s="55" t="s">
        <v>1364</v>
      </c>
      <c r="J175" s="55">
        <v>300</v>
      </c>
    </row>
    <row r="176" spans="1:10" ht="25" x14ac:dyDescent="0.25">
      <c r="A176" s="56" t="s">
        <v>1152</v>
      </c>
      <c r="B176" s="55">
        <v>303</v>
      </c>
      <c r="C176" s="55">
        <v>303</v>
      </c>
      <c r="D176" s="55" t="s">
        <v>1374</v>
      </c>
      <c r="E176" s="55" t="s">
        <v>24</v>
      </c>
      <c r="F176" s="55" t="s">
        <v>22</v>
      </c>
      <c r="G176" s="55" t="s">
        <v>670</v>
      </c>
      <c r="H176" s="55" t="s">
        <v>3214</v>
      </c>
      <c r="I176" s="55" t="s">
        <v>1378</v>
      </c>
      <c r="J176" s="55">
        <v>304</v>
      </c>
    </row>
    <row r="177" spans="1:10" x14ac:dyDescent="0.25">
      <c r="A177" s="56" t="s">
        <v>1152</v>
      </c>
      <c r="B177" s="55">
        <v>316</v>
      </c>
      <c r="C177" s="55">
        <v>316</v>
      </c>
      <c r="D177" s="55" t="s">
        <v>1389</v>
      </c>
      <c r="E177" s="55" t="s">
        <v>24</v>
      </c>
      <c r="F177" s="55" t="s">
        <v>22</v>
      </c>
      <c r="G177" s="55" t="s">
        <v>1397</v>
      </c>
      <c r="H177" s="55" t="s">
        <v>3215</v>
      </c>
      <c r="I177" s="55" t="s">
        <v>1427</v>
      </c>
      <c r="J177" s="55">
        <v>317</v>
      </c>
    </row>
    <row r="178" spans="1:10" x14ac:dyDescent="0.25">
      <c r="A178" s="56" t="s">
        <v>1152</v>
      </c>
      <c r="B178" s="55">
        <v>317</v>
      </c>
      <c r="C178" s="55">
        <v>317</v>
      </c>
      <c r="D178" s="55" t="s">
        <v>1389</v>
      </c>
      <c r="E178" s="55" t="s">
        <v>24</v>
      </c>
      <c r="F178" s="55" t="s">
        <v>22</v>
      </c>
      <c r="G178" s="55" t="s">
        <v>817</v>
      </c>
      <c r="H178" s="55" t="s">
        <v>3216</v>
      </c>
      <c r="I178" s="55" t="s">
        <v>1431</v>
      </c>
      <c r="J178" s="55">
        <v>318</v>
      </c>
    </row>
    <row r="179" spans="1:10" x14ac:dyDescent="0.25">
      <c r="A179" s="56" t="s">
        <v>1152</v>
      </c>
      <c r="B179" s="55">
        <v>318</v>
      </c>
      <c r="C179" s="55">
        <v>318</v>
      </c>
      <c r="D179" s="55" t="s">
        <v>1389</v>
      </c>
      <c r="E179" s="55" t="s">
        <v>24</v>
      </c>
      <c r="F179" s="55" t="s">
        <v>22</v>
      </c>
      <c r="G179" s="55" t="s">
        <v>1432</v>
      </c>
      <c r="H179" s="55" t="s">
        <v>3217</v>
      </c>
      <c r="I179" s="55" t="s">
        <v>1436</v>
      </c>
      <c r="J179" s="55">
        <v>319</v>
      </c>
    </row>
    <row r="180" spans="1:10" x14ac:dyDescent="0.25">
      <c r="A180" s="56" t="s">
        <v>1152</v>
      </c>
      <c r="B180" s="55">
        <v>319</v>
      </c>
      <c r="C180" s="55">
        <v>319</v>
      </c>
      <c r="D180" s="55" t="s">
        <v>1389</v>
      </c>
      <c r="E180" s="55" t="s">
        <v>24</v>
      </c>
      <c r="F180" s="55" t="s">
        <v>22</v>
      </c>
      <c r="G180" s="55" t="s">
        <v>1397</v>
      </c>
      <c r="H180" s="55" t="s">
        <v>3218</v>
      </c>
      <c r="I180" s="55" t="s">
        <v>1440</v>
      </c>
      <c r="J180" s="55">
        <v>320</v>
      </c>
    </row>
    <row r="181" spans="1:10" x14ac:dyDescent="0.25">
      <c r="A181" s="56" t="s">
        <v>1152</v>
      </c>
      <c r="B181" s="55">
        <v>320</v>
      </c>
      <c r="C181" s="55">
        <v>320</v>
      </c>
      <c r="D181" s="55" t="s">
        <v>1389</v>
      </c>
      <c r="E181" s="55" t="s">
        <v>24</v>
      </c>
      <c r="F181" s="55" t="s">
        <v>22</v>
      </c>
      <c r="G181" s="55" t="s">
        <v>817</v>
      </c>
      <c r="H181" s="55" t="s">
        <v>3219</v>
      </c>
      <c r="I181" s="55" t="s">
        <v>1444</v>
      </c>
      <c r="J181" s="55">
        <v>321</v>
      </c>
    </row>
    <row r="182" spans="1:10" x14ac:dyDescent="0.25">
      <c r="A182" s="56" t="s">
        <v>1152</v>
      </c>
      <c r="B182" s="55">
        <v>321</v>
      </c>
      <c r="C182" s="55">
        <v>321</v>
      </c>
      <c r="D182" s="55" t="s">
        <v>1389</v>
      </c>
      <c r="E182" s="55" t="s">
        <v>24</v>
      </c>
      <c r="F182" s="55" t="s">
        <v>22</v>
      </c>
      <c r="G182" s="55" t="s">
        <v>817</v>
      </c>
      <c r="H182" s="55" t="s">
        <v>3220</v>
      </c>
      <c r="I182" s="55" t="s">
        <v>1448</v>
      </c>
      <c r="J182" s="55">
        <v>322</v>
      </c>
    </row>
    <row r="183" spans="1:10" ht="25" x14ac:dyDescent="0.25">
      <c r="A183" s="56" t="s">
        <v>1152</v>
      </c>
      <c r="B183" s="55">
        <v>343</v>
      </c>
      <c r="C183" s="55">
        <v>343</v>
      </c>
      <c r="D183" s="55" t="s">
        <v>1389</v>
      </c>
      <c r="E183" s="55" t="s">
        <v>24</v>
      </c>
      <c r="F183" s="55" t="s">
        <v>57</v>
      </c>
      <c r="G183" s="55" t="s">
        <v>908</v>
      </c>
      <c r="H183" s="55" t="s">
        <v>3221</v>
      </c>
      <c r="I183" s="55" t="s">
        <v>1537</v>
      </c>
      <c r="J183" s="55">
        <v>344</v>
      </c>
    </row>
    <row r="184" spans="1:10" x14ac:dyDescent="0.25">
      <c r="A184" s="56" t="s">
        <v>1152</v>
      </c>
      <c r="B184" s="55">
        <v>398</v>
      </c>
      <c r="C184" s="55">
        <v>398</v>
      </c>
      <c r="D184" s="55" t="s">
        <v>1770</v>
      </c>
      <c r="E184" s="55" t="s">
        <v>24</v>
      </c>
      <c r="F184" s="55" t="s">
        <v>22</v>
      </c>
      <c r="G184" s="55" t="s">
        <v>46</v>
      </c>
      <c r="H184" s="55" t="s">
        <v>3222</v>
      </c>
      <c r="I184" s="55" t="s">
        <v>1774</v>
      </c>
      <c r="J184" s="55">
        <v>399</v>
      </c>
    </row>
    <row r="185" spans="1:10" ht="25" x14ac:dyDescent="0.25">
      <c r="A185" s="56" t="s">
        <v>1152</v>
      </c>
      <c r="B185" s="55">
        <v>399</v>
      </c>
      <c r="C185" s="55">
        <v>399</v>
      </c>
      <c r="D185" s="55" t="s">
        <v>1770</v>
      </c>
      <c r="E185" s="55" t="s">
        <v>24</v>
      </c>
      <c r="F185" s="55" t="s">
        <v>57</v>
      </c>
      <c r="G185" s="55" t="s">
        <v>95</v>
      </c>
      <c r="H185" s="55" t="s">
        <v>3223</v>
      </c>
      <c r="I185" s="55" t="s">
        <v>1776</v>
      </c>
      <c r="J185" s="55">
        <v>400</v>
      </c>
    </row>
    <row r="186" spans="1:10" ht="25" x14ac:dyDescent="0.25">
      <c r="A186" s="56" t="s">
        <v>1152</v>
      </c>
      <c r="B186" s="55">
        <v>400</v>
      </c>
      <c r="C186" s="55">
        <v>400</v>
      </c>
      <c r="D186" s="55" t="s">
        <v>1770</v>
      </c>
      <c r="E186" s="55" t="s">
        <v>24</v>
      </c>
      <c r="F186" s="55" t="s">
        <v>22</v>
      </c>
      <c r="G186" s="55"/>
      <c r="H186" s="55" t="s">
        <v>3224</v>
      </c>
      <c r="I186" s="55" t="s">
        <v>1780</v>
      </c>
      <c r="J186" s="55">
        <v>401</v>
      </c>
    </row>
    <row r="187" spans="1:10" x14ac:dyDescent="0.25">
      <c r="A187" s="56" t="s">
        <v>1152</v>
      </c>
      <c r="B187" s="55">
        <v>401</v>
      </c>
      <c r="C187" s="55">
        <v>401</v>
      </c>
      <c r="D187" s="55" t="s">
        <v>1770</v>
      </c>
      <c r="E187" s="55" t="s">
        <v>24</v>
      </c>
      <c r="F187" s="55" t="s">
        <v>22</v>
      </c>
      <c r="G187" s="55" t="s">
        <v>95</v>
      </c>
      <c r="H187" s="55" t="s">
        <v>3225</v>
      </c>
      <c r="I187" s="55" t="s">
        <v>1782</v>
      </c>
      <c r="J187" s="55">
        <v>402</v>
      </c>
    </row>
    <row r="188" spans="1:10" ht="25" x14ac:dyDescent="0.25">
      <c r="A188" s="56" t="s">
        <v>1152</v>
      </c>
      <c r="B188" s="55">
        <v>416</v>
      </c>
      <c r="C188" s="55">
        <v>416</v>
      </c>
      <c r="D188" s="55" t="s">
        <v>1770</v>
      </c>
      <c r="E188" s="55" t="s">
        <v>24</v>
      </c>
      <c r="F188" s="55" t="s">
        <v>57</v>
      </c>
      <c r="G188" s="55" t="s">
        <v>882</v>
      </c>
      <c r="H188" s="55" t="s">
        <v>3226</v>
      </c>
      <c r="I188" s="55" t="s">
        <v>1835</v>
      </c>
      <c r="J188" s="55">
        <v>417</v>
      </c>
    </row>
    <row r="189" spans="1:10" ht="25" x14ac:dyDescent="0.25">
      <c r="A189" s="56" t="s">
        <v>1152</v>
      </c>
      <c r="B189" s="55">
        <v>429</v>
      </c>
      <c r="C189" s="55">
        <v>429</v>
      </c>
      <c r="D189" s="55" t="s">
        <v>1770</v>
      </c>
      <c r="E189" s="55" t="s">
        <v>24</v>
      </c>
      <c r="F189" s="55" t="s">
        <v>57</v>
      </c>
      <c r="G189" s="55" t="s">
        <v>1874</v>
      </c>
      <c r="H189" s="55" t="s">
        <v>3227</v>
      </c>
      <c r="I189" s="55" t="s">
        <v>1877</v>
      </c>
      <c r="J189" s="55">
        <v>430</v>
      </c>
    </row>
    <row r="190" spans="1:10" x14ac:dyDescent="0.25">
      <c r="A190" s="56" t="s">
        <v>1152</v>
      </c>
      <c r="B190" s="55">
        <v>431</v>
      </c>
      <c r="C190" s="55">
        <v>431</v>
      </c>
      <c r="D190" s="55" t="s">
        <v>1770</v>
      </c>
      <c r="E190" s="55" t="s">
        <v>24</v>
      </c>
      <c r="F190" s="55" t="s">
        <v>22</v>
      </c>
      <c r="G190" s="55" t="s">
        <v>1874</v>
      </c>
      <c r="H190" s="55" t="s">
        <v>3228</v>
      </c>
      <c r="I190" s="55" t="s">
        <v>1883</v>
      </c>
      <c r="J190" s="55">
        <v>432</v>
      </c>
    </row>
    <row r="191" spans="1:10" ht="25" x14ac:dyDescent="0.25">
      <c r="A191" s="56" t="s">
        <v>1152</v>
      </c>
      <c r="B191" s="55">
        <v>435</v>
      </c>
      <c r="C191" s="55">
        <v>435</v>
      </c>
      <c r="D191" s="55" t="s">
        <v>1770</v>
      </c>
      <c r="E191" s="55" t="s">
        <v>24</v>
      </c>
      <c r="F191" s="55" t="s">
        <v>57</v>
      </c>
      <c r="G191" s="55"/>
      <c r="H191" s="55" t="s">
        <v>3229</v>
      </c>
      <c r="I191" s="55" t="s">
        <v>1895</v>
      </c>
      <c r="J191" s="55">
        <v>436</v>
      </c>
    </row>
    <row r="192" spans="1:10" ht="25" x14ac:dyDescent="0.25">
      <c r="A192" s="56" t="s">
        <v>1152</v>
      </c>
      <c r="B192" s="55">
        <v>443</v>
      </c>
      <c r="C192" s="55">
        <v>443</v>
      </c>
      <c r="D192" s="55" t="s">
        <v>1770</v>
      </c>
      <c r="E192" s="55" t="s">
        <v>24</v>
      </c>
      <c r="F192" s="55" t="s">
        <v>57</v>
      </c>
      <c r="G192" s="55" t="s">
        <v>751</v>
      </c>
      <c r="H192" s="55" t="s">
        <v>3230</v>
      </c>
      <c r="I192" s="55" t="s">
        <v>1926</v>
      </c>
      <c r="J192" s="55">
        <v>444</v>
      </c>
    </row>
    <row r="193" spans="1:10" x14ac:dyDescent="0.25">
      <c r="A193" s="56" t="s">
        <v>1152</v>
      </c>
      <c r="B193" s="55">
        <v>448</v>
      </c>
      <c r="C193" s="55">
        <v>448</v>
      </c>
      <c r="D193" s="55" t="s">
        <v>1770</v>
      </c>
      <c r="E193" s="55" t="s">
        <v>24</v>
      </c>
      <c r="F193" s="55" t="s">
        <v>22</v>
      </c>
      <c r="G193" s="55" t="s">
        <v>46</v>
      </c>
      <c r="H193" s="55" t="s">
        <v>3231</v>
      </c>
      <c r="I193" s="55" t="s">
        <v>1942</v>
      </c>
      <c r="J193" s="55">
        <v>449</v>
      </c>
    </row>
    <row r="194" spans="1:10" x14ac:dyDescent="0.25">
      <c r="A194" s="56" t="s">
        <v>1152</v>
      </c>
      <c r="B194" s="55">
        <v>459</v>
      </c>
      <c r="C194" s="55">
        <v>459</v>
      </c>
      <c r="D194" s="55" t="s">
        <v>1770</v>
      </c>
      <c r="E194" s="55" t="s">
        <v>24</v>
      </c>
      <c r="F194" s="55" t="s">
        <v>22</v>
      </c>
      <c r="G194" s="55"/>
      <c r="H194" s="55" t="s">
        <v>3232</v>
      </c>
      <c r="I194" s="55" t="s">
        <v>1978</v>
      </c>
      <c r="J194" s="55">
        <v>460</v>
      </c>
    </row>
    <row r="195" spans="1:10" ht="25" x14ac:dyDescent="0.25">
      <c r="A195" s="56" t="s">
        <v>1152</v>
      </c>
      <c r="B195" s="55">
        <v>467</v>
      </c>
      <c r="C195" s="55">
        <v>467</v>
      </c>
      <c r="D195" s="55" t="s">
        <v>1770</v>
      </c>
      <c r="E195" s="55" t="s">
        <v>24</v>
      </c>
      <c r="F195" s="55" t="s">
        <v>57</v>
      </c>
      <c r="G195" s="55"/>
      <c r="H195" s="55" t="s">
        <v>3233</v>
      </c>
      <c r="I195" s="55" t="s">
        <v>1997</v>
      </c>
      <c r="J195" s="55">
        <v>468</v>
      </c>
    </row>
    <row r="196" spans="1:10" x14ac:dyDescent="0.25">
      <c r="A196" s="56" t="s">
        <v>1152</v>
      </c>
      <c r="B196" s="55">
        <v>471</v>
      </c>
      <c r="C196" s="55">
        <v>471</v>
      </c>
      <c r="D196" s="55" t="s">
        <v>1770</v>
      </c>
      <c r="E196" s="55" t="s">
        <v>24</v>
      </c>
      <c r="F196" s="55" t="s">
        <v>22</v>
      </c>
      <c r="G196" s="55" t="s">
        <v>670</v>
      </c>
      <c r="H196" s="55" t="s">
        <v>3234</v>
      </c>
      <c r="I196" s="55" t="s">
        <v>2013</v>
      </c>
      <c r="J196" s="55">
        <v>472</v>
      </c>
    </row>
    <row r="197" spans="1:10" x14ac:dyDescent="0.25">
      <c r="A197" s="56" t="s">
        <v>1152</v>
      </c>
      <c r="B197" s="55">
        <v>472</v>
      </c>
      <c r="C197" s="55">
        <v>472</v>
      </c>
      <c r="D197" s="55" t="s">
        <v>1770</v>
      </c>
      <c r="E197" s="55" t="s">
        <v>24</v>
      </c>
      <c r="F197" s="55" t="s">
        <v>22</v>
      </c>
      <c r="G197" s="55" t="s">
        <v>670</v>
      </c>
      <c r="H197" s="55" t="s">
        <v>3235</v>
      </c>
      <c r="I197" s="55" t="s">
        <v>2013</v>
      </c>
      <c r="J197" s="55">
        <v>473</v>
      </c>
    </row>
    <row r="198" spans="1:10" x14ac:dyDescent="0.25">
      <c r="A198" s="56" t="s">
        <v>1152</v>
      </c>
      <c r="B198" s="55">
        <v>486</v>
      </c>
      <c r="C198" s="55">
        <v>486</v>
      </c>
      <c r="D198" s="55" t="s">
        <v>1770</v>
      </c>
      <c r="E198" s="55" t="s">
        <v>24</v>
      </c>
      <c r="F198" s="55" t="s">
        <v>22</v>
      </c>
      <c r="G198" s="55"/>
      <c r="H198" s="55" t="s">
        <v>3236</v>
      </c>
      <c r="I198" s="55" t="s">
        <v>2050</v>
      </c>
      <c r="J198" s="55">
        <v>487</v>
      </c>
    </row>
    <row r="199" spans="1:10" ht="25" x14ac:dyDescent="0.25">
      <c r="A199" s="56" t="s">
        <v>1152</v>
      </c>
      <c r="B199" s="55">
        <v>487</v>
      </c>
      <c r="C199" s="55">
        <v>487</v>
      </c>
      <c r="D199" s="55" t="s">
        <v>1770</v>
      </c>
      <c r="E199" s="55" t="s">
        <v>24</v>
      </c>
      <c r="F199" s="55" t="s">
        <v>57</v>
      </c>
      <c r="G199" s="55"/>
      <c r="H199" s="55" t="s">
        <v>3237</v>
      </c>
      <c r="I199" s="55" t="s">
        <v>2052</v>
      </c>
      <c r="J199" s="55">
        <v>488</v>
      </c>
    </row>
    <row r="200" spans="1:10" ht="25" x14ac:dyDescent="0.25">
      <c r="A200" s="56" t="s">
        <v>1152</v>
      </c>
      <c r="B200" s="55">
        <v>488</v>
      </c>
      <c r="C200" s="55">
        <v>488</v>
      </c>
      <c r="D200" s="55" t="s">
        <v>1770</v>
      </c>
      <c r="E200" s="55" t="s">
        <v>24</v>
      </c>
      <c r="F200" s="55" t="s">
        <v>57</v>
      </c>
      <c r="G200" s="55"/>
      <c r="H200" s="55" t="s">
        <v>3238</v>
      </c>
      <c r="I200" s="55" t="s">
        <v>2055</v>
      </c>
      <c r="J200" s="55">
        <v>489</v>
      </c>
    </row>
    <row r="201" spans="1:10" x14ac:dyDescent="0.25">
      <c r="A201" s="56" t="s">
        <v>1152</v>
      </c>
      <c r="B201" s="55">
        <v>489</v>
      </c>
      <c r="C201" s="55">
        <v>489</v>
      </c>
      <c r="D201" s="55" t="s">
        <v>1770</v>
      </c>
      <c r="E201" s="55" t="s">
        <v>24</v>
      </c>
      <c r="F201" s="55" t="s">
        <v>22</v>
      </c>
      <c r="G201" s="55" t="s">
        <v>670</v>
      </c>
      <c r="H201" s="55" t="s">
        <v>3239</v>
      </c>
      <c r="I201" s="55" t="s">
        <v>2058</v>
      </c>
      <c r="J201" s="55">
        <v>490</v>
      </c>
    </row>
    <row r="202" spans="1:10" x14ac:dyDescent="0.25">
      <c r="A202" s="56" t="s">
        <v>1152</v>
      </c>
      <c r="B202" s="55">
        <v>490</v>
      </c>
      <c r="C202" s="55">
        <v>490</v>
      </c>
      <c r="D202" s="55" t="s">
        <v>1770</v>
      </c>
      <c r="E202" s="55" t="s">
        <v>24</v>
      </c>
      <c r="F202" s="55" t="s">
        <v>22</v>
      </c>
      <c r="G202" s="55" t="s">
        <v>46</v>
      </c>
      <c r="H202" s="55" t="s">
        <v>3240</v>
      </c>
      <c r="I202" s="55" t="s">
        <v>2062</v>
      </c>
      <c r="J202" s="55">
        <v>491</v>
      </c>
    </row>
    <row r="203" spans="1:10" x14ac:dyDescent="0.25">
      <c r="A203" s="56" t="s">
        <v>1152</v>
      </c>
      <c r="B203" s="55">
        <v>507</v>
      </c>
      <c r="C203" s="55">
        <v>507</v>
      </c>
      <c r="D203" s="55" t="s">
        <v>1770</v>
      </c>
      <c r="E203" s="55" t="s">
        <v>24</v>
      </c>
      <c r="F203" s="55" t="s">
        <v>22</v>
      </c>
      <c r="G203" s="55" t="s">
        <v>670</v>
      </c>
      <c r="H203" s="55" t="s">
        <v>3241</v>
      </c>
      <c r="I203" s="55" t="s">
        <v>2120</v>
      </c>
      <c r="J203" s="55">
        <v>508</v>
      </c>
    </row>
    <row r="204" spans="1:10" ht="25" x14ac:dyDescent="0.25">
      <c r="A204" s="56" t="s">
        <v>1152</v>
      </c>
      <c r="B204" s="55">
        <v>519</v>
      </c>
      <c r="C204" s="55">
        <v>519</v>
      </c>
      <c r="D204" s="55" t="s">
        <v>2162</v>
      </c>
      <c r="E204" s="55" t="s">
        <v>24</v>
      </c>
      <c r="F204" s="55" t="s">
        <v>57</v>
      </c>
      <c r="G204" s="55" t="s">
        <v>751</v>
      </c>
      <c r="H204" s="55" t="s">
        <v>3242</v>
      </c>
      <c r="I204" s="55" t="s">
        <v>2165</v>
      </c>
      <c r="J204" s="55">
        <v>520</v>
      </c>
    </row>
    <row r="205" spans="1:10" x14ac:dyDescent="0.25">
      <c r="A205" s="56" t="s">
        <v>1152</v>
      </c>
      <c r="B205" s="55">
        <v>520</v>
      </c>
      <c r="C205" s="55">
        <v>520</v>
      </c>
      <c r="D205" s="55" t="s">
        <v>2162</v>
      </c>
      <c r="E205" s="55" t="s">
        <v>24</v>
      </c>
      <c r="F205" s="55" t="s">
        <v>22</v>
      </c>
      <c r="G205" s="55"/>
      <c r="H205" s="55" t="s">
        <v>3243</v>
      </c>
      <c r="I205" s="55" t="s">
        <v>2167</v>
      </c>
      <c r="J205" s="55">
        <v>521</v>
      </c>
    </row>
    <row r="206" spans="1:10" x14ac:dyDescent="0.25">
      <c r="A206" s="56" t="s">
        <v>1152</v>
      </c>
      <c r="B206" s="55">
        <v>524</v>
      </c>
      <c r="C206" s="55">
        <v>524</v>
      </c>
      <c r="D206" s="55" t="s">
        <v>2162</v>
      </c>
      <c r="E206" s="55" t="s">
        <v>24</v>
      </c>
      <c r="F206" s="55" t="s">
        <v>22</v>
      </c>
      <c r="G206" s="55" t="s">
        <v>1379</v>
      </c>
      <c r="H206" s="55" t="s">
        <v>3244</v>
      </c>
      <c r="I206" s="55" t="s">
        <v>2181</v>
      </c>
      <c r="J206" s="55">
        <v>525</v>
      </c>
    </row>
    <row r="207" spans="1:10" ht="25" x14ac:dyDescent="0.25">
      <c r="A207" s="56" t="s">
        <v>1152</v>
      </c>
      <c r="B207" s="55">
        <v>532</v>
      </c>
      <c r="C207" s="55">
        <v>532</v>
      </c>
      <c r="D207" s="55" t="s">
        <v>2162</v>
      </c>
      <c r="E207" s="55" t="s">
        <v>24</v>
      </c>
      <c r="F207" s="55" t="s">
        <v>22</v>
      </c>
      <c r="G207" s="55" t="s">
        <v>670</v>
      </c>
      <c r="H207" s="55" t="s">
        <v>3245</v>
      </c>
      <c r="I207" s="55" t="s">
        <v>2205</v>
      </c>
      <c r="J207" s="55">
        <v>533</v>
      </c>
    </row>
    <row r="208" spans="1:10" ht="25" x14ac:dyDescent="0.25">
      <c r="A208" s="56" t="s">
        <v>1152</v>
      </c>
      <c r="B208" s="55">
        <v>533</v>
      </c>
      <c r="C208" s="55">
        <v>533</v>
      </c>
      <c r="D208" s="55" t="s">
        <v>2162</v>
      </c>
      <c r="E208" s="55" t="s">
        <v>24</v>
      </c>
      <c r="F208" s="55" t="s">
        <v>22</v>
      </c>
      <c r="G208" s="55"/>
      <c r="H208" s="55" t="s">
        <v>3246</v>
      </c>
      <c r="I208" s="55" t="s">
        <v>2208</v>
      </c>
      <c r="J208" s="55">
        <v>534</v>
      </c>
    </row>
    <row r="209" spans="1:10" x14ac:dyDescent="0.25">
      <c r="A209" s="56" t="s">
        <v>1152</v>
      </c>
      <c r="B209" s="55">
        <v>535</v>
      </c>
      <c r="C209" s="55">
        <v>535</v>
      </c>
      <c r="D209" s="55" t="s">
        <v>2162</v>
      </c>
      <c r="E209" s="55" t="s">
        <v>24</v>
      </c>
      <c r="F209" s="55" t="s">
        <v>22</v>
      </c>
      <c r="G209" s="55"/>
      <c r="H209" s="55" t="s">
        <v>3247</v>
      </c>
      <c r="I209" s="55" t="s">
        <v>2215</v>
      </c>
      <c r="J209" s="55">
        <v>536</v>
      </c>
    </row>
    <row r="210" spans="1:10" x14ac:dyDescent="0.25">
      <c r="A210" s="56" t="s">
        <v>1152</v>
      </c>
      <c r="B210" s="55">
        <v>536</v>
      </c>
      <c r="C210" s="55">
        <v>536</v>
      </c>
      <c r="D210" s="55" t="s">
        <v>2162</v>
      </c>
      <c r="E210" s="55" t="s">
        <v>24</v>
      </c>
      <c r="F210" s="55" t="s">
        <v>22</v>
      </c>
      <c r="G210" s="55"/>
      <c r="H210" s="55" t="s">
        <v>3248</v>
      </c>
      <c r="I210" s="55" t="s">
        <v>2218</v>
      </c>
      <c r="J210" s="55">
        <v>537</v>
      </c>
    </row>
    <row r="211" spans="1:10" x14ac:dyDescent="0.25">
      <c r="A211" s="56" t="s">
        <v>1152</v>
      </c>
      <c r="B211" s="55">
        <v>538</v>
      </c>
      <c r="C211" s="55">
        <v>538</v>
      </c>
      <c r="D211" s="55" t="s">
        <v>2162</v>
      </c>
      <c r="E211" s="55" t="s">
        <v>24</v>
      </c>
      <c r="F211" s="55" t="s">
        <v>22</v>
      </c>
      <c r="G211" s="55" t="s">
        <v>751</v>
      </c>
      <c r="H211" s="55" t="s">
        <v>3249</v>
      </c>
      <c r="I211" s="55" t="s">
        <v>2223</v>
      </c>
      <c r="J211" s="55">
        <v>539</v>
      </c>
    </row>
    <row r="212" spans="1:10" x14ac:dyDescent="0.25">
      <c r="A212" s="56" t="s">
        <v>1152</v>
      </c>
      <c r="B212" s="55">
        <v>540</v>
      </c>
      <c r="C212" s="55">
        <v>540</v>
      </c>
      <c r="D212" s="55" t="s">
        <v>2162</v>
      </c>
      <c r="E212" s="55" t="s">
        <v>24</v>
      </c>
      <c r="F212" s="55" t="s">
        <v>22</v>
      </c>
      <c r="G212" s="55" t="s">
        <v>1379</v>
      </c>
      <c r="H212" s="55" t="s">
        <v>3250</v>
      </c>
      <c r="I212" s="55" t="s">
        <v>2231</v>
      </c>
      <c r="J212" s="55">
        <v>541</v>
      </c>
    </row>
    <row r="213" spans="1:10" x14ac:dyDescent="0.25">
      <c r="A213" s="56" t="s">
        <v>1152</v>
      </c>
      <c r="B213" s="55">
        <v>543</v>
      </c>
      <c r="C213" s="55">
        <v>543</v>
      </c>
      <c r="D213" s="55" t="s">
        <v>2162</v>
      </c>
      <c r="E213" s="55" t="s">
        <v>24</v>
      </c>
      <c r="F213" s="55" t="s">
        <v>22</v>
      </c>
      <c r="G213" s="55"/>
      <c r="H213" s="55" t="s">
        <v>3251</v>
      </c>
      <c r="I213" s="55" t="s">
        <v>2242</v>
      </c>
      <c r="J213" s="55">
        <v>544</v>
      </c>
    </row>
    <row r="214" spans="1:10" ht="25" x14ac:dyDescent="0.25">
      <c r="A214" s="56" t="s">
        <v>1152</v>
      </c>
      <c r="B214" s="55">
        <v>548</v>
      </c>
      <c r="C214" s="55">
        <v>548</v>
      </c>
      <c r="D214" s="55" t="s">
        <v>2162</v>
      </c>
      <c r="E214" s="55" t="s">
        <v>24</v>
      </c>
      <c r="F214" s="55" t="s">
        <v>57</v>
      </c>
      <c r="G214" s="55"/>
      <c r="H214" s="55" t="s">
        <v>3252</v>
      </c>
      <c r="I214" s="55" t="s">
        <v>2255</v>
      </c>
      <c r="J214" s="55">
        <v>549</v>
      </c>
    </row>
    <row r="215" spans="1:10" ht="25" x14ac:dyDescent="0.25">
      <c r="A215" s="56" t="s">
        <v>1152</v>
      </c>
      <c r="B215" s="55">
        <v>549</v>
      </c>
      <c r="C215" s="55">
        <v>549</v>
      </c>
      <c r="D215" s="55" t="s">
        <v>2162</v>
      </c>
      <c r="E215" s="55" t="s">
        <v>24</v>
      </c>
      <c r="F215" s="55" t="s">
        <v>57</v>
      </c>
      <c r="G215" s="55" t="s">
        <v>95</v>
      </c>
      <c r="H215" s="55" t="s">
        <v>3253</v>
      </c>
      <c r="I215" s="55" t="s">
        <v>2258</v>
      </c>
      <c r="J215" s="55">
        <v>550</v>
      </c>
    </row>
    <row r="216" spans="1:10" x14ac:dyDescent="0.25">
      <c r="A216" s="56" t="s">
        <v>1152</v>
      </c>
      <c r="B216" s="55">
        <v>550</v>
      </c>
      <c r="C216" s="55">
        <v>550</v>
      </c>
      <c r="D216" s="55" t="s">
        <v>2162</v>
      </c>
      <c r="E216" s="55" t="s">
        <v>24</v>
      </c>
      <c r="F216" s="55" t="s">
        <v>22</v>
      </c>
      <c r="G216" s="55"/>
      <c r="H216" s="55" t="s">
        <v>3254</v>
      </c>
      <c r="I216" s="55" t="s">
        <v>2259</v>
      </c>
      <c r="J216" s="55">
        <v>551</v>
      </c>
    </row>
    <row r="217" spans="1:10" x14ac:dyDescent="0.25">
      <c r="A217" s="56" t="s">
        <v>1152</v>
      </c>
      <c r="B217" s="55">
        <v>551</v>
      </c>
      <c r="C217" s="55">
        <v>551</v>
      </c>
      <c r="D217" s="55" t="s">
        <v>2162</v>
      </c>
      <c r="E217" s="55" t="s">
        <v>24</v>
      </c>
      <c r="F217" s="55" t="s">
        <v>22</v>
      </c>
      <c r="G217" s="55" t="s">
        <v>95</v>
      </c>
      <c r="H217" s="55" t="s">
        <v>3255</v>
      </c>
      <c r="I217" s="55" t="s">
        <v>2262</v>
      </c>
      <c r="J217" s="55">
        <v>552</v>
      </c>
    </row>
    <row r="218" spans="1:10" ht="25" x14ac:dyDescent="0.25">
      <c r="A218" s="56" t="s">
        <v>1152</v>
      </c>
      <c r="B218" s="55">
        <v>555</v>
      </c>
      <c r="C218" s="55">
        <v>555</v>
      </c>
      <c r="D218" s="55" t="s">
        <v>2162</v>
      </c>
      <c r="E218" s="55" t="s">
        <v>24</v>
      </c>
      <c r="F218" s="55" t="s">
        <v>57</v>
      </c>
      <c r="G218" s="55"/>
      <c r="H218" s="55" t="s">
        <v>3256</v>
      </c>
      <c r="I218" s="55" t="s">
        <v>2274</v>
      </c>
      <c r="J218" s="55">
        <v>556</v>
      </c>
    </row>
    <row r="219" spans="1:10" ht="25" x14ac:dyDescent="0.25">
      <c r="A219" s="56" t="s">
        <v>1152</v>
      </c>
      <c r="B219" s="55">
        <v>556</v>
      </c>
      <c r="C219" s="55">
        <v>556</v>
      </c>
      <c r="D219" s="55" t="s">
        <v>2162</v>
      </c>
      <c r="E219" s="55" t="s">
        <v>24</v>
      </c>
      <c r="F219" s="55" t="s">
        <v>57</v>
      </c>
      <c r="G219" s="55"/>
      <c r="H219" s="55" t="s">
        <v>3257</v>
      </c>
      <c r="I219" s="55" t="s">
        <v>2279</v>
      </c>
      <c r="J219" s="55">
        <v>557</v>
      </c>
    </row>
    <row r="220" spans="1:10" x14ac:dyDescent="0.25">
      <c r="A220" s="56" t="s">
        <v>1152</v>
      </c>
      <c r="B220" s="55">
        <v>557</v>
      </c>
      <c r="C220" s="55">
        <v>557</v>
      </c>
      <c r="D220" s="55" t="s">
        <v>2162</v>
      </c>
      <c r="E220" s="55" t="s">
        <v>24</v>
      </c>
      <c r="F220" s="55" t="s">
        <v>22</v>
      </c>
      <c r="G220" s="55"/>
      <c r="H220" s="55" t="s">
        <v>3258</v>
      </c>
      <c r="I220" s="55" t="s">
        <v>2282</v>
      </c>
      <c r="J220" s="55">
        <v>558</v>
      </c>
    </row>
    <row r="221" spans="1:10" ht="25" x14ac:dyDescent="0.25">
      <c r="A221" s="56" t="s">
        <v>1152</v>
      </c>
      <c r="B221" s="55">
        <v>558</v>
      </c>
      <c r="C221" s="55">
        <v>558</v>
      </c>
      <c r="D221" s="55" t="s">
        <v>2162</v>
      </c>
      <c r="E221" s="55" t="s">
        <v>24</v>
      </c>
      <c r="F221" s="55" t="s">
        <v>57</v>
      </c>
      <c r="G221" s="55"/>
      <c r="H221" s="55" t="s">
        <v>3259</v>
      </c>
      <c r="I221" s="55" t="s">
        <v>2286</v>
      </c>
      <c r="J221" s="55">
        <v>559</v>
      </c>
    </row>
    <row r="222" spans="1:10" ht="25" x14ac:dyDescent="0.25">
      <c r="A222" s="56" t="s">
        <v>1152</v>
      </c>
      <c r="B222" s="55">
        <v>559</v>
      </c>
      <c r="C222" s="55">
        <v>559</v>
      </c>
      <c r="D222" s="55" t="s">
        <v>2162</v>
      </c>
      <c r="E222" s="55" t="s">
        <v>24</v>
      </c>
      <c r="F222" s="55" t="s">
        <v>57</v>
      </c>
      <c r="G222" s="55"/>
      <c r="H222" s="55" t="s">
        <v>3260</v>
      </c>
      <c r="I222" s="55" t="s">
        <v>2290</v>
      </c>
      <c r="J222" s="55">
        <v>560</v>
      </c>
    </row>
    <row r="223" spans="1:10" ht="25" x14ac:dyDescent="0.25">
      <c r="A223" s="56" t="s">
        <v>1152</v>
      </c>
      <c r="B223" s="55">
        <v>560</v>
      </c>
      <c r="C223" s="55">
        <v>560</v>
      </c>
      <c r="D223" s="55" t="s">
        <v>2162</v>
      </c>
      <c r="E223" s="55" t="s">
        <v>24</v>
      </c>
      <c r="F223" s="55" t="s">
        <v>57</v>
      </c>
      <c r="G223" s="55"/>
      <c r="H223" s="55" t="s">
        <v>3261</v>
      </c>
      <c r="I223" s="55" t="s">
        <v>2294</v>
      </c>
      <c r="J223" s="55">
        <v>561</v>
      </c>
    </row>
    <row r="224" spans="1:10" ht="25" x14ac:dyDescent="0.25">
      <c r="A224" s="56" t="s">
        <v>1152</v>
      </c>
      <c r="B224" s="55">
        <v>561</v>
      </c>
      <c r="C224" s="55">
        <v>561</v>
      </c>
      <c r="D224" s="55" t="s">
        <v>2162</v>
      </c>
      <c r="E224" s="55" t="s">
        <v>24</v>
      </c>
      <c r="F224" s="55" t="s">
        <v>57</v>
      </c>
      <c r="G224" s="55"/>
      <c r="H224" s="55" t="s">
        <v>3262</v>
      </c>
      <c r="I224" s="55" t="s">
        <v>2298</v>
      </c>
      <c r="J224" s="55">
        <v>562</v>
      </c>
    </row>
    <row r="225" spans="1:10" ht="25" x14ac:dyDescent="0.25">
      <c r="A225" s="56" t="s">
        <v>1152</v>
      </c>
      <c r="B225" s="55">
        <v>562</v>
      </c>
      <c r="C225" s="55">
        <v>562</v>
      </c>
      <c r="D225" s="55" t="s">
        <v>2162</v>
      </c>
      <c r="E225" s="55" t="s">
        <v>24</v>
      </c>
      <c r="F225" s="55" t="s">
        <v>57</v>
      </c>
      <c r="G225" s="55"/>
      <c r="H225" s="55" t="s">
        <v>3263</v>
      </c>
      <c r="I225" s="55" t="s">
        <v>2302</v>
      </c>
      <c r="J225" s="55">
        <v>563</v>
      </c>
    </row>
    <row r="226" spans="1:10" ht="25" x14ac:dyDescent="0.25">
      <c r="A226" s="56" t="s">
        <v>1152</v>
      </c>
      <c r="B226" s="55">
        <v>563</v>
      </c>
      <c r="C226" s="55">
        <v>563</v>
      </c>
      <c r="D226" s="55" t="s">
        <v>2162</v>
      </c>
      <c r="E226" s="55" t="s">
        <v>24</v>
      </c>
      <c r="F226" s="55" t="s">
        <v>57</v>
      </c>
      <c r="G226" s="55"/>
      <c r="H226" s="55" t="s">
        <v>3264</v>
      </c>
      <c r="I226" s="55" t="s">
        <v>2305</v>
      </c>
      <c r="J226" s="55">
        <v>564</v>
      </c>
    </row>
    <row r="227" spans="1:10" ht="25" x14ac:dyDescent="0.25">
      <c r="A227" s="56" t="s">
        <v>1152</v>
      </c>
      <c r="B227" s="55">
        <v>564</v>
      </c>
      <c r="C227" s="55">
        <v>564</v>
      </c>
      <c r="D227" s="55" t="s">
        <v>2162</v>
      </c>
      <c r="E227" s="55" t="s">
        <v>24</v>
      </c>
      <c r="F227" s="55" t="s">
        <v>57</v>
      </c>
      <c r="G227" s="55"/>
      <c r="H227" s="55" t="s">
        <v>3265</v>
      </c>
      <c r="I227" s="55" t="s">
        <v>2309</v>
      </c>
      <c r="J227" s="55">
        <v>565</v>
      </c>
    </row>
    <row r="228" spans="1:10" ht="25" x14ac:dyDescent="0.25">
      <c r="A228" s="56" t="s">
        <v>1152</v>
      </c>
      <c r="B228" s="55">
        <v>566</v>
      </c>
      <c r="C228" s="55">
        <v>566</v>
      </c>
      <c r="D228" s="55" t="s">
        <v>2162</v>
      </c>
      <c r="E228" s="55" t="s">
        <v>24</v>
      </c>
      <c r="F228" s="55" t="s">
        <v>57</v>
      </c>
      <c r="G228" s="55"/>
      <c r="H228" s="55" t="s">
        <v>3266</v>
      </c>
      <c r="I228" s="55" t="s">
        <v>2317</v>
      </c>
      <c r="J228" s="55">
        <v>567</v>
      </c>
    </row>
    <row r="229" spans="1:10" ht="25" x14ac:dyDescent="0.25">
      <c r="A229" s="56" t="s">
        <v>1152</v>
      </c>
      <c r="B229" s="55">
        <v>574</v>
      </c>
      <c r="C229" s="55">
        <v>574</v>
      </c>
      <c r="D229" s="55" t="s">
        <v>2162</v>
      </c>
      <c r="E229" s="55" t="s">
        <v>24</v>
      </c>
      <c r="F229" s="55" t="s">
        <v>57</v>
      </c>
      <c r="G229" s="55"/>
      <c r="H229" s="55" t="s">
        <v>3267</v>
      </c>
      <c r="I229" s="55" t="s">
        <v>2347</v>
      </c>
      <c r="J229" s="55">
        <v>575</v>
      </c>
    </row>
    <row r="230" spans="1:10" x14ac:dyDescent="0.25">
      <c r="A230" s="56" t="s">
        <v>1152</v>
      </c>
      <c r="B230" s="55">
        <v>577</v>
      </c>
      <c r="C230" s="55">
        <v>577</v>
      </c>
      <c r="D230" s="55" t="s">
        <v>2162</v>
      </c>
      <c r="E230" s="55" t="s">
        <v>24</v>
      </c>
      <c r="F230" s="55" t="s">
        <v>22</v>
      </c>
      <c r="G230" s="55"/>
      <c r="H230" s="55" t="s">
        <v>3268</v>
      </c>
      <c r="I230" s="55" t="s">
        <v>2356</v>
      </c>
      <c r="J230" s="55">
        <v>578</v>
      </c>
    </row>
    <row r="231" spans="1:10" x14ac:dyDescent="0.25">
      <c r="A231" s="56" t="s">
        <v>1152</v>
      </c>
      <c r="B231" s="55">
        <v>584</v>
      </c>
      <c r="C231" s="55">
        <v>584</v>
      </c>
      <c r="D231" s="55" t="s">
        <v>2162</v>
      </c>
      <c r="E231" s="55" t="s">
        <v>24</v>
      </c>
      <c r="F231" s="55" t="s">
        <v>22</v>
      </c>
      <c r="G231" s="55"/>
      <c r="H231" s="55" t="s">
        <v>3269</v>
      </c>
      <c r="I231" s="55" t="s">
        <v>2380</v>
      </c>
      <c r="J231" s="55">
        <v>585</v>
      </c>
    </row>
    <row r="232" spans="1:10" ht="25" x14ac:dyDescent="0.25">
      <c r="A232" s="56" t="s">
        <v>1152</v>
      </c>
      <c r="B232" s="55">
        <v>586</v>
      </c>
      <c r="C232" s="55">
        <v>586</v>
      </c>
      <c r="D232" s="55" t="s">
        <v>2162</v>
      </c>
      <c r="E232" s="55" t="s">
        <v>24</v>
      </c>
      <c r="F232" s="55" t="s">
        <v>57</v>
      </c>
      <c r="G232" s="55" t="s">
        <v>751</v>
      </c>
      <c r="H232" s="55" t="s">
        <v>3270</v>
      </c>
      <c r="I232" s="55" t="s">
        <v>2387</v>
      </c>
      <c r="J232" s="55">
        <v>587</v>
      </c>
    </row>
    <row r="233" spans="1:10" ht="25" x14ac:dyDescent="0.25">
      <c r="A233" s="56" t="s">
        <v>1152</v>
      </c>
      <c r="B233" s="55">
        <v>587</v>
      </c>
      <c r="C233" s="55">
        <v>587</v>
      </c>
      <c r="D233" s="55" t="s">
        <v>2162</v>
      </c>
      <c r="E233" s="55" t="s">
        <v>24</v>
      </c>
      <c r="F233" s="55" t="s">
        <v>22</v>
      </c>
      <c r="G233" s="55" t="s">
        <v>2388</v>
      </c>
      <c r="H233" s="55" t="s">
        <v>3271</v>
      </c>
      <c r="I233" s="55" t="s">
        <v>2391</v>
      </c>
      <c r="J233" s="55">
        <v>588</v>
      </c>
    </row>
    <row r="234" spans="1:10" ht="25" x14ac:dyDescent="0.25">
      <c r="A234" s="56" t="s">
        <v>1152</v>
      </c>
      <c r="B234" s="55">
        <v>588</v>
      </c>
      <c r="C234" s="55">
        <v>588</v>
      </c>
      <c r="D234" s="55" t="s">
        <v>2162</v>
      </c>
      <c r="E234" s="55" t="s">
        <v>24</v>
      </c>
      <c r="F234" s="55" t="s">
        <v>57</v>
      </c>
      <c r="G234" s="55"/>
      <c r="H234" s="55" t="s">
        <v>3272</v>
      </c>
      <c r="I234" s="55" t="s">
        <v>2394</v>
      </c>
      <c r="J234" s="55">
        <v>589</v>
      </c>
    </row>
    <row r="235" spans="1:10" ht="25" x14ac:dyDescent="0.25">
      <c r="A235" s="56" t="s">
        <v>1152</v>
      </c>
      <c r="B235" s="55">
        <v>589</v>
      </c>
      <c r="C235" s="55">
        <v>589</v>
      </c>
      <c r="D235" s="55" t="s">
        <v>2162</v>
      </c>
      <c r="E235" s="55" t="s">
        <v>24</v>
      </c>
      <c r="F235" s="55" t="s">
        <v>57</v>
      </c>
      <c r="G235" s="55" t="s">
        <v>95</v>
      </c>
      <c r="H235" s="55" t="s">
        <v>3273</v>
      </c>
      <c r="I235" s="55" t="s">
        <v>2396</v>
      </c>
      <c r="J235" s="55">
        <v>590</v>
      </c>
    </row>
    <row r="236" spans="1:10" ht="25" x14ac:dyDescent="0.25">
      <c r="A236" s="56" t="s">
        <v>1152</v>
      </c>
      <c r="B236" s="55">
        <v>590</v>
      </c>
      <c r="C236" s="55">
        <v>590</v>
      </c>
      <c r="D236" s="55" t="s">
        <v>2162</v>
      </c>
      <c r="E236" s="55" t="s">
        <v>24</v>
      </c>
      <c r="F236" s="55" t="s">
        <v>22</v>
      </c>
      <c r="G236" s="55" t="s">
        <v>95</v>
      </c>
      <c r="H236" s="55" t="s">
        <v>3274</v>
      </c>
      <c r="I236" s="55" t="s">
        <v>2400</v>
      </c>
      <c r="J236" s="55">
        <v>591</v>
      </c>
    </row>
    <row r="237" spans="1:10" x14ac:dyDescent="0.25">
      <c r="A237" s="56" t="s">
        <v>1152</v>
      </c>
      <c r="B237" s="55">
        <v>591</v>
      </c>
      <c r="C237" s="55">
        <v>591</v>
      </c>
      <c r="D237" s="55" t="s">
        <v>2162</v>
      </c>
      <c r="E237" s="55" t="s">
        <v>24</v>
      </c>
      <c r="F237" s="55" t="s">
        <v>22</v>
      </c>
      <c r="G237" s="55" t="s">
        <v>751</v>
      </c>
      <c r="H237" s="55" t="s">
        <v>3275</v>
      </c>
      <c r="I237" s="55" t="s">
        <v>2403</v>
      </c>
      <c r="J237" s="55">
        <v>592</v>
      </c>
    </row>
    <row r="238" spans="1:10" ht="25" x14ac:dyDescent="0.25">
      <c r="A238" s="56" t="s">
        <v>1152</v>
      </c>
      <c r="B238" s="55">
        <v>592</v>
      </c>
      <c r="C238" s="55">
        <v>592</v>
      </c>
      <c r="D238" s="55" t="s">
        <v>2162</v>
      </c>
      <c r="E238" s="55" t="s">
        <v>24</v>
      </c>
      <c r="F238" s="55" t="s">
        <v>57</v>
      </c>
      <c r="G238" s="55" t="s">
        <v>751</v>
      </c>
      <c r="H238" s="55" t="s">
        <v>3276</v>
      </c>
      <c r="I238" s="55" t="s">
        <v>2406</v>
      </c>
      <c r="J238" s="55">
        <v>593</v>
      </c>
    </row>
    <row r="239" spans="1:10" x14ac:dyDescent="0.25">
      <c r="A239" s="56" t="s">
        <v>1152</v>
      </c>
      <c r="B239" s="55">
        <v>594</v>
      </c>
      <c r="C239" s="55">
        <v>594</v>
      </c>
      <c r="D239" s="55" t="s">
        <v>2162</v>
      </c>
      <c r="E239" s="55" t="s">
        <v>24</v>
      </c>
      <c r="F239" s="55" t="s">
        <v>22</v>
      </c>
      <c r="G239" s="55" t="s">
        <v>751</v>
      </c>
      <c r="H239" s="55" t="s">
        <v>3277</v>
      </c>
      <c r="I239" s="55" t="s">
        <v>2412</v>
      </c>
      <c r="J239" s="55">
        <v>595</v>
      </c>
    </row>
    <row r="240" spans="1:10" ht="25" x14ac:dyDescent="0.25">
      <c r="A240" s="56" t="s">
        <v>1152</v>
      </c>
      <c r="B240" s="55">
        <v>596</v>
      </c>
      <c r="C240" s="55">
        <v>596</v>
      </c>
      <c r="D240" s="55" t="s">
        <v>2162</v>
      </c>
      <c r="E240" s="55" t="s">
        <v>24</v>
      </c>
      <c r="F240" s="55" t="s">
        <v>57</v>
      </c>
      <c r="G240" s="55"/>
      <c r="H240" s="55" t="s">
        <v>3278</v>
      </c>
      <c r="I240" s="55" t="s">
        <v>2417</v>
      </c>
      <c r="J240" s="55">
        <v>597</v>
      </c>
    </row>
    <row r="241" spans="1:10" ht="25" x14ac:dyDescent="0.25">
      <c r="A241" s="56" t="s">
        <v>1152</v>
      </c>
      <c r="B241" s="55">
        <v>599</v>
      </c>
      <c r="C241" s="55">
        <v>599</v>
      </c>
      <c r="D241" s="55" t="s">
        <v>2162</v>
      </c>
      <c r="E241" s="55" t="s">
        <v>24</v>
      </c>
      <c r="F241" s="55" t="s">
        <v>57</v>
      </c>
      <c r="G241" s="55"/>
      <c r="H241" s="55" t="s">
        <v>3279</v>
      </c>
      <c r="I241" s="55" t="s">
        <v>2429</v>
      </c>
      <c r="J241" s="55">
        <v>600</v>
      </c>
    </row>
    <row r="242" spans="1:10" x14ac:dyDescent="0.25">
      <c r="A242" s="56" t="s">
        <v>1152</v>
      </c>
      <c r="B242" s="55">
        <v>602</v>
      </c>
      <c r="C242" s="55">
        <v>602</v>
      </c>
      <c r="D242" s="55" t="s">
        <v>2430</v>
      </c>
      <c r="E242" s="55" t="s">
        <v>24</v>
      </c>
      <c r="F242" s="55" t="s">
        <v>22</v>
      </c>
      <c r="G242" s="55" t="s">
        <v>1397</v>
      </c>
      <c r="H242" s="55" t="s">
        <v>3280</v>
      </c>
      <c r="I242" s="55" t="s">
        <v>2440</v>
      </c>
      <c r="J242" s="55">
        <v>603</v>
      </c>
    </row>
    <row r="243" spans="1:10" x14ac:dyDescent="0.25">
      <c r="A243" s="56" t="s">
        <v>1152</v>
      </c>
      <c r="B243" s="55">
        <v>614</v>
      </c>
      <c r="C243" s="55">
        <v>614</v>
      </c>
      <c r="D243" s="55" t="s">
        <v>2441</v>
      </c>
      <c r="E243" s="55" t="s">
        <v>24</v>
      </c>
      <c r="F243" s="55" t="s">
        <v>22</v>
      </c>
      <c r="G243" s="55" t="s">
        <v>645</v>
      </c>
      <c r="H243" s="55" t="s">
        <v>3281</v>
      </c>
      <c r="I243" s="55" t="s">
        <v>2479</v>
      </c>
      <c r="J243" s="55">
        <v>615</v>
      </c>
    </row>
  </sheetData>
  <autoFilter ref="A4:J243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8"/>
  <sheetViews>
    <sheetView workbookViewId="0">
      <pane ySplit="4" topLeftCell="A5" activePane="bottomLeft" state="frozen"/>
      <selection pane="bottomLeft" activeCell="A11" sqref="A11"/>
    </sheetView>
  </sheetViews>
  <sheetFormatPr baseColWidth="10" defaultColWidth="9.1796875" defaultRowHeight="12.5" x14ac:dyDescent="0.25"/>
  <cols>
    <col min="1" max="1" width="24" customWidth="1"/>
    <col min="2" max="2" width="12" customWidth="1"/>
    <col min="3" max="3" width="8" customWidth="1"/>
    <col min="4" max="4" width="18" customWidth="1"/>
    <col min="5" max="5" width="12" customWidth="1"/>
    <col min="6" max="6" width="10" customWidth="1"/>
    <col min="7" max="7" width="22" customWidth="1"/>
    <col min="8" max="8" width="34" customWidth="1"/>
    <col min="9" max="9" width="48" customWidth="1"/>
  </cols>
  <sheetData>
    <row r="1" spans="1:9" x14ac:dyDescent="0.25">
      <c r="A1" t="s">
        <v>3282</v>
      </c>
    </row>
    <row r="2" spans="1:9" x14ac:dyDescent="0.25">
      <c r="A2" t="s">
        <v>3283</v>
      </c>
    </row>
    <row r="4" spans="1:9" ht="29" x14ac:dyDescent="0.25">
      <c r="A4" s="54" t="s">
        <v>15</v>
      </c>
      <c r="B4" s="54" t="s">
        <v>1</v>
      </c>
      <c r="C4" s="54" t="s">
        <v>0</v>
      </c>
      <c r="D4" s="54" t="s">
        <v>2</v>
      </c>
      <c r="E4" s="54" t="s">
        <v>4</v>
      </c>
      <c r="F4" s="54" t="s">
        <v>9</v>
      </c>
      <c r="G4" s="54" t="s">
        <v>3</v>
      </c>
      <c r="H4" s="54" t="s">
        <v>5</v>
      </c>
      <c r="I4" s="54" t="s">
        <v>10</v>
      </c>
    </row>
    <row r="5" spans="1:9" ht="25" x14ac:dyDescent="0.25">
      <c r="A5" s="56" t="s">
        <v>1152</v>
      </c>
      <c r="B5" s="55">
        <v>238</v>
      </c>
      <c r="C5" s="55">
        <v>238</v>
      </c>
      <c r="D5" s="55" t="s">
        <v>1134</v>
      </c>
      <c r="E5" s="55" t="s">
        <v>24</v>
      </c>
      <c r="F5" s="55" t="s">
        <v>57</v>
      </c>
      <c r="G5" s="55" t="s">
        <v>751</v>
      </c>
      <c r="H5" s="55" t="s">
        <v>3198</v>
      </c>
      <c r="I5" s="55" t="s">
        <v>1151</v>
      </c>
    </row>
    <row r="6" spans="1:9" x14ac:dyDescent="0.25">
      <c r="A6" s="56" t="s">
        <v>1152</v>
      </c>
      <c r="B6" s="55">
        <v>240</v>
      </c>
      <c r="C6" s="55">
        <v>240</v>
      </c>
      <c r="D6" s="55" t="s">
        <v>1134</v>
      </c>
      <c r="E6" s="55" t="s">
        <v>24</v>
      </c>
      <c r="F6" s="55" t="s">
        <v>22</v>
      </c>
      <c r="G6" s="55" t="s">
        <v>751</v>
      </c>
      <c r="H6" s="55" t="s">
        <v>3199</v>
      </c>
      <c r="I6" s="55" t="s">
        <v>1159</v>
      </c>
    </row>
    <row r="7" spans="1:9" ht="25" x14ac:dyDescent="0.25">
      <c r="A7" s="56" t="s">
        <v>1152</v>
      </c>
      <c r="B7" s="55">
        <v>242</v>
      </c>
      <c r="C7" s="55">
        <v>242</v>
      </c>
      <c r="D7" s="55" t="s">
        <v>1134</v>
      </c>
      <c r="E7" s="55" t="s">
        <v>24</v>
      </c>
      <c r="F7" s="55" t="s">
        <v>57</v>
      </c>
      <c r="G7" s="55" t="s">
        <v>751</v>
      </c>
      <c r="H7" s="55" t="s">
        <v>3200</v>
      </c>
      <c r="I7" s="55" t="s">
        <v>1168</v>
      </c>
    </row>
    <row r="8" spans="1:9" ht="25" x14ac:dyDescent="0.25">
      <c r="A8" s="56" t="s">
        <v>1152</v>
      </c>
      <c r="B8" s="55">
        <v>245</v>
      </c>
      <c r="C8" s="55">
        <v>245</v>
      </c>
      <c r="D8" s="55" t="s">
        <v>1134</v>
      </c>
      <c r="E8" s="55" t="s">
        <v>24</v>
      </c>
      <c r="F8" s="55" t="s">
        <v>57</v>
      </c>
      <c r="G8" s="55" t="s">
        <v>751</v>
      </c>
      <c r="H8" s="55" t="s">
        <v>3201</v>
      </c>
      <c r="I8" s="55" t="s">
        <v>1179</v>
      </c>
    </row>
    <row r="9" spans="1:9" ht="25" x14ac:dyDescent="0.25">
      <c r="A9" s="56" t="s">
        <v>1152</v>
      </c>
      <c r="B9" s="55">
        <v>246</v>
      </c>
      <c r="C9" s="55">
        <v>246</v>
      </c>
      <c r="D9" s="55" t="s">
        <v>1134</v>
      </c>
      <c r="E9" s="55" t="s">
        <v>24</v>
      </c>
      <c r="F9" s="55" t="s">
        <v>57</v>
      </c>
      <c r="G9" s="55" t="s">
        <v>751</v>
      </c>
      <c r="H9" s="55" t="s">
        <v>3202</v>
      </c>
      <c r="I9" s="55" t="s">
        <v>1182</v>
      </c>
    </row>
    <row r="10" spans="1:9" ht="25" x14ac:dyDescent="0.25">
      <c r="A10" s="56" t="s">
        <v>1152</v>
      </c>
      <c r="B10" s="55">
        <v>249</v>
      </c>
      <c r="C10" s="55">
        <v>249</v>
      </c>
      <c r="D10" s="55" t="s">
        <v>1134</v>
      </c>
      <c r="E10" s="55" t="s">
        <v>24</v>
      </c>
      <c r="F10" s="55" t="s">
        <v>57</v>
      </c>
      <c r="G10" s="55" t="s">
        <v>751</v>
      </c>
      <c r="H10" s="55" t="s">
        <v>3203</v>
      </c>
      <c r="I10" s="55" t="s">
        <v>1194</v>
      </c>
    </row>
    <row r="11" spans="1:9" ht="25" x14ac:dyDescent="0.25">
      <c r="A11" s="56" t="s">
        <v>1152</v>
      </c>
      <c r="B11" s="55">
        <v>250</v>
      </c>
      <c r="C11" s="55">
        <v>250</v>
      </c>
      <c r="D11" s="55" t="s">
        <v>1134</v>
      </c>
      <c r="E11" s="55" t="s">
        <v>24</v>
      </c>
      <c r="F11" s="55" t="s">
        <v>57</v>
      </c>
      <c r="G11" s="55" t="s">
        <v>751</v>
      </c>
      <c r="H11" s="55" t="s">
        <v>3204</v>
      </c>
      <c r="I11" s="55" t="s">
        <v>1197</v>
      </c>
    </row>
    <row r="12" spans="1:9" ht="25" x14ac:dyDescent="0.25">
      <c r="A12" s="56" t="s">
        <v>1152</v>
      </c>
      <c r="B12" s="55">
        <v>252</v>
      </c>
      <c r="C12" s="55">
        <v>252</v>
      </c>
      <c r="D12" s="55" t="s">
        <v>1134</v>
      </c>
      <c r="E12" s="55" t="s">
        <v>24</v>
      </c>
      <c r="F12" s="55" t="s">
        <v>57</v>
      </c>
      <c r="G12" s="55" t="s">
        <v>751</v>
      </c>
      <c r="H12" s="55" t="s">
        <v>3205</v>
      </c>
      <c r="I12" s="55" t="s">
        <v>1202</v>
      </c>
    </row>
    <row r="13" spans="1:9" ht="25" x14ac:dyDescent="0.25">
      <c r="A13" s="56" t="s">
        <v>1152</v>
      </c>
      <c r="B13" s="55">
        <v>253</v>
      </c>
      <c r="C13" s="55">
        <v>253</v>
      </c>
      <c r="D13" s="55" t="s">
        <v>1134</v>
      </c>
      <c r="E13" s="55" t="s">
        <v>24</v>
      </c>
      <c r="F13" s="55" t="s">
        <v>57</v>
      </c>
      <c r="G13" s="55" t="s">
        <v>751</v>
      </c>
      <c r="H13" s="55" t="s">
        <v>3206</v>
      </c>
      <c r="I13" s="55" t="s">
        <v>1205</v>
      </c>
    </row>
    <row r="14" spans="1:9" ht="25" x14ac:dyDescent="0.25">
      <c r="A14" s="56" t="s">
        <v>1152</v>
      </c>
      <c r="B14" s="55">
        <v>255</v>
      </c>
      <c r="C14" s="55">
        <v>255</v>
      </c>
      <c r="D14" s="55" t="s">
        <v>1134</v>
      </c>
      <c r="E14" s="55" t="s">
        <v>24</v>
      </c>
      <c r="F14" s="55" t="s">
        <v>22</v>
      </c>
      <c r="G14" s="55" t="s">
        <v>46</v>
      </c>
      <c r="H14" s="55" t="s">
        <v>3207</v>
      </c>
      <c r="I14" s="55" t="s">
        <v>1212</v>
      </c>
    </row>
    <row r="15" spans="1:9" ht="25" x14ac:dyDescent="0.25">
      <c r="A15" s="56" t="s">
        <v>1152</v>
      </c>
      <c r="B15" s="55">
        <v>259</v>
      </c>
      <c r="C15" s="55">
        <v>259</v>
      </c>
      <c r="D15" s="55" t="s">
        <v>1225</v>
      </c>
      <c r="E15" s="55" t="s">
        <v>24</v>
      </c>
      <c r="F15" s="55" t="s">
        <v>57</v>
      </c>
      <c r="G15" s="55" t="s">
        <v>95</v>
      </c>
      <c r="H15" s="55" t="s">
        <v>3208</v>
      </c>
      <c r="I15" s="55" t="s">
        <v>1229</v>
      </c>
    </row>
    <row r="16" spans="1:9" ht="25" x14ac:dyDescent="0.25">
      <c r="A16" s="56" t="s">
        <v>1152</v>
      </c>
      <c r="B16" s="55">
        <v>260</v>
      </c>
      <c r="C16" s="55">
        <v>260</v>
      </c>
      <c r="D16" s="55" t="s">
        <v>1225</v>
      </c>
      <c r="E16" s="55" t="s">
        <v>24</v>
      </c>
      <c r="F16" s="55" t="s">
        <v>57</v>
      </c>
      <c r="G16" s="55"/>
      <c r="H16" s="55" t="s">
        <v>3209</v>
      </c>
      <c r="I16" s="55" t="s">
        <v>1233</v>
      </c>
    </row>
    <row r="17" spans="1:9" ht="25" x14ac:dyDescent="0.25">
      <c r="A17" s="56" t="s">
        <v>1152</v>
      </c>
      <c r="B17" s="55">
        <v>261</v>
      </c>
      <c r="C17" s="55">
        <v>261</v>
      </c>
      <c r="D17" s="55" t="s">
        <v>1225</v>
      </c>
      <c r="E17" s="55" t="s">
        <v>24</v>
      </c>
      <c r="F17" s="55" t="s">
        <v>57</v>
      </c>
      <c r="G17" s="55" t="s">
        <v>751</v>
      </c>
      <c r="H17" s="55" t="s">
        <v>3210</v>
      </c>
      <c r="I17" s="55" t="s">
        <v>1237</v>
      </c>
    </row>
    <row r="18" spans="1:9" ht="25" x14ac:dyDescent="0.25">
      <c r="A18" s="56" t="s">
        <v>1152</v>
      </c>
      <c r="B18" s="55">
        <v>287</v>
      </c>
      <c r="C18" s="55">
        <v>287</v>
      </c>
      <c r="D18" s="55" t="s">
        <v>1319</v>
      </c>
      <c r="E18" s="55" t="s">
        <v>24</v>
      </c>
      <c r="F18" s="55" t="s">
        <v>57</v>
      </c>
      <c r="G18" s="55" t="s">
        <v>751</v>
      </c>
      <c r="H18" s="55" t="s">
        <v>3211</v>
      </c>
      <c r="I18" s="55" t="s">
        <v>1324</v>
      </c>
    </row>
    <row r="19" spans="1:9" ht="25" x14ac:dyDescent="0.25">
      <c r="A19" s="56" t="s">
        <v>1152</v>
      </c>
      <c r="B19" s="55">
        <v>292</v>
      </c>
      <c r="C19" s="55">
        <v>292</v>
      </c>
      <c r="D19" s="55" t="s">
        <v>1319</v>
      </c>
      <c r="E19" s="55" t="s">
        <v>24</v>
      </c>
      <c r="F19" s="55" t="s">
        <v>57</v>
      </c>
      <c r="G19" s="55" t="s">
        <v>817</v>
      </c>
      <c r="H19" s="55" t="s">
        <v>3212</v>
      </c>
      <c r="I19" s="55" t="s">
        <v>1339</v>
      </c>
    </row>
    <row r="20" spans="1:9" x14ac:dyDescent="0.25">
      <c r="A20" s="56" t="s">
        <v>1152</v>
      </c>
      <c r="B20" s="55">
        <v>299</v>
      </c>
      <c r="C20" s="55">
        <v>299</v>
      </c>
      <c r="D20" s="55" t="s">
        <v>1319</v>
      </c>
      <c r="E20" s="55" t="s">
        <v>24</v>
      </c>
      <c r="F20" s="55" t="s">
        <v>22</v>
      </c>
      <c r="G20" s="55"/>
      <c r="H20" s="55" t="s">
        <v>3213</v>
      </c>
      <c r="I20" s="55" t="s">
        <v>1364</v>
      </c>
    </row>
    <row r="21" spans="1:9" ht="25" x14ac:dyDescent="0.25">
      <c r="A21" s="56" t="s">
        <v>1152</v>
      </c>
      <c r="B21" s="55">
        <v>303</v>
      </c>
      <c r="C21" s="55">
        <v>303</v>
      </c>
      <c r="D21" s="55" t="s">
        <v>1374</v>
      </c>
      <c r="E21" s="55" t="s">
        <v>24</v>
      </c>
      <c r="F21" s="55" t="s">
        <v>22</v>
      </c>
      <c r="G21" s="55" t="s">
        <v>670</v>
      </c>
      <c r="H21" s="55" t="s">
        <v>3214</v>
      </c>
      <c r="I21" s="55" t="s">
        <v>1378</v>
      </c>
    </row>
    <row r="22" spans="1:9" x14ac:dyDescent="0.25">
      <c r="A22" s="56" t="s">
        <v>1152</v>
      </c>
      <c r="B22" s="55">
        <v>316</v>
      </c>
      <c r="C22" s="55">
        <v>316</v>
      </c>
      <c r="D22" s="55" t="s">
        <v>1389</v>
      </c>
      <c r="E22" s="55" t="s">
        <v>24</v>
      </c>
      <c r="F22" s="55" t="s">
        <v>22</v>
      </c>
      <c r="G22" s="55" t="s">
        <v>1397</v>
      </c>
      <c r="H22" s="55" t="s">
        <v>3215</v>
      </c>
      <c r="I22" s="55" t="s">
        <v>1427</v>
      </c>
    </row>
    <row r="23" spans="1:9" x14ac:dyDescent="0.25">
      <c r="A23" s="56" t="s">
        <v>1152</v>
      </c>
      <c r="B23" s="55">
        <v>317</v>
      </c>
      <c r="C23" s="55">
        <v>317</v>
      </c>
      <c r="D23" s="55" t="s">
        <v>1389</v>
      </c>
      <c r="E23" s="55" t="s">
        <v>24</v>
      </c>
      <c r="F23" s="55" t="s">
        <v>22</v>
      </c>
      <c r="G23" s="55" t="s">
        <v>817</v>
      </c>
      <c r="H23" s="55" t="s">
        <v>3216</v>
      </c>
      <c r="I23" s="55" t="s">
        <v>1431</v>
      </c>
    </row>
    <row r="24" spans="1:9" x14ac:dyDescent="0.25">
      <c r="A24" s="56" t="s">
        <v>1152</v>
      </c>
      <c r="B24" s="55">
        <v>318</v>
      </c>
      <c r="C24" s="55">
        <v>318</v>
      </c>
      <c r="D24" s="55" t="s">
        <v>1389</v>
      </c>
      <c r="E24" s="55" t="s">
        <v>24</v>
      </c>
      <c r="F24" s="55" t="s">
        <v>22</v>
      </c>
      <c r="G24" s="55" t="s">
        <v>1432</v>
      </c>
      <c r="H24" s="55" t="s">
        <v>3217</v>
      </c>
      <c r="I24" s="55" t="s">
        <v>1436</v>
      </c>
    </row>
    <row r="25" spans="1:9" x14ac:dyDescent="0.25">
      <c r="A25" s="56" t="s">
        <v>1152</v>
      </c>
      <c r="B25" s="55">
        <v>319</v>
      </c>
      <c r="C25" s="55">
        <v>319</v>
      </c>
      <c r="D25" s="55" t="s">
        <v>1389</v>
      </c>
      <c r="E25" s="55" t="s">
        <v>24</v>
      </c>
      <c r="F25" s="55" t="s">
        <v>22</v>
      </c>
      <c r="G25" s="55" t="s">
        <v>1397</v>
      </c>
      <c r="H25" s="55" t="s">
        <v>3218</v>
      </c>
      <c r="I25" s="55" t="s">
        <v>1440</v>
      </c>
    </row>
    <row r="26" spans="1:9" x14ac:dyDescent="0.25">
      <c r="A26" s="56" t="s">
        <v>1152</v>
      </c>
      <c r="B26" s="55">
        <v>320</v>
      </c>
      <c r="C26" s="55">
        <v>320</v>
      </c>
      <c r="D26" s="55" t="s">
        <v>1389</v>
      </c>
      <c r="E26" s="55" t="s">
        <v>24</v>
      </c>
      <c r="F26" s="55" t="s">
        <v>22</v>
      </c>
      <c r="G26" s="55" t="s">
        <v>817</v>
      </c>
      <c r="H26" s="55" t="s">
        <v>3219</v>
      </c>
      <c r="I26" s="55" t="s">
        <v>1444</v>
      </c>
    </row>
    <row r="27" spans="1:9" x14ac:dyDescent="0.25">
      <c r="A27" s="56" t="s">
        <v>1152</v>
      </c>
      <c r="B27" s="55">
        <v>321</v>
      </c>
      <c r="C27" s="55">
        <v>321</v>
      </c>
      <c r="D27" s="55" t="s">
        <v>1389</v>
      </c>
      <c r="E27" s="55" t="s">
        <v>24</v>
      </c>
      <c r="F27" s="55" t="s">
        <v>22</v>
      </c>
      <c r="G27" s="55" t="s">
        <v>817</v>
      </c>
      <c r="H27" s="55" t="s">
        <v>3220</v>
      </c>
      <c r="I27" s="55" t="s">
        <v>1448</v>
      </c>
    </row>
    <row r="28" spans="1:9" ht="25" x14ac:dyDescent="0.25">
      <c r="A28" s="56" t="s">
        <v>1152</v>
      </c>
      <c r="B28" s="55">
        <v>343</v>
      </c>
      <c r="C28" s="55">
        <v>343</v>
      </c>
      <c r="D28" s="55" t="s">
        <v>1389</v>
      </c>
      <c r="E28" s="55" t="s">
        <v>24</v>
      </c>
      <c r="F28" s="55" t="s">
        <v>57</v>
      </c>
      <c r="G28" s="55" t="s">
        <v>908</v>
      </c>
      <c r="H28" s="55" t="s">
        <v>3221</v>
      </c>
      <c r="I28" s="55" t="s">
        <v>1537</v>
      </c>
    </row>
    <row r="29" spans="1:9" x14ac:dyDescent="0.25">
      <c r="A29" s="56" t="s">
        <v>1152</v>
      </c>
      <c r="B29" s="55">
        <v>398</v>
      </c>
      <c r="C29" s="55">
        <v>398</v>
      </c>
      <c r="D29" s="55" t="s">
        <v>1770</v>
      </c>
      <c r="E29" s="55" t="s">
        <v>24</v>
      </c>
      <c r="F29" s="55" t="s">
        <v>22</v>
      </c>
      <c r="G29" s="55" t="s">
        <v>46</v>
      </c>
      <c r="H29" s="55" t="s">
        <v>3222</v>
      </c>
      <c r="I29" s="55" t="s">
        <v>1774</v>
      </c>
    </row>
    <row r="30" spans="1:9" ht="25" x14ac:dyDescent="0.25">
      <c r="A30" s="56" t="s">
        <v>1152</v>
      </c>
      <c r="B30" s="55">
        <v>399</v>
      </c>
      <c r="C30" s="55">
        <v>399</v>
      </c>
      <c r="D30" s="55" t="s">
        <v>1770</v>
      </c>
      <c r="E30" s="55" t="s">
        <v>24</v>
      </c>
      <c r="F30" s="55" t="s">
        <v>57</v>
      </c>
      <c r="G30" s="55" t="s">
        <v>95</v>
      </c>
      <c r="H30" s="55" t="s">
        <v>3223</v>
      </c>
      <c r="I30" s="55" t="s">
        <v>1776</v>
      </c>
    </row>
    <row r="31" spans="1:9" ht="25" x14ac:dyDescent="0.25">
      <c r="A31" s="56" t="s">
        <v>1152</v>
      </c>
      <c r="B31" s="55">
        <v>400</v>
      </c>
      <c r="C31" s="55">
        <v>400</v>
      </c>
      <c r="D31" s="55" t="s">
        <v>1770</v>
      </c>
      <c r="E31" s="55" t="s">
        <v>24</v>
      </c>
      <c r="F31" s="55" t="s">
        <v>22</v>
      </c>
      <c r="G31" s="55"/>
      <c r="H31" s="55" t="s">
        <v>3224</v>
      </c>
      <c r="I31" s="55" t="s">
        <v>1780</v>
      </c>
    </row>
    <row r="32" spans="1:9" x14ac:dyDescent="0.25">
      <c r="A32" s="56" t="s">
        <v>1152</v>
      </c>
      <c r="B32" s="55">
        <v>401</v>
      </c>
      <c r="C32" s="55">
        <v>401</v>
      </c>
      <c r="D32" s="55" t="s">
        <v>1770</v>
      </c>
      <c r="E32" s="55" t="s">
        <v>24</v>
      </c>
      <c r="F32" s="55" t="s">
        <v>22</v>
      </c>
      <c r="G32" s="55" t="s">
        <v>95</v>
      </c>
      <c r="H32" s="55" t="s">
        <v>3225</v>
      </c>
      <c r="I32" s="55" t="s">
        <v>1782</v>
      </c>
    </row>
    <row r="33" spans="1:9" ht="25" x14ac:dyDescent="0.25">
      <c r="A33" s="56" t="s">
        <v>1152</v>
      </c>
      <c r="B33" s="55">
        <v>416</v>
      </c>
      <c r="C33" s="55">
        <v>416</v>
      </c>
      <c r="D33" s="55" t="s">
        <v>1770</v>
      </c>
      <c r="E33" s="55" t="s">
        <v>24</v>
      </c>
      <c r="F33" s="55" t="s">
        <v>57</v>
      </c>
      <c r="G33" s="55" t="s">
        <v>882</v>
      </c>
      <c r="H33" s="55" t="s">
        <v>3226</v>
      </c>
      <c r="I33" s="55" t="s">
        <v>1835</v>
      </c>
    </row>
    <row r="34" spans="1:9" ht="25" x14ac:dyDescent="0.25">
      <c r="A34" s="56" t="s">
        <v>1152</v>
      </c>
      <c r="B34" s="55">
        <v>429</v>
      </c>
      <c r="C34" s="55">
        <v>429</v>
      </c>
      <c r="D34" s="55" t="s">
        <v>1770</v>
      </c>
      <c r="E34" s="55" t="s">
        <v>24</v>
      </c>
      <c r="F34" s="55" t="s">
        <v>57</v>
      </c>
      <c r="G34" s="55" t="s">
        <v>1874</v>
      </c>
      <c r="H34" s="55" t="s">
        <v>3227</v>
      </c>
      <c r="I34" s="55" t="s">
        <v>1877</v>
      </c>
    </row>
    <row r="35" spans="1:9" x14ac:dyDescent="0.25">
      <c r="A35" s="56" t="s">
        <v>1152</v>
      </c>
      <c r="B35" s="55">
        <v>431</v>
      </c>
      <c r="C35" s="55">
        <v>431</v>
      </c>
      <c r="D35" s="55" t="s">
        <v>1770</v>
      </c>
      <c r="E35" s="55" t="s">
        <v>24</v>
      </c>
      <c r="F35" s="55" t="s">
        <v>22</v>
      </c>
      <c r="G35" s="55" t="s">
        <v>1874</v>
      </c>
      <c r="H35" s="55" t="s">
        <v>3228</v>
      </c>
      <c r="I35" s="55" t="s">
        <v>1883</v>
      </c>
    </row>
    <row r="36" spans="1:9" ht="25" x14ac:dyDescent="0.25">
      <c r="A36" s="56" t="s">
        <v>1152</v>
      </c>
      <c r="B36" s="55">
        <v>435</v>
      </c>
      <c r="C36" s="55">
        <v>435</v>
      </c>
      <c r="D36" s="55" t="s">
        <v>1770</v>
      </c>
      <c r="E36" s="55" t="s">
        <v>24</v>
      </c>
      <c r="F36" s="55" t="s">
        <v>57</v>
      </c>
      <c r="G36" s="55"/>
      <c r="H36" s="55" t="s">
        <v>3229</v>
      </c>
      <c r="I36" s="55" t="s">
        <v>1895</v>
      </c>
    </row>
    <row r="37" spans="1:9" ht="25" x14ac:dyDescent="0.25">
      <c r="A37" s="56" t="s">
        <v>1152</v>
      </c>
      <c r="B37" s="55">
        <v>443</v>
      </c>
      <c r="C37" s="55">
        <v>443</v>
      </c>
      <c r="D37" s="55" t="s">
        <v>1770</v>
      </c>
      <c r="E37" s="55" t="s">
        <v>24</v>
      </c>
      <c r="F37" s="55" t="s">
        <v>57</v>
      </c>
      <c r="G37" s="55" t="s">
        <v>751</v>
      </c>
      <c r="H37" s="55" t="s">
        <v>3230</v>
      </c>
      <c r="I37" s="55" t="s">
        <v>1926</v>
      </c>
    </row>
    <row r="38" spans="1:9" x14ac:dyDescent="0.25">
      <c r="A38" s="56" t="s">
        <v>1152</v>
      </c>
      <c r="B38" s="55">
        <v>448</v>
      </c>
      <c r="C38" s="55">
        <v>448</v>
      </c>
      <c r="D38" s="55" t="s">
        <v>1770</v>
      </c>
      <c r="E38" s="55" t="s">
        <v>24</v>
      </c>
      <c r="F38" s="55" t="s">
        <v>22</v>
      </c>
      <c r="G38" s="55" t="s">
        <v>46</v>
      </c>
      <c r="H38" s="55" t="s">
        <v>3231</v>
      </c>
      <c r="I38" s="55" t="s">
        <v>1942</v>
      </c>
    </row>
    <row r="39" spans="1:9" x14ac:dyDescent="0.25">
      <c r="A39" s="56" t="s">
        <v>1152</v>
      </c>
      <c r="B39" s="55">
        <v>459</v>
      </c>
      <c r="C39" s="55">
        <v>459</v>
      </c>
      <c r="D39" s="55" t="s">
        <v>1770</v>
      </c>
      <c r="E39" s="55" t="s">
        <v>24</v>
      </c>
      <c r="F39" s="55" t="s">
        <v>22</v>
      </c>
      <c r="G39" s="55"/>
      <c r="H39" s="55" t="s">
        <v>3232</v>
      </c>
      <c r="I39" s="55" t="s">
        <v>1978</v>
      </c>
    </row>
    <row r="40" spans="1:9" ht="25" x14ac:dyDescent="0.25">
      <c r="A40" s="56" t="s">
        <v>1152</v>
      </c>
      <c r="B40" s="55">
        <v>467</v>
      </c>
      <c r="C40" s="55">
        <v>467</v>
      </c>
      <c r="D40" s="55" t="s">
        <v>1770</v>
      </c>
      <c r="E40" s="55" t="s">
        <v>24</v>
      </c>
      <c r="F40" s="55" t="s">
        <v>57</v>
      </c>
      <c r="G40" s="55"/>
      <c r="H40" s="55" t="s">
        <v>3233</v>
      </c>
      <c r="I40" s="55" t="s">
        <v>1997</v>
      </c>
    </row>
    <row r="41" spans="1:9" x14ac:dyDescent="0.25">
      <c r="A41" s="56" t="s">
        <v>1152</v>
      </c>
      <c r="B41" s="55">
        <v>471</v>
      </c>
      <c r="C41" s="55">
        <v>471</v>
      </c>
      <c r="D41" s="55" t="s">
        <v>1770</v>
      </c>
      <c r="E41" s="55" t="s">
        <v>24</v>
      </c>
      <c r="F41" s="55" t="s">
        <v>22</v>
      </c>
      <c r="G41" s="55" t="s">
        <v>670</v>
      </c>
      <c r="H41" s="55" t="s">
        <v>3234</v>
      </c>
      <c r="I41" s="55" t="s">
        <v>2013</v>
      </c>
    </row>
    <row r="42" spans="1:9" x14ac:dyDescent="0.25">
      <c r="A42" s="56" t="s">
        <v>1152</v>
      </c>
      <c r="B42" s="55">
        <v>472</v>
      </c>
      <c r="C42" s="55">
        <v>472</v>
      </c>
      <c r="D42" s="55" t="s">
        <v>1770</v>
      </c>
      <c r="E42" s="55" t="s">
        <v>24</v>
      </c>
      <c r="F42" s="55" t="s">
        <v>22</v>
      </c>
      <c r="G42" s="55" t="s">
        <v>670</v>
      </c>
      <c r="H42" s="55" t="s">
        <v>3235</v>
      </c>
      <c r="I42" s="55" t="s">
        <v>2013</v>
      </c>
    </row>
    <row r="43" spans="1:9" x14ac:dyDescent="0.25">
      <c r="A43" s="56" t="s">
        <v>1152</v>
      </c>
      <c r="B43" s="55">
        <v>486</v>
      </c>
      <c r="C43" s="55">
        <v>486</v>
      </c>
      <c r="D43" s="55" t="s">
        <v>1770</v>
      </c>
      <c r="E43" s="55" t="s">
        <v>24</v>
      </c>
      <c r="F43" s="55" t="s">
        <v>22</v>
      </c>
      <c r="G43" s="55"/>
      <c r="H43" s="55" t="s">
        <v>3236</v>
      </c>
      <c r="I43" s="55" t="s">
        <v>2050</v>
      </c>
    </row>
    <row r="44" spans="1:9" ht="25" x14ac:dyDescent="0.25">
      <c r="A44" s="56" t="s">
        <v>1152</v>
      </c>
      <c r="B44" s="55">
        <v>487</v>
      </c>
      <c r="C44" s="55">
        <v>487</v>
      </c>
      <c r="D44" s="55" t="s">
        <v>1770</v>
      </c>
      <c r="E44" s="55" t="s">
        <v>24</v>
      </c>
      <c r="F44" s="55" t="s">
        <v>57</v>
      </c>
      <c r="G44" s="55"/>
      <c r="H44" s="55" t="s">
        <v>3237</v>
      </c>
      <c r="I44" s="55" t="s">
        <v>2052</v>
      </c>
    </row>
    <row r="45" spans="1:9" ht="25" x14ac:dyDescent="0.25">
      <c r="A45" s="56" t="s">
        <v>1152</v>
      </c>
      <c r="B45" s="55">
        <v>488</v>
      </c>
      <c r="C45" s="55">
        <v>488</v>
      </c>
      <c r="D45" s="55" t="s">
        <v>1770</v>
      </c>
      <c r="E45" s="55" t="s">
        <v>24</v>
      </c>
      <c r="F45" s="55" t="s">
        <v>57</v>
      </c>
      <c r="G45" s="55"/>
      <c r="H45" s="55" t="s">
        <v>3238</v>
      </c>
      <c r="I45" s="55" t="s">
        <v>2055</v>
      </c>
    </row>
    <row r="46" spans="1:9" x14ac:dyDescent="0.25">
      <c r="A46" s="56" t="s">
        <v>1152</v>
      </c>
      <c r="B46" s="55">
        <v>489</v>
      </c>
      <c r="C46" s="55">
        <v>489</v>
      </c>
      <c r="D46" s="55" t="s">
        <v>1770</v>
      </c>
      <c r="E46" s="55" t="s">
        <v>24</v>
      </c>
      <c r="F46" s="55" t="s">
        <v>22</v>
      </c>
      <c r="G46" s="55" t="s">
        <v>670</v>
      </c>
      <c r="H46" s="55" t="s">
        <v>3239</v>
      </c>
      <c r="I46" s="55" t="s">
        <v>2058</v>
      </c>
    </row>
    <row r="47" spans="1:9" x14ac:dyDescent="0.25">
      <c r="A47" s="56" t="s">
        <v>1152</v>
      </c>
      <c r="B47" s="55">
        <v>490</v>
      </c>
      <c r="C47" s="55">
        <v>490</v>
      </c>
      <c r="D47" s="55" t="s">
        <v>1770</v>
      </c>
      <c r="E47" s="55" t="s">
        <v>24</v>
      </c>
      <c r="F47" s="55" t="s">
        <v>22</v>
      </c>
      <c r="G47" s="55" t="s">
        <v>46</v>
      </c>
      <c r="H47" s="55" t="s">
        <v>3240</v>
      </c>
      <c r="I47" s="55" t="s">
        <v>2062</v>
      </c>
    </row>
    <row r="48" spans="1:9" x14ac:dyDescent="0.25">
      <c r="A48" s="56" t="s">
        <v>1152</v>
      </c>
      <c r="B48" s="55">
        <v>507</v>
      </c>
      <c r="C48" s="55">
        <v>507</v>
      </c>
      <c r="D48" s="55" t="s">
        <v>1770</v>
      </c>
      <c r="E48" s="55" t="s">
        <v>24</v>
      </c>
      <c r="F48" s="55" t="s">
        <v>22</v>
      </c>
      <c r="G48" s="55" t="s">
        <v>670</v>
      </c>
      <c r="H48" s="55" t="s">
        <v>3241</v>
      </c>
      <c r="I48" s="55" t="s">
        <v>2120</v>
      </c>
    </row>
    <row r="49" spans="1:9" ht="25" x14ac:dyDescent="0.25">
      <c r="A49" s="56" t="s">
        <v>1152</v>
      </c>
      <c r="B49" s="55">
        <v>519</v>
      </c>
      <c r="C49" s="55">
        <v>519</v>
      </c>
      <c r="D49" s="55" t="s">
        <v>2162</v>
      </c>
      <c r="E49" s="55" t="s">
        <v>24</v>
      </c>
      <c r="F49" s="55" t="s">
        <v>57</v>
      </c>
      <c r="G49" s="55" t="s">
        <v>751</v>
      </c>
      <c r="H49" s="55" t="s">
        <v>3242</v>
      </c>
      <c r="I49" s="55" t="s">
        <v>2165</v>
      </c>
    </row>
    <row r="50" spans="1:9" x14ac:dyDescent="0.25">
      <c r="A50" s="56" t="s">
        <v>1152</v>
      </c>
      <c r="B50" s="55">
        <v>520</v>
      </c>
      <c r="C50" s="55">
        <v>520</v>
      </c>
      <c r="D50" s="55" t="s">
        <v>2162</v>
      </c>
      <c r="E50" s="55" t="s">
        <v>24</v>
      </c>
      <c r="F50" s="55" t="s">
        <v>22</v>
      </c>
      <c r="G50" s="55"/>
      <c r="H50" s="55" t="s">
        <v>3243</v>
      </c>
      <c r="I50" s="55" t="s">
        <v>2167</v>
      </c>
    </row>
    <row r="51" spans="1:9" x14ac:dyDescent="0.25">
      <c r="A51" s="56" t="s">
        <v>1152</v>
      </c>
      <c r="B51" s="55">
        <v>524</v>
      </c>
      <c r="C51" s="55">
        <v>524</v>
      </c>
      <c r="D51" s="55" t="s">
        <v>2162</v>
      </c>
      <c r="E51" s="55" t="s">
        <v>24</v>
      </c>
      <c r="F51" s="55" t="s">
        <v>22</v>
      </c>
      <c r="G51" s="55" t="s">
        <v>1379</v>
      </c>
      <c r="H51" s="55" t="s">
        <v>3244</v>
      </c>
      <c r="I51" s="55" t="s">
        <v>2181</v>
      </c>
    </row>
    <row r="52" spans="1:9" ht="25" x14ac:dyDescent="0.25">
      <c r="A52" s="56" t="s">
        <v>1152</v>
      </c>
      <c r="B52" s="55">
        <v>532</v>
      </c>
      <c r="C52" s="55">
        <v>532</v>
      </c>
      <c r="D52" s="55" t="s">
        <v>2162</v>
      </c>
      <c r="E52" s="55" t="s">
        <v>24</v>
      </c>
      <c r="F52" s="55" t="s">
        <v>22</v>
      </c>
      <c r="G52" s="55" t="s">
        <v>670</v>
      </c>
      <c r="H52" s="55" t="s">
        <v>3245</v>
      </c>
      <c r="I52" s="55" t="s">
        <v>2205</v>
      </c>
    </row>
    <row r="53" spans="1:9" ht="25" x14ac:dyDescent="0.25">
      <c r="A53" s="56" t="s">
        <v>1152</v>
      </c>
      <c r="B53" s="55">
        <v>533</v>
      </c>
      <c r="C53" s="55">
        <v>533</v>
      </c>
      <c r="D53" s="55" t="s">
        <v>2162</v>
      </c>
      <c r="E53" s="55" t="s">
        <v>24</v>
      </c>
      <c r="F53" s="55" t="s">
        <v>22</v>
      </c>
      <c r="G53" s="55"/>
      <c r="H53" s="55" t="s">
        <v>3246</v>
      </c>
      <c r="I53" s="55" t="s">
        <v>2208</v>
      </c>
    </row>
    <row r="54" spans="1:9" x14ac:dyDescent="0.25">
      <c r="A54" s="56" t="s">
        <v>1152</v>
      </c>
      <c r="B54" s="55">
        <v>535</v>
      </c>
      <c r="C54" s="55">
        <v>535</v>
      </c>
      <c r="D54" s="55" t="s">
        <v>2162</v>
      </c>
      <c r="E54" s="55" t="s">
        <v>24</v>
      </c>
      <c r="F54" s="55" t="s">
        <v>22</v>
      </c>
      <c r="G54" s="55"/>
      <c r="H54" s="55" t="s">
        <v>3247</v>
      </c>
      <c r="I54" s="55" t="s">
        <v>2215</v>
      </c>
    </row>
    <row r="55" spans="1:9" x14ac:dyDescent="0.25">
      <c r="A55" s="56" t="s">
        <v>1152</v>
      </c>
      <c r="B55" s="55">
        <v>536</v>
      </c>
      <c r="C55" s="55">
        <v>536</v>
      </c>
      <c r="D55" s="55" t="s">
        <v>2162</v>
      </c>
      <c r="E55" s="55" t="s">
        <v>24</v>
      </c>
      <c r="F55" s="55" t="s">
        <v>22</v>
      </c>
      <c r="G55" s="55"/>
      <c r="H55" s="55" t="s">
        <v>3248</v>
      </c>
      <c r="I55" s="55" t="s">
        <v>2218</v>
      </c>
    </row>
    <row r="56" spans="1:9" x14ac:dyDescent="0.25">
      <c r="A56" s="56" t="s">
        <v>1152</v>
      </c>
      <c r="B56" s="55">
        <v>538</v>
      </c>
      <c r="C56" s="55">
        <v>538</v>
      </c>
      <c r="D56" s="55" t="s">
        <v>2162</v>
      </c>
      <c r="E56" s="55" t="s">
        <v>24</v>
      </c>
      <c r="F56" s="55" t="s">
        <v>22</v>
      </c>
      <c r="G56" s="55" t="s">
        <v>751</v>
      </c>
      <c r="H56" s="55" t="s">
        <v>3249</v>
      </c>
      <c r="I56" s="55" t="s">
        <v>2223</v>
      </c>
    </row>
    <row r="57" spans="1:9" x14ac:dyDescent="0.25">
      <c r="A57" s="56" t="s">
        <v>1152</v>
      </c>
      <c r="B57" s="55">
        <v>540</v>
      </c>
      <c r="C57" s="55">
        <v>540</v>
      </c>
      <c r="D57" s="55" t="s">
        <v>2162</v>
      </c>
      <c r="E57" s="55" t="s">
        <v>24</v>
      </c>
      <c r="F57" s="55" t="s">
        <v>22</v>
      </c>
      <c r="G57" s="55" t="s">
        <v>1379</v>
      </c>
      <c r="H57" s="55" t="s">
        <v>3250</v>
      </c>
      <c r="I57" s="55" t="s">
        <v>2231</v>
      </c>
    </row>
    <row r="58" spans="1:9" x14ac:dyDescent="0.25">
      <c r="A58" s="56" t="s">
        <v>1152</v>
      </c>
      <c r="B58" s="55">
        <v>543</v>
      </c>
      <c r="C58" s="55">
        <v>543</v>
      </c>
      <c r="D58" s="55" t="s">
        <v>2162</v>
      </c>
      <c r="E58" s="55" t="s">
        <v>24</v>
      </c>
      <c r="F58" s="55" t="s">
        <v>22</v>
      </c>
      <c r="G58" s="55"/>
      <c r="H58" s="55" t="s">
        <v>3251</v>
      </c>
      <c r="I58" s="55" t="s">
        <v>2242</v>
      </c>
    </row>
    <row r="59" spans="1:9" ht="25" x14ac:dyDescent="0.25">
      <c r="A59" s="56" t="s">
        <v>1152</v>
      </c>
      <c r="B59" s="55">
        <v>548</v>
      </c>
      <c r="C59" s="55">
        <v>548</v>
      </c>
      <c r="D59" s="55" t="s">
        <v>2162</v>
      </c>
      <c r="E59" s="55" t="s">
        <v>24</v>
      </c>
      <c r="F59" s="55" t="s">
        <v>57</v>
      </c>
      <c r="G59" s="55"/>
      <c r="H59" s="55" t="s">
        <v>3252</v>
      </c>
      <c r="I59" s="55" t="s">
        <v>2255</v>
      </c>
    </row>
    <row r="60" spans="1:9" ht="25" x14ac:dyDescent="0.25">
      <c r="A60" s="56" t="s">
        <v>1152</v>
      </c>
      <c r="B60" s="55">
        <v>549</v>
      </c>
      <c r="C60" s="55">
        <v>549</v>
      </c>
      <c r="D60" s="55" t="s">
        <v>2162</v>
      </c>
      <c r="E60" s="55" t="s">
        <v>24</v>
      </c>
      <c r="F60" s="55" t="s">
        <v>57</v>
      </c>
      <c r="G60" s="55" t="s">
        <v>95</v>
      </c>
      <c r="H60" s="55" t="s">
        <v>3253</v>
      </c>
      <c r="I60" s="55" t="s">
        <v>2258</v>
      </c>
    </row>
    <row r="61" spans="1:9" x14ac:dyDescent="0.25">
      <c r="A61" s="56" t="s">
        <v>1152</v>
      </c>
      <c r="B61" s="55">
        <v>550</v>
      </c>
      <c r="C61" s="55">
        <v>550</v>
      </c>
      <c r="D61" s="55" t="s">
        <v>2162</v>
      </c>
      <c r="E61" s="55" t="s">
        <v>24</v>
      </c>
      <c r="F61" s="55" t="s">
        <v>22</v>
      </c>
      <c r="G61" s="55"/>
      <c r="H61" s="55" t="s">
        <v>3254</v>
      </c>
      <c r="I61" s="55" t="s">
        <v>2259</v>
      </c>
    </row>
    <row r="62" spans="1:9" x14ac:dyDescent="0.25">
      <c r="A62" s="56" t="s">
        <v>1152</v>
      </c>
      <c r="B62" s="55">
        <v>551</v>
      </c>
      <c r="C62" s="55">
        <v>551</v>
      </c>
      <c r="D62" s="55" t="s">
        <v>2162</v>
      </c>
      <c r="E62" s="55" t="s">
        <v>24</v>
      </c>
      <c r="F62" s="55" t="s">
        <v>22</v>
      </c>
      <c r="G62" s="55" t="s">
        <v>95</v>
      </c>
      <c r="H62" s="55" t="s">
        <v>3255</v>
      </c>
      <c r="I62" s="55" t="s">
        <v>2262</v>
      </c>
    </row>
    <row r="63" spans="1:9" ht="25" x14ac:dyDescent="0.25">
      <c r="A63" s="56" t="s">
        <v>1152</v>
      </c>
      <c r="B63" s="55">
        <v>555</v>
      </c>
      <c r="C63" s="55">
        <v>555</v>
      </c>
      <c r="D63" s="55" t="s">
        <v>2162</v>
      </c>
      <c r="E63" s="55" t="s">
        <v>24</v>
      </c>
      <c r="F63" s="55" t="s">
        <v>57</v>
      </c>
      <c r="G63" s="55"/>
      <c r="H63" s="55" t="s">
        <v>3256</v>
      </c>
      <c r="I63" s="55" t="s">
        <v>2274</v>
      </c>
    </row>
    <row r="64" spans="1:9" ht="25" x14ac:dyDescent="0.25">
      <c r="A64" s="56" t="s">
        <v>1152</v>
      </c>
      <c r="B64" s="55">
        <v>556</v>
      </c>
      <c r="C64" s="55">
        <v>556</v>
      </c>
      <c r="D64" s="55" t="s">
        <v>2162</v>
      </c>
      <c r="E64" s="55" t="s">
        <v>24</v>
      </c>
      <c r="F64" s="55" t="s">
        <v>57</v>
      </c>
      <c r="G64" s="55"/>
      <c r="H64" s="55" t="s">
        <v>3257</v>
      </c>
      <c r="I64" s="55" t="s">
        <v>2279</v>
      </c>
    </row>
    <row r="65" spans="1:9" x14ac:dyDescent="0.25">
      <c r="A65" s="56" t="s">
        <v>1152</v>
      </c>
      <c r="B65" s="55">
        <v>557</v>
      </c>
      <c r="C65" s="55">
        <v>557</v>
      </c>
      <c r="D65" s="55" t="s">
        <v>2162</v>
      </c>
      <c r="E65" s="55" t="s">
        <v>24</v>
      </c>
      <c r="F65" s="55" t="s">
        <v>22</v>
      </c>
      <c r="G65" s="55"/>
      <c r="H65" s="55" t="s">
        <v>3258</v>
      </c>
      <c r="I65" s="55" t="s">
        <v>2282</v>
      </c>
    </row>
    <row r="66" spans="1:9" ht="25" x14ac:dyDescent="0.25">
      <c r="A66" s="56" t="s">
        <v>1152</v>
      </c>
      <c r="B66" s="55">
        <v>558</v>
      </c>
      <c r="C66" s="55">
        <v>558</v>
      </c>
      <c r="D66" s="55" t="s">
        <v>2162</v>
      </c>
      <c r="E66" s="55" t="s">
        <v>24</v>
      </c>
      <c r="F66" s="55" t="s">
        <v>57</v>
      </c>
      <c r="G66" s="55"/>
      <c r="H66" s="55" t="s">
        <v>3259</v>
      </c>
      <c r="I66" s="55" t="s">
        <v>2286</v>
      </c>
    </row>
    <row r="67" spans="1:9" ht="25" x14ac:dyDescent="0.25">
      <c r="A67" s="56" t="s">
        <v>1152</v>
      </c>
      <c r="B67" s="55">
        <v>559</v>
      </c>
      <c r="C67" s="55">
        <v>559</v>
      </c>
      <c r="D67" s="55" t="s">
        <v>2162</v>
      </c>
      <c r="E67" s="55" t="s">
        <v>24</v>
      </c>
      <c r="F67" s="55" t="s">
        <v>57</v>
      </c>
      <c r="G67" s="55"/>
      <c r="H67" s="55" t="s">
        <v>3260</v>
      </c>
      <c r="I67" s="55" t="s">
        <v>2290</v>
      </c>
    </row>
    <row r="68" spans="1:9" ht="25" x14ac:dyDescent="0.25">
      <c r="A68" s="56" t="s">
        <v>1152</v>
      </c>
      <c r="B68" s="55">
        <v>560</v>
      </c>
      <c r="C68" s="55">
        <v>560</v>
      </c>
      <c r="D68" s="55" t="s">
        <v>2162</v>
      </c>
      <c r="E68" s="55" t="s">
        <v>24</v>
      </c>
      <c r="F68" s="55" t="s">
        <v>57</v>
      </c>
      <c r="G68" s="55"/>
      <c r="H68" s="55" t="s">
        <v>3261</v>
      </c>
      <c r="I68" s="55" t="s">
        <v>2294</v>
      </c>
    </row>
    <row r="69" spans="1:9" ht="25" x14ac:dyDescent="0.25">
      <c r="A69" s="56" t="s">
        <v>1152</v>
      </c>
      <c r="B69" s="55">
        <v>561</v>
      </c>
      <c r="C69" s="55">
        <v>561</v>
      </c>
      <c r="D69" s="55" t="s">
        <v>2162</v>
      </c>
      <c r="E69" s="55" t="s">
        <v>24</v>
      </c>
      <c r="F69" s="55" t="s">
        <v>57</v>
      </c>
      <c r="G69" s="55"/>
      <c r="H69" s="55" t="s">
        <v>3262</v>
      </c>
      <c r="I69" s="55" t="s">
        <v>2298</v>
      </c>
    </row>
    <row r="70" spans="1:9" ht="25" x14ac:dyDescent="0.25">
      <c r="A70" s="56" t="s">
        <v>1152</v>
      </c>
      <c r="B70" s="55">
        <v>562</v>
      </c>
      <c r="C70" s="55">
        <v>562</v>
      </c>
      <c r="D70" s="55" t="s">
        <v>2162</v>
      </c>
      <c r="E70" s="55" t="s">
        <v>24</v>
      </c>
      <c r="F70" s="55" t="s">
        <v>57</v>
      </c>
      <c r="G70" s="55"/>
      <c r="H70" s="55" t="s">
        <v>3263</v>
      </c>
      <c r="I70" s="55" t="s">
        <v>2302</v>
      </c>
    </row>
    <row r="71" spans="1:9" ht="25" x14ac:dyDescent="0.25">
      <c r="A71" s="56" t="s">
        <v>1152</v>
      </c>
      <c r="B71" s="55">
        <v>563</v>
      </c>
      <c r="C71" s="55">
        <v>563</v>
      </c>
      <c r="D71" s="55" t="s">
        <v>2162</v>
      </c>
      <c r="E71" s="55" t="s">
        <v>24</v>
      </c>
      <c r="F71" s="55" t="s">
        <v>57</v>
      </c>
      <c r="G71" s="55"/>
      <c r="H71" s="55" t="s">
        <v>3264</v>
      </c>
      <c r="I71" s="55" t="s">
        <v>2305</v>
      </c>
    </row>
    <row r="72" spans="1:9" ht="25" x14ac:dyDescent="0.25">
      <c r="A72" s="56" t="s">
        <v>1152</v>
      </c>
      <c r="B72" s="55">
        <v>564</v>
      </c>
      <c r="C72" s="55">
        <v>564</v>
      </c>
      <c r="D72" s="55" t="s">
        <v>2162</v>
      </c>
      <c r="E72" s="55" t="s">
        <v>24</v>
      </c>
      <c r="F72" s="55" t="s">
        <v>57</v>
      </c>
      <c r="G72" s="55"/>
      <c r="H72" s="55" t="s">
        <v>3265</v>
      </c>
      <c r="I72" s="55" t="s">
        <v>2309</v>
      </c>
    </row>
    <row r="73" spans="1:9" ht="25" x14ac:dyDescent="0.25">
      <c r="A73" s="56" t="s">
        <v>1152</v>
      </c>
      <c r="B73" s="55">
        <v>566</v>
      </c>
      <c r="C73" s="55">
        <v>566</v>
      </c>
      <c r="D73" s="55" t="s">
        <v>2162</v>
      </c>
      <c r="E73" s="55" t="s">
        <v>24</v>
      </c>
      <c r="F73" s="55" t="s">
        <v>57</v>
      </c>
      <c r="G73" s="55"/>
      <c r="H73" s="55" t="s">
        <v>3266</v>
      </c>
      <c r="I73" s="55" t="s">
        <v>2317</v>
      </c>
    </row>
    <row r="74" spans="1:9" ht="25" x14ac:dyDescent="0.25">
      <c r="A74" s="56" t="s">
        <v>1152</v>
      </c>
      <c r="B74" s="55">
        <v>574</v>
      </c>
      <c r="C74" s="55">
        <v>574</v>
      </c>
      <c r="D74" s="55" t="s">
        <v>2162</v>
      </c>
      <c r="E74" s="55" t="s">
        <v>24</v>
      </c>
      <c r="F74" s="55" t="s">
        <v>57</v>
      </c>
      <c r="G74" s="55"/>
      <c r="H74" s="55" t="s">
        <v>3267</v>
      </c>
      <c r="I74" s="55" t="s">
        <v>2347</v>
      </c>
    </row>
    <row r="75" spans="1:9" x14ac:dyDescent="0.25">
      <c r="A75" s="56" t="s">
        <v>1152</v>
      </c>
      <c r="B75" s="55">
        <v>577</v>
      </c>
      <c r="C75" s="55">
        <v>577</v>
      </c>
      <c r="D75" s="55" t="s">
        <v>2162</v>
      </c>
      <c r="E75" s="55" t="s">
        <v>24</v>
      </c>
      <c r="F75" s="55" t="s">
        <v>22</v>
      </c>
      <c r="G75" s="55"/>
      <c r="H75" s="55" t="s">
        <v>3268</v>
      </c>
      <c r="I75" s="55" t="s">
        <v>2356</v>
      </c>
    </row>
    <row r="76" spans="1:9" x14ac:dyDescent="0.25">
      <c r="A76" s="56" t="s">
        <v>1152</v>
      </c>
      <c r="B76" s="55">
        <v>584</v>
      </c>
      <c r="C76" s="55">
        <v>584</v>
      </c>
      <c r="D76" s="55" t="s">
        <v>2162</v>
      </c>
      <c r="E76" s="55" t="s">
        <v>24</v>
      </c>
      <c r="F76" s="55" t="s">
        <v>22</v>
      </c>
      <c r="G76" s="55"/>
      <c r="H76" s="55" t="s">
        <v>3269</v>
      </c>
      <c r="I76" s="55" t="s">
        <v>2380</v>
      </c>
    </row>
    <row r="77" spans="1:9" ht="25" x14ac:dyDescent="0.25">
      <c r="A77" s="56" t="s">
        <v>1152</v>
      </c>
      <c r="B77" s="55">
        <v>586</v>
      </c>
      <c r="C77" s="55">
        <v>586</v>
      </c>
      <c r="D77" s="55" t="s">
        <v>2162</v>
      </c>
      <c r="E77" s="55" t="s">
        <v>24</v>
      </c>
      <c r="F77" s="55" t="s">
        <v>57</v>
      </c>
      <c r="G77" s="55" t="s">
        <v>751</v>
      </c>
      <c r="H77" s="55" t="s">
        <v>3270</v>
      </c>
      <c r="I77" s="55" t="s">
        <v>2387</v>
      </c>
    </row>
    <row r="78" spans="1:9" ht="25" x14ac:dyDescent="0.25">
      <c r="A78" s="56" t="s">
        <v>1152</v>
      </c>
      <c r="B78" s="55">
        <v>587</v>
      </c>
      <c r="C78" s="55">
        <v>587</v>
      </c>
      <c r="D78" s="55" t="s">
        <v>2162</v>
      </c>
      <c r="E78" s="55" t="s">
        <v>24</v>
      </c>
      <c r="F78" s="55" t="s">
        <v>22</v>
      </c>
      <c r="G78" s="55" t="s">
        <v>2388</v>
      </c>
      <c r="H78" s="55" t="s">
        <v>3271</v>
      </c>
      <c r="I78" s="55" t="s">
        <v>2391</v>
      </c>
    </row>
    <row r="79" spans="1:9" ht="25" x14ac:dyDescent="0.25">
      <c r="A79" s="56" t="s">
        <v>1152</v>
      </c>
      <c r="B79" s="55">
        <v>588</v>
      </c>
      <c r="C79" s="55">
        <v>588</v>
      </c>
      <c r="D79" s="55" t="s">
        <v>2162</v>
      </c>
      <c r="E79" s="55" t="s">
        <v>24</v>
      </c>
      <c r="F79" s="55" t="s">
        <v>57</v>
      </c>
      <c r="G79" s="55"/>
      <c r="H79" s="55" t="s">
        <v>3272</v>
      </c>
      <c r="I79" s="55" t="s">
        <v>2394</v>
      </c>
    </row>
    <row r="80" spans="1:9" ht="25" x14ac:dyDescent="0.25">
      <c r="A80" s="56" t="s">
        <v>1152</v>
      </c>
      <c r="B80" s="55">
        <v>589</v>
      </c>
      <c r="C80" s="55">
        <v>589</v>
      </c>
      <c r="D80" s="55" t="s">
        <v>2162</v>
      </c>
      <c r="E80" s="55" t="s">
        <v>24</v>
      </c>
      <c r="F80" s="55" t="s">
        <v>57</v>
      </c>
      <c r="G80" s="55" t="s">
        <v>95</v>
      </c>
      <c r="H80" s="55" t="s">
        <v>3273</v>
      </c>
      <c r="I80" s="55" t="s">
        <v>2396</v>
      </c>
    </row>
    <row r="81" spans="1:9" ht="25" x14ac:dyDescent="0.25">
      <c r="A81" s="56" t="s">
        <v>1152</v>
      </c>
      <c r="B81" s="55">
        <v>590</v>
      </c>
      <c r="C81" s="55">
        <v>590</v>
      </c>
      <c r="D81" s="55" t="s">
        <v>2162</v>
      </c>
      <c r="E81" s="55" t="s">
        <v>24</v>
      </c>
      <c r="F81" s="55" t="s">
        <v>22</v>
      </c>
      <c r="G81" s="55" t="s">
        <v>95</v>
      </c>
      <c r="H81" s="55" t="s">
        <v>3274</v>
      </c>
      <c r="I81" s="55" t="s">
        <v>2400</v>
      </c>
    </row>
    <row r="82" spans="1:9" x14ac:dyDescent="0.25">
      <c r="A82" s="56" t="s">
        <v>1152</v>
      </c>
      <c r="B82" s="55">
        <v>591</v>
      </c>
      <c r="C82" s="55">
        <v>591</v>
      </c>
      <c r="D82" s="55" t="s">
        <v>2162</v>
      </c>
      <c r="E82" s="55" t="s">
        <v>24</v>
      </c>
      <c r="F82" s="55" t="s">
        <v>22</v>
      </c>
      <c r="G82" s="55" t="s">
        <v>751</v>
      </c>
      <c r="H82" s="55" t="s">
        <v>3275</v>
      </c>
      <c r="I82" s="55" t="s">
        <v>2403</v>
      </c>
    </row>
    <row r="83" spans="1:9" ht="25" x14ac:dyDescent="0.25">
      <c r="A83" s="56" t="s">
        <v>1152</v>
      </c>
      <c r="B83" s="55">
        <v>592</v>
      </c>
      <c r="C83" s="55">
        <v>592</v>
      </c>
      <c r="D83" s="55" t="s">
        <v>2162</v>
      </c>
      <c r="E83" s="55" t="s">
        <v>24</v>
      </c>
      <c r="F83" s="55" t="s">
        <v>57</v>
      </c>
      <c r="G83" s="55" t="s">
        <v>751</v>
      </c>
      <c r="H83" s="55" t="s">
        <v>3276</v>
      </c>
      <c r="I83" s="55" t="s">
        <v>2406</v>
      </c>
    </row>
    <row r="84" spans="1:9" x14ac:dyDescent="0.25">
      <c r="A84" s="56" t="s">
        <v>1152</v>
      </c>
      <c r="B84" s="55">
        <v>594</v>
      </c>
      <c r="C84" s="55">
        <v>594</v>
      </c>
      <c r="D84" s="55" t="s">
        <v>2162</v>
      </c>
      <c r="E84" s="55" t="s">
        <v>24</v>
      </c>
      <c r="F84" s="55" t="s">
        <v>22</v>
      </c>
      <c r="G84" s="55" t="s">
        <v>751</v>
      </c>
      <c r="H84" s="55" t="s">
        <v>3277</v>
      </c>
      <c r="I84" s="55" t="s">
        <v>2412</v>
      </c>
    </row>
    <row r="85" spans="1:9" ht="25" x14ac:dyDescent="0.25">
      <c r="A85" s="56" t="s">
        <v>1152</v>
      </c>
      <c r="B85" s="55">
        <v>596</v>
      </c>
      <c r="C85" s="55">
        <v>596</v>
      </c>
      <c r="D85" s="55" t="s">
        <v>2162</v>
      </c>
      <c r="E85" s="55" t="s">
        <v>24</v>
      </c>
      <c r="F85" s="55" t="s">
        <v>57</v>
      </c>
      <c r="G85" s="55"/>
      <c r="H85" s="55" t="s">
        <v>3278</v>
      </c>
      <c r="I85" s="55" t="s">
        <v>2417</v>
      </c>
    </row>
    <row r="86" spans="1:9" ht="25" x14ac:dyDescent="0.25">
      <c r="A86" s="56" t="s">
        <v>1152</v>
      </c>
      <c r="B86" s="55">
        <v>599</v>
      </c>
      <c r="C86" s="55">
        <v>599</v>
      </c>
      <c r="D86" s="55" t="s">
        <v>2162</v>
      </c>
      <c r="E86" s="55" t="s">
        <v>24</v>
      </c>
      <c r="F86" s="55" t="s">
        <v>57</v>
      </c>
      <c r="G86" s="55"/>
      <c r="H86" s="55" t="s">
        <v>3279</v>
      </c>
      <c r="I86" s="55" t="s">
        <v>2429</v>
      </c>
    </row>
    <row r="87" spans="1:9" x14ac:dyDescent="0.25">
      <c r="A87" s="56" t="s">
        <v>1152</v>
      </c>
      <c r="B87" s="55">
        <v>602</v>
      </c>
      <c r="C87" s="55">
        <v>602</v>
      </c>
      <c r="D87" s="55" t="s">
        <v>2430</v>
      </c>
      <c r="E87" s="55" t="s">
        <v>24</v>
      </c>
      <c r="F87" s="55" t="s">
        <v>22</v>
      </c>
      <c r="G87" s="55" t="s">
        <v>1397</v>
      </c>
      <c r="H87" s="55" t="s">
        <v>3280</v>
      </c>
      <c r="I87" s="55" t="s">
        <v>2440</v>
      </c>
    </row>
    <row r="88" spans="1:9" x14ac:dyDescent="0.25">
      <c r="A88" s="56" t="s">
        <v>1152</v>
      </c>
      <c r="B88" s="55">
        <v>614</v>
      </c>
      <c r="C88" s="55">
        <v>614</v>
      </c>
      <c r="D88" s="55" t="s">
        <v>2441</v>
      </c>
      <c r="E88" s="55" t="s">
        <v>24</v>
      </c>
      <c r="F88" s="55" t="s">
        <v>22</v>
      </c>
      <c r="G88" s="55" t="s">
        <v>645</v>
      </c>
      <c r="H88" s="55" t="s">
        <v>3281</v>
      </c>
      <c r="I88" s="55" t="s">
        <v>2479</v>
      </c>
    </row>
  </sheetData>
  <autoFilter ref="A4:I88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0"/>
  <sheetViews>
    <sheetView showGridLines="0" workbookViewId="0"/>
  </sheetViews>
  <sheetFormatPr baseColWidth="10" defaultColWidth="8.7265625" defaultRowHeight="14.5" x14ac:dyDescent="0.35"/>
  <cols>
    <col min="1" max="1" width="18" style="6" customWidth="1"/>
    <col min="3" max="3" width="18" style="6" customWidth="1"/>
    <col min="5" max="5" width="18" style="6" customWidth="1"/>
    <col min="7" max="7" width="18" style="6" customWidth="1"/>
    <col min="9" max="9" width="18" customWidth="1"/>
  </cols>
  <sheetData>
    <row r="1" spans="1:9" ht="18" customHeight="1" x14ac:dyDescent="0.25">
      <c r="A1" s="85" t="s">
        <v>3284</v>
      </c>
      <c r="B1" s="86"/>
      <c r="C1" s="86"/>
      <c r="D1" s="86"/>
      <c r="E1" s="86"/>
      <c r="F1" s="86"/>
      <c r="G1" s="86"/>
      <c r="H1" s="86"/>
      <c r="I1" s="41"/>
    </row>
    <row r="2" spans="1:9" ht="18" customHeight="1" x14ac:dyDescent="0.25">
      <c r="A2" s="41"/>
      <c r="B2" s="41"/>
      <c r="C2" s="41"/>
      <c r="D2" s="41"/>
      <c r="E2" s="41"/>
      <c r="F2" s="41"/>
      <c r="G2" s="41"/>
      <c r="H2" s="41"/>
      <c r="I2" s="41"/>
    </row>
    <row r="3" spans="1:9" ht="18" customHeight="1" x14ac:dyDescent="0.25">
      <c r="A3" s="34" t="s">
        <v>3285</v>
      </c>
      <c r="B3" s="41"/>
      <c r="C3" s="34" t="s">
        <v>3286</v>
      </c>
      <c r="D3" s="41"/>
      <c r="E3" s="34" t="s">
        <v>3287</v>
      </c>
      <c r="F3" s="41"/>
      <c r="G3" s="34" t="s">
        <v>3288</v>
      </c>
      <c r="H3" s="41"/>
      <c r="I3" s="34" t="s">
        <v>3289</v>
      </c>
    </row>
    <row r="4" spans="1:9" ht="18" customHeight="1" x14ac:dyDescent="0.25">
      <c r="A4" s="37" t="s">
        <v>22</v>
      </c>
      <c r="B4" s="41"/>
      <c r="C4" s="37" t="s">
        <v>24</v>
      </c>
      <c r="D4" s="41"/>
      <c r="E4" s="37" t="s">
        <v>1134</v>
      </c>
      <c r="F4" s="41"/>
      <c r="G4" s="37" t="s">
        <v>16</v>
      </c>
      <c r="H4" s="41"/>
      <c r="I4" s="37" t="s">
        <v>3290</v>
      </c>
    </row>
    <row r="5" spans="1:9" ht="18" customHeight="1" x14ac:dyDescent="0.25">
      <c r="A5" s="37" t="s">
        <v>71</v>
      </c>
      <c r="B5" s="41"/>
      <c r="C5" s="37" t="s">
        <v>659</v>
      </c>
      <c r="D5" s="41"/>
      <c r="E5" s="37" t="s">
        <v>2845</v>
      </c>
      <c r="F5" s="41"/>
      <c r="G5" s="37" t="s">
        <v>840</v>
      </c>
      <c r="H5" s="41"/>
      <c r="I5" s="37" t="s">
        <v>3291</v>
      </c>
    </row>
    <row r="6" spans="1:9" ht="18" customHeight="1" x14ac:dyDescent="0.25">
      <c r="A6" s="37" t="s">
        <v>57</v>
      </c>
      <c r="B6" s="41"/>
      <c r="C6" s="37" t="s">
        <v>1257</v>
      </c>
      <c r="D6" s="41"/>
      <c r="E6" s="37" t="s">
        <v>2441</v>
      </c>
      <c r="F6" s="41"/>
      <c r="G6" s="37" t="s">
        <v>938</v>
      </c>
      <c r="H6" s="41"/>
      <c r="I6" s="37" t="s">
        <v>3292</v>
      </c>
    </row>
    <row r="7" spans="1:9" ht="18" customHeight="1" x14ac:dyDescent="0.25">
      <c r="A7" s="41"/>
      <c r="B7" s="41"/>
      <c r="C7" s="41"/>
      <c r="D7" s="41"/>
      <c r="E7" s="37" t="s">
        <v>2801</v>
      </c>
      <c r="F7" s="41"/>
      <c r="G7" s="37" t="s">
        <v>903</v>
      </c>
      <c r="H7" s="41"/>
      <c r="I7" s="41"/>
    </row>
    <row r="8" spans="1:9" ht="18" customHeight="1" x14ac:dyDescent="0.25">
      <c r="A8" s="41"/>
      <c r="B8" s="41"/>
      <c r="C8" s="41"/>
      <c r="D8" s="41"/>
      <c r="E8" s="37" t="s">
        <v>2569</v>
      </c>
      <c r="F8" s="41"/>
      <c r="G8" s="37" t="s">
        <v>1013</v>
      </c>
      <c r="H8" s="41"/>
      <c r="I8" s="41"/>
    </row>
    <row r="9" spans="1:9" ht="18" customHeight="1" x14ac:dyDescent="0.25">
      <c r="A9" s="41"/>
      <c r="B9" s="41"/>
      <c r="C9" s="41"/>
      <c r="D9" s="41"/>
      <c r="E9" s="37" t="s">
        <v>2532</v>
      </c>
      <c r="F9" s="41"/>
      <c r="G9" s="41"/>
      <c r="H9" s="41"/>
      <c r="I9" s="41"/>
    </row>
    <row r="10" spans="1:9" ht="18" customHeight="1" x14ac:dyDescent="0.25">
      <c r="A10" s="41"/>
      <c r="B10" s="41"/>
      <c r="C10" s="41"/>
      <c r="D10" s="41"/>
      <c r="E10" s="37" t="s">
        <v>1374</v>
      </c>
      <c r="F10" s="41"/>
      <c r="G10" s="41"/>
      <c r="H10" s="41"/>
      <c r="I10" s="41"/>
    </row>
    <row r="11" spans="1:9" ht="18" customHeight="1" x14ac:dyDescent="0.25">
      <c r="A11" s="41"/>
      <c r="B11" s="41"/>
      <c r="C11" s="41"/>
      <c r="D11" s="41"/>
      <c r="E11" s="37" t="s">
        <v>2846</v>
      </c>
      <c r="F11" s="41"/>
      <c r="G11" s="41"/>
      <c r="H11" s="41"/>
      <c r="I11" s="41"/>
    </row>
    <row r="12" spans="1:9" ht="18" customHeight="1" x14ac:dyDescent="0.25">
      <c r="A12" s="41"/>
      <c r="B12" s="41"/>
      <c r="C12" s="41"/>
      <c r="D12" s="41"/>
      <c r="E12" s="37" t="s">
        <v>1319</v>
      </c>
      <c r="F12" s="41"/>
      <c r="G12" s="41"/>
      <c r="H12" s="41"/>
      <c r="I12" s="41"/>
    </row>
    <row r="13" spans="1:9" ht="18" customHeight="1" x14ac:dyDescent="0.25">
      <c r="A13" s="41"/>
      <c r="B13" s="41"/>
      <c r="C13" s="41"/>
      <c r="D13" s="41"/>
      <c r="E13" s="37" t="s">
        <v>1225</v>
      </c>
      <c r="F13" s="41"/>
      <c r="G13" s="41"/>
      <c r="H13" s="41"/>
      <c r="I13" s="41"/>
    </row>
    <row r="14" spans="1:9" ht="18" customHeight="1" x14ac:dyDescent="0.25">
      <c r="A14" s="41"/>
      <c r="B14" s="41"/>
      <c r="C14" s="41"/>
      <c r="D14" s="41"/>
      <c r="E14" s="37" t="s">
        <v>1569</v>
      </c>
      <c r="F14" s="41"/>
      <c r="G14" s="41"/>
      <c r="H14" s="41"/>
      <c r="I14" s="41"/>
    </row>
    <row r="15" spans="1:9" ht="18" customHeight="1" x14ac:dyDescent="0.25">
      <c r="A15" s="41"/>
      <c r="B15" s="41"/>
      <c r="C15" s="41"/>
      <c r="D15" s="41"/>
      <c r="E15" s="37" t="s">
        <v>1389</v>
      </c>
      <c r="F15" s="41"/>
      <c r="G15" s="41"/>
      <c r="H15" s="41"/>
      <c r="I15" s="41"/>
    </row>
    <row r="16" spans="1:9" ht="18" customHeight="1" x14ac:dyDescent="0.25">
      <c r="A16" s="41"/>
      <c r="B16" s="41"/>
      <c r="C16" s="41"/>
      <c r="D16" s="41"/>
      <c r="E16" s="37" t="s">
        <v>16</v>
      </c>
      <c r="F16" s="41"/>
      <c r="G16" s="41"/>
      <c r="H16" s="41"/>
      <c r="I16" s="41"/>
    </row>
    <row r="17" spans="1:9" ht="18" customHeight="1" x14ac:dyDescent="0.25">
      <c r="A17" s="41"/>
      <c r="B17" s="41"/>
      <c r="C17" s="41"/>
      <c r="D17" s="41"/>
      <c r="E17" s="37" t="s">
        <v>840</v>
      </c>
      <c r="F17" s="41"/>
      <c r="G17" s="41"/>
      <c r="H17" s="41"/>
      <c r="I17" s="41"/>
    </row>
    <row r="18" spans="1:9" ht="18" customHeight="1" x14ac:dyDescent="0.25">
      <c r="A18" s="41"/>
      <c r="B18" s="41"/>
      <c r="C18" s="41"/>
      <c r="D18" s="41"/>
      <c r="E18" s="37" t="s">
        <v>938</v>
      </c>
      <c r="F18" s="41"/>
      <c r="G18" s="41"/>
      <c r="H18" s="41"/>
      <c r="I18" s="41"/>
    </row>
    <row r="19" spans="1:9" ht="18" customHeight="1" x14ac:dyDescent="0.25">
      <c r="A19" s="41"/>
      <c r="B19" s="41"/>
      <c r="C19" s="41"/>
      <c r="D19" s="41"/>
      <c r="E19" s="37" t="s">
        <v>903</v>
      </c>
      <c r="F19" s="41"/>
      <c r="G19" s="41"/>
      <c r="H19" s="41"/>
      <c r="I19" s="41"/>
    </row>
    <row r="20" spans="1:9" ht="18" customHeight="1" x14ac:dyDescent="0.25">
      <c r="A20" s="41"/>
      <c r="B20" s="41"/>
      <c r="C20" s="41"/>
      <c r="D20" s="41"/>
      <c r="E20" s="37" t="s">
        <v>1013</v>
      </c>
      <c r="F20" s="41"/>
      <c r="G20" s="41"/>
      <c r="H20" s="41"/>
      <c r="I20" s="41"/>
    </row>
    <row r="21" spans="1:9" ht="18" customHeight="1" x14ac:dyDescent="0.25">
      <c r="A21" s="41"/>
      <c r="B21" s="41"/>
      <c r="C21" s="41"/>
      <c r="D21" s="41"/>
      <c r="E21" s="37" t="s">
        <v>1737</v>
      </c>
      <c r="F21" s="41"/>
      <c r="G21" s="41"/>
      <c r="H21" s="41"/>
      <c r="I21" s="41"/>
    </row>
    <row r="22" spans="1:9" ht="18" customHeight="1" x14ac:dyDescent="0.25">
      <c r="A22" s="41"/>
      <c r="B22" s="41"/>
      <c r="C22" s="41"/>
      <c r="D22" s="41"/>
      <c r="E22" s="37" t="s">
        <v>2162</v>
      </c>
      <c r="F22" s="41"/>
      <c r="G22" s="41"/>
      <c r="H22" s="41"/>
      <c r="I22" s="41"/>
    </row>
    <row r="23" spans="1:9" ht="18" customHeight="1" x14ac:dyDescent="0.25">
      <c r="A23" s="41"/>
      <c r="B23" s="41"/>
      <c r="C23" s="41"/>
      <c r="D23" s="41"/>
      <c r="E23" s="41"/>
      <c r="F23" s="41"/>
      <c r="G23" s="41"/>
      <c r="H23" s="41"/>
      <c r="I23" s="41"/>
    </row>
    <row r="24" spans="1:9" ht="18" customHeight="1" x14ac:dyDescent="0.25">
      <c r="A24" s="41"/>
      <c r="B24" s="41"/>
      <c r="C24" s="41"/>
      <c r="D24" s="41"/>
      <c r="E24" s="41"/>
      <c r="F24" s="41"/>
      <c r="G24" s="41"/>
      <c r="H24" s="41"/>
      <c r="I24" s="41"/>
    </row>
    <row r="25" spans="1:9" ht="18" customHeight="1" x14ac:dyDescent="0.25">
      <c r="A25" s="41"/>
      <c r="B25" s="41"/>
      <c r="C25" s="41"/>
      <c r="D25" s="41"/>
      <c r="E25" s="41"/>
      <c r="F25" s="41"/>
      <c r="G25" s="41"/>
      <c r="H25" s="41"/>
      <c r="I25" s="41"/>
    </row>
    <row r="26" spans="1:9" ht="18" customHeight="1" x14ac:dyDescent="0.25">
      <c r="A26" s="41"/>
      <c r="B26" s="41"/>
      <c r="C26" s="41"/>
      <c r="D26" s="41"/>
      <c r="E26" s="41"/>
      <c r="F26" s="41"/>
      <c r="G26" s="41"/>
      <c r="H26" s="41"/>
      <c r="I26" s="41"/>
    </row>
    <row r="27" spans="1:9" ht="18" customHeight="1" x14ac:dyDescent="0.25">
      <c r="A27" s="41"/>
      <c r="B27" s="41"/>
      <c r="C27" s="41"/>
      <c r="D27" s="41"/>
      <c r="E27" s="41"/>
      <c r="F27" s="41"/>
      <c r="G27" s="41"/>
      <c r="H27" s="41"/>
      <c r="I27" s="41"/>
    </row>
    <row r="28" spans="1:9" ht="18" customHeight="1" x14ac:dyDescent="0.25">
      <c r="A28" s="41"/>
      <c r="B28" s="41"/>
      <c r="C28" s="41"/>
      <c r="D28" s="41"/>
      <c r="E28" s="41"/>
      <c r="F28" s="41"/>
      <c r="G28" s="41"/>
      <c r="H28" s="41"/>
      <c r="I28" s="41"/>
    </row>
    <row r="29" spans="1:9" ht="18" customHeight="1" x14ac:dyDescent="0.25">
      <c r="A29" s="41"/>
      <c r="B29" s="41"/>
      <c r="C29" s="41"/>
      <c r="D29" s="41"/>
      <c r="E29" s="41"/>
      <c r="F29" s="41"/>
      <c r="G29" s="41"/>
      <c r="H29" s="41"/>
      <c r="I29" s="41"/>
    </row>
    <row r="30" spans="1:9" ht="18" customHeight="1" x14ac:dyDescent="0.25">
      <c r="A30" s="41"/>
      <c r="B30" s="41"/>
      <c r="C30" s="41"/>
      <c r="D30" s="41"/>
      <c r="E30" s="41"/>
      <c r="F30" s="41"/>
      <c r="G30" s="41"/>
      <c r="H30" s="41"/>
      <c r="I30" s="41"/>
    </row>
    <row r="31" spans="1:9" ht="18" customHeight="1" x14ac:dyDescent="0.25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x14ac:dyDescent="0.25">
      <c r="A32" s="41"/>
      <c r="B32" s="41"/>
      <c r="C32" s="41"/>
      <c r="D32" s="41"/>
      <c r="E32" s="41"/>
      <c r="F32" s="41"/>
      <c r="G32" s="41"/>
      <c r="H32" s="41"/>
      <c r="I32" s="41"/>
    </row>
    <row r="33" spans="1:9" ht="18" customHeight="1" x14ac:dyDescent="0.25">
      <c r="A33" s="41"/>
      <c r="B33" s="41"/>
      <c r="C33" s="41"/>
      <c r="D33" s="41"/>
      <c r="E33" s="41"/>
      <c r="F33" s="41"/>
      <c r="G33" s="41"/>
      <c r="H33" s="41"/>
      <c r="I33" s="41"/>
    </row>
    <row r="34" spans="1:9" ht="18" customHeight="1" x14ac:dyDescent="0.25">
      <c r="A34" s="41"/>
      <c r="B34" s="41"/>
      <c r="C34" s="41"/>
      <c r="D34" s="41"/>
      <c r="E34" s="41"/>
      <c r="F34" s="41"/>
      <c r="G34" s="41"/>
      <c r="H34" s="41"/>
      <c r="I34" s="41"/>
    </row>
    <row r="35" spans="1:9" ht="18" customHeight="1" x14ac:dyDescent="0.25">
      <c r="A35" s="41"/>
      <c r="B35" s="41"/>
      <c r="C35" s="41"/>
      <c r="D35" s="41"/>
      <c r="E35" s="41"/>
      <c r="F35" s="41"/>
      <c r="G35" s="41"/>
      <c r="H35" s="41"/>
      <c r="I35" s="41"/>
    </row>
    <row r="36" spans="1:9" ht="18" customHeight="1" x14ac:dyDescent="0.25">
      <c r="A36" s="41"/>
      <c r="B36" s="41"/>
      <c r="C36" s="41"/>
      <c r="D36" s="41"/>
      <c r="E36" s="41"/>
      <c r="F36" s="41"/>
      <c r="G36" s="41"/>
      <c r="H36" s="41"/>
      <c r="I36" s="41"/>
    </row>
    <row r="37" spans="1:9" ht="18" customHeight="1" x14ac:dyDescent="0.25">
      <c r="A37" s="41"/>
      <c r="B37" s="41"/>
      <c r="C37" s="41"/>
      <c r="D37" s="41"/>
      <c r="E37" s="41"/>
      <c r="F37" s="41"/>
      <c r="G37" s="41"/>
      <c r="H37" s="41"/>
      <c r="I37" s="41"/>
    </row>
    <row r="38" spans="1:9" ht="18" customHeight="1" x14ac:dyDescent="0.25">
      <c r="A38" s="41"/>
      <c r="B38" s="41"/>
      <c r="C38" s="41"/>
      <c r="D38" s="41"/>
      <c r="E38" s="41"/>
      <c r="F38" s="41"/>
      <c r="G38" s="41"/>
      <c r="H38" s="41"/>
      <c r="I38" s="41"/>
    </row>
    <row r="39" spans="1:9" ht="18" customHeight="1" x14ac:dyDescent="0.25">
      <c r="A39" s="41"/>
      <c r="B39" s="41"/>
      <c r="C39" s="41"/>
      <c r="D39" s="41"/>
      <c r="E39" s="41"/>
      <c r="F39" s="41"/>
      <c r="G39" s="41"/>
      <c r="H39" s="41"/>
      <c r="I39" s="41"/>
    </row>
    <row r="40" spans="1:9" ht="18" customHeight="1" x14ac:dyDescent="0.25">
      <c r="A40" s="41"/>
      <c r="B40" s="41"/>
      <c r="C40" s="41"/>
      <c r="D40" s="41"/>
      <c r="E40" s="41"/>
      <c r="F40" s="41"/>
      <c r="G40" s="41"/>
      <c r="H40" s="41"/>
      <c r="I40" s="41"/>
    </row>
    <row r="41" spans="1:9" ht="18" customHeight="1" x14ac:dyDescent="0.25">
      <c r="A41" s="41"/>
      <c r="B41" s="41"/>
      <c r="C41" s="41"/>
      <c r="D41" s="41"/>
      <c r="E41" s="41"/>
      <c r="F41" s="41"/>
      <c r="G41" s="41"/>
      <c r="H41" s="41"/>
      <c r="I41" s="41"/>
    </row>
    <row r="42" spans="1:9" ht="18" customHeight="1" x14ac:dyDescent="0.25">
      <c r="A42" s="41"/>
      <c r="B42" s="41"/>
      <c r="C42" s="41"/>
      <c r="D42" s="41"/>
      <c r="E42" s="41"/>
      <c r="F42" s="41"/>
      <c r="G42" s="41"/>
      <c r="H42" s="41"/>
      <c r="I42" s="41"/>
    </row>
    <row r="43" spans="1:9" ht="18" customHeight="1" x14ac:dyDescent="0.25">
      <c r="A43" s="41"/>
      <c r="B43" s="41"/>
      <c r="C43" s="41"/>
      <c r="D43" s="41"/>
      <c r="E43" s="41"/>
      <c r="F43" s="41"/>
      <c r="G43" s="41"/>
      <c r="H43" s="41"/>
      <c r="I43" s="41"/>
    </row>
    <row r="44" spans="1:9" ht="18" customHeight="1" x14ac:dyDescent="0.25">
      <c r="A44" s="41"/>
      <c r="B44" s="41"/>
      <c r="C44" s="41"/>
      <c r="D44" s="41"/>
      <c r="E44" s="41"/>
      <c r="F44" s="41"/>
      <c r="G44" s="41"/>
      <c r="H44" s="41"/>
      <c r="I44" s="41"/>
    </row>
    <row r="45" spans="1:9" ht="18" customHeight="1" x14ac:dyDescent="0.25">
      <c r="A45" s="41"/>
      <c r="B45" s="41"/>
      <c r="C45" s="41"/>
      <c r="D45" s="41"/>
      <c r="E45" s="41"/>
      <c r="F45" s="41"/>
      <c r="G45" s="41"/>
      <c r="H45" s="41"/>
      <c r="I45" s="41"/>
    </row>
    <row r="46" spans="1:9" ht="18" customHeight="1" x14ac:dyDescent="0.25">
      <c r="A46" s="41"/>
      <c r="B46" s="41"/>
      <c r="C46" s="41"/>
      <c r="D46" s="41"/>
      <c r="E46" s="41"/>
      <c r="F46" s="41"/>
      <c r="G46" s="41"/>
      <c r="H46" s="41"/>
      <c r="I46" s="41"/>
    </row>
    <row r="47" spans="1:9" ht="18" customHeight="1" x14ac:dyDescent="0.25">
      <c r="A47" s="41"/>
      <c r="B47" s="41"/>
      <c r="C47" s="41"/>
      <c r="D47" s="41"/>
      <c r="E47" s="41"/>
      <c r="F47" s="41"/>
      <c r="G47" s="41"/>
      <c r="H47" s="41"/>
      <c r="I47" s="41"/>
    </row>
    <row r="48" spans="1:9" ht="18" customHeight="1" x14ac:dyDescent="0.25">
      <c r="A48" s="41"/>
      <c r="B48" s="41"/>
      <c r="C48" s="41"/>
      <c r="D48" s="41"/>
      <c r="E48" s="41"/>
      <c r="F48" s="41"/>
      <c r="G48" s="41"/>
      <c r="H48" s="41"/>
      <c r="I48" s="41"/>
    </row>
    <row r="49" spans="1:9" ht="18" customHeight="1" x14ac:dyDescent="0.25">
      <c r="A49" s="41"/>
      <c r="B49" s="41"/>
      <c r="C49" s="41"/>
      <c r="D49" s="41"/>
      <c r="E49" s="41"/>
      <c r="F49" s="41"/>
      <c r="G49" s="41"/>
      <c r="H49" s="41"/>
      <c r="I49" s="41"/>
    </row>
    <row r="50" spans="1:9" ht="18" customHeight="1" x14ac:dyDescent="0.25">
      <c r="A50" s="41"/>
      <c r="B50" s="41"/>
      <c r="C50" s="41"/>
      <c r="D50" s="41"/>
      <c r="E50" s="41"/>
      <c r="F50" s="41"/>
      <c r="G50" s="41"/>
      <c r="H50" s="41"/>
      <c r="I50" s="41"/>
    </row>
    <row r="51" spans="1:9" ht="18" customHeight="1" x14ac:dyDescent="0.25">
      <c r="A51" s="41"/>
      <c r="B51" s="41"/>
      <c r="C51" s="41"/>
      <c r="D51" s="41"/>
      <c r="E51" s="41"/>
      <c r="F51" s="41"/>
      <c r="G51" s="41"/>
      <c r="H51" s="41"/>
      <c r="I51" s="41"/>
    </row>
    <row r="52" spans="1:9" ht="18" customHeight="1" x14ac:dyDescent="0.25">
      <c r="A52" s="41"/>
      <c r="B52" s="41"/>
      <c r="C52" s="41"/>
      <c r="D52" s="41"/>
      <c r="E52" s="41"/>
      <c r="F52" s="41"/>
      <c r="G52" s="41"/>
      <c r="H52" s="41"/>
      <c r="I52" s="41"/>
    </row>
    <row r="53" spans="1:9" ht="18" customHeight="1" x14ac:dyDescent="0.25">
      <c r="A53" s="41"/>
      <c r="B53" s="41"/>
      <c r="C53" s="41"/>
      <c r="D53" s="41"/>
      <c r="E53" s="41"/>
      <c r="F53" s="41"/>
      <c r="G53" s="41"/>
      <c r="H53" s="41"/>
      <c r="I53" s="41"/>
    </row>
    <row r="54" spans="1:9" ht="18" customHeight="1" x14ac:dyDescent="0.25">
      <c r="A54" s="41"/>
      <c r="B54" s="41"/>
      <c r="C54" s="41"/>
      <c r="D54" s="41"/>
      <c r="E54" s="41"/>
      <c r="F54" s="41"/>
      <c r="G54" s="41"/>
      <c r="H54" s="41"/>
      <c r="I54" s="41"/>
    </row>
    <row r="55" spans="1:9" ht="18" customHeight="1" x14ac:dyDescent="0.25">
      <c r="A55" s="41"/>
      <c r="B55" s="41"/>
      <c r="C55" s="41"/>
      <c r="D55" s="41"/>
      <c r="E55" s="41"/>
      <c r="F55" s="41"/>
      <c r="G55" s="41"/>
      <c r="H55" s="41"/>
      <c r="I55" s="41"/>
    </row>
    <row r="56" spans="1:9" ht="18" customHeight="1" x14ac:dyDescent="0.25">
      <c r="A56" s="41"/>
      <c r="B56" s="41"/>
      <c r="C56" s="41"/>
      <c r="D56" s="41"/>
      <c r="E56" s="41"/>
      <c r="F56" s="41"/>
      <c r="G56" s="41"/>
      <c r="H56" s="41"/>
      <c r="I56" s="41"/>
    </row>
    <row r="57" spans="1:9" ht="18" customHeight="1" x14ac:dyDescent="0.25">
      <c r="A57" s="41"/>
      <c r="B57" s="41"/>
      <c r="C57" s="41"/>
      <c r="D57" s="41"/>
      <c r="E57" s="41"/>
      <c r="F57" s="41"/>
      <c r="G57" s="41"/>
      <c r="H57" s="41"/>
      <c r="I57" s="41"/>
    </row>
    <row r="58" spans="1:9" ht="18" customHeight="1" x14ac:dyDescent="0.25">
      <c r="A58" s="41"/>
      <c r="B58" s="41"/>
      <c r="C58" s="41"/>
      <c r="D58" s="41"/>
      <c r="E58" s="41"/>
      <c r="F58" s="41"/>
      <c r="G58" s="41"/>
      <c r="H58" s="41"/>
      <c r="I58" s="41"/>
    </row>
    <row r="59" spans="1:9" ht="18" customHeight="1" x14ac:dyDescent="0.25">
      <c r="A59" s="41"/>
      <c r="B59" s="41"/>
      <c r="C59" s="41"/>
      <c r="D59" s="41"/>
      <c r="E59" s="41"/>
      <c r="F59" s="41"/>
      <c r="G59" s="41"/>
      <c r="H59" s="41"/>
      <c r="I59" s="41"/>
    </row>
    <row r="60" spans="1:9" ht="18" customHeight="1" x14ac:dyDescent="0.25">
      <c r="A60" s="41"/>
      <c r="B60" s="41"/>
      <c r="C60" s="41"/>
      <c r="D60" s="41"/>
      <c r="E60" s="41"/>
      <c r="F60" s="41"/>
      <c r="G60" s="41"/>
      <c r="H60" s="41"/>
      <c r="I60" s="41"/>
    </row>
    <row r="61" spans="1:9" ht="18" customHeight="1" x14ac:dyDescent="0.25">
      <c r="A61" s="41"/>
      <c r="B61" s="41"/>
      <c r="C61" s="41"/>
      <c r="D61" s="41"/>
      <c r="E61" s="41"/>
      <c r="F61" s="41"/>
      <c r="G61" s="41"/>
      <c r="H61" s="41"/>
      <c r="I61" s="41"/>
    </row>
    <row r="62" spans="1:9" ht="18" customHeight="1" x14ac:dyDescent="0.25">
      <c r="A62" s="41"/>
      <c r="B62" s="41"/>
      <c r="C62" s="41"/>
      <c r="D62" s="41"/>
      <c r="E62" s="41"/>
      <c r="F62" s="41"/>
      <c r="G62" s="41"/>
      <c r="H62" s="41"/>
      <c r="I62" s="41"/>
    </row>
    <row r="63" spans="1:9" ht="18" customHeight="1" x14ac:dyDescent="0.25">
      <c r="A63" s="41"/>
      <c r="B63" s="41"/>
      <c r="C63" s="41"/>
      <c r="D63" s="41"/>
      <c r="E63" s="41"/>
      <c r="F63" s="41"/>
      <c r="G63" s="41"/>
      <c r="H63" s="41"/>
      <c r="I63" s="41"/>
    </row>
    <row r="64" spans="1:9" ht="18" customHeight="1" x14ac:dyDescent="0.25">
      <c r="A64" s="41"/>
      <c r="B64" s="41"/>
      <c r="C64" s="41"/>
      <c r="D64" s="41"/>
      <c r="E64" s="41"/>
      <c r="F64" s="41"/>
      <c r="G64" s="41"/>
      <c r="H64" s="41"/>
      <c r="I64" s="41"/>
    </row>
    <row r="65" spans="1:9" ht="18" customHeight="1" x14ac:dyDescent="0.25">
      <c r="A65" s="41"/>
      <c r="B65" s="41"/>
      <c r="C65" s="41"/>
      <c r="D65" s="41"/>
      <c r="E65" s="41"/>
      <c r="F65" s="41"/>
      <c r="G65" s="41"/>
      <c r="H65" s="41"/>
      <c r="I65" s="41"/>
    </row>
    <row r="66" spans="1:9" ht="18" customHeight="1" x14ac:dyDescent="0.25">
      <c r="A66" s="41"/>
      <c r="B66" s="41"/>
      <c r="C66" s="41"/>
      <c r="D66" s="41"/>
      <c r="E66" s="41"/>
      <c r="F66" s="41"/>
      <c r="G66" s="41"/>
      <c r="H66" s="41"/>
      <c r="I66" s="41"/>
    </row>
    <row r="67" spans="1:9" ht="18" customHeight="1" x14ac:dyDescent="0.25">
      <c r="A67" s="41"/>
      <c r="B67" s="41"/>
      <c r="C67" s="41"/>
      <c r="D67" s="41"/>
      <c r="E67" s="41"/>
      <c r="F67" s="41"/>
      <c r="G67" s="41"/>
      <c r="H67" s="41"/>
      <c r="I67" s="41"/>
    </row>
    <row r="68" spans="1:9" ht="18" customHeight="1" x14ac:dyDescent="0.25">
      <c r="A68" s="41"/>
      <c r="B68" s="41"/>
      <c r="C68" s="41"/>
      <c r="D68" s="41"/>
      <c r="E68" s="41"/>
      <c r="F68" s="41"/>
      <c r="G68" s="41"/>
      <c r="H68" s="41"/>
      <c r="I68" s="41"/>
    </row>
    <row r="69" spans="1:9" ht="18" customHeight="1" x14ac:dyDescent="0.25">
      <c r="A69" s="41"/>
      <c r="B69" s="41"/>
      <c r="C69" s="41"/>
      <c r="D69" s="41"/>
      <c r="E69" s="41"/>
      <c r="F69" s="41"/>
      <c r="G69" s="41"/>
      <c r="H69" s="41"/>
      <c r="I69" s="41"/>
    </row>
    <row r="70" spans="1:9" ht="18" customHeight="1" x14ac:dyDescent="0.25">
      <c r="A70" s="41"/>
      <c r="B70" s="41"/>
      <c r="C70" s="41"/>
      <c r="D70" s="41"/>
      <c r="E70" s="41"/>
      <c r="F70" s="41"/>
      <c r="G70" s="41"/>
      <c r="H70" s="41"/>
      <c r="I70" s="41"/>
    </row>
    <row r="71" spans="1:9" ht="18" customHeight="1" x14ac:dyDescent="0.25">
      <c r="A71" s="41"/>
      <c r="B71" s="41"/>
      <c r="C71" s="41"/>
      <c r="D71" s="41"/>
      <c r="E71" s="41"/>
      <c r="F71" s="41"/>
      <c r="G71" s="41"/>
      <c r="H71" s="41"/>
      <c r="I71" s="41"/>
    </row>
    <row r="72" spans="1:9" ht="18" customHeight="1" x14ac:dyDescent="0.25">
      <c r="A72" s="41"/>
      <c r="B72" s="41"/>
      <c r="C72" s="41"/>
      <c r="D72" s="41"/>
      <c r="E72" s="41"/>
      <c r="F72" s="41"/>
      <c r="G72" s="41"/>
      <c r="H72" s="41"/>
      <c r="I72" s="41"/>
    </row>
    <row r="73" spans="1:9" ht="18" customHeight="1" x14ac:dyDescent="0.25">
      <c r="A73" s="41"/>
      <c r="B73" s="41"/>
      <c r="C73" s="41"/>
      <c r="D73" s="41"/>
      <c r="E73" s="41"/>
      <c r="F73" s="41"/>
      <c r="G73" s="41"/>
      <c r="H73" s="41"/>
      <c r="I73" s="41"/>
    </row>
    <row r="74" spans="1:9" ht="18" customHeight="1" x14ac:dyDescent="0.25">
      <c r="A74" s="41"/>
      <c r="B74" s="41"/>
      <c r="C74" s="41"/>
      <c r="D74" s="41"/>
      <c r="E74" s="41"/>
      <c r="F74" s="41"/>
      <c r="G74" s="41"/>
      <c r="H74" s="41"/>
      <c r="I74" s="41"/>
    </row>
    <row r="75" spans="1:9" ht="18" customHeight="1" x14ac:dyDescent="0.25">
      <c r="A75" s="41"/>
      <c r="B75" s="41"/>
      <c r="C75" s="41"/>
      <c r="D75" s="41"/>
      <c r="E75" s="41"/>
      <c r="F75" s="41"/>
      <c r="G75" s="41"/>
      <c r="H75" s="41"/>
      <c r="I75" s="41"/>
    </row>
    <row r="76" spans="1:9" ht="18" customHeight="1" x14ac:dyDescent="0.25">
      <c r="A76" s="41"/>
      <c r="B76" s="41"/>
      <c r="C76" s="41"/>
      <c r="D76" s="41"/>
      <c r="E76" s="41"/>
      <c r="F76" s="41"/>
      <c r="G76" s="41"/>
      <c r="H76" s="41"/>
      <c r="I76" s="41"/>
    </row>
    <row r="77" spans="1:9" ht="18" customHeight="1" x14ac:dyDescent="0.25">
      <c r="A77" s="41"/>
      <c r="B77" s="41"/>
      <c r="C77" s="41"/>
      <c r="D77" s="41"/>
      <c r="E77" s="41"/>
      <c r="F77" s="41"/>
      <c r="G77" s="41"/>
      <c r="H77" s="41"/>
      <c r="I77" s="41"/>
    </row>
    <row r="78" spans="1:9" ht="18" customHeight="1" x14ac:dyDescent="0.25">
      <c r="A78" s="41"/>
      <c r="B78" s="41"/>
      <c r="C78" s="41"/>
      <c r="D78" s="41"/>
      <c r="E78" s="41"/>
      <c r="F78" s="41"/>
      <c r="G78" s="41"/>
      <c r="H78" s="41"/>
      <c r="I78" s="41"/>
    </row>
    <row r="79" spans="1:9" ht="18" customHeight="1" x14ac:dyDescent="0.25">
      <c r="A79" s="41"/>
      <c r="B79" s="41"/>
      <c r="C79" s="41"/>
      <c r="D79" s="41"/>
      <c r="E79" s="41"/>
      <c r="F79" s="41"/>
      <c r="G79" s="41"/>
      <c r="H79" s="41"/>
      <c r="I79" s="41"/>
    </row>
    <row r="80" spans="1:9" ht="18" customHeight="1" x14ac:dyDescent="0.25">
      <c r="A80" s="41"/>
      <c r="B80" s="41"/>
      <c r="C80" s="41"/>
      <c r="D80" s="41"/>
      <c r="E80" s="41"/>
      <c r="F80" s="41"/>
      <c r="G80" s="41"/>
      <c r="H80" s="41"/>
      <c r="I80" s="41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MAESTRO</vt:lpstr>
      <vt:lpstr>Hoja1</vt:lpstr>
      <vt:lpstr>CONTROL ASISTENCIA</vt:lpstr>
      <vt:lpstr>DISTRIBUCION VIP</vt:lpstr>
      <vt:lpstr>LISTADO VIP</vt:lpstr>
      <vt:lpstr>SIN ASIGNAR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Carter</dc:creator>
  <cp:lastModifiedBy>IGNACIO PERALTA VARGAS</cp:lastModifiedBy>
  <dcterms:created xsi:type="dcterms:W3CDTF">2026-06-12T15:39:53Z</dcterms:created>
  <dcterms:modified xsi:type="dcterms:W3CDTF">2026-06-17T22:24:55Z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2026-06-17T22:24:55Z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ee64c09b-2aa6-4836-abab-d2a1b837a4ce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