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ipera\Desktop\Ceremonia-app\"/>
    </mc:Choice>
  </mc:AlternateContent>
  <xr:revisionPtr revIDLastSave="0" documentId="13_ncr:1_{E1D4DA48-AB66-440C-AD00-4002C76B76D9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MAESTRO" sheetId="1" r:id="rId1"/>
    <sheet name="TABLA 2" sheetId="18" r:id="rId2"/>
    <sheet name="DISTRIBUCION VIP" sheetId="3" r:id="rId3"/>
  </sheets>
  <definedNames>
    <definedName name="_xlnm._FilterDatabase" localSheetId="0" hidden="1">MAESTRO!$A$1:$CA$839</definedName>
  </definedNames>
  <calcPr calcId="191029" forceFullCalc="1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14" i="1" l="1"/>
  <c r="A463" i="1"/>
  <c r="A370" i="1"/>
  <c r="A439" i="1"/>
  <c r="A379" i="1"/>
  <c r="A490" i="1"/>
  <c r="A323" i="1"/>
  <c r="A498" i="1"/>
  <c r="A607" i="1"/>
  <c r="A368" i="1"/>
  <c r="A512" i="1"/>
  <c r="A178" i="1"/>
  <c r="A550" i="1"/>
  <c r="A404" i="1"/>
  <c r="A372" i="1"/>
  <c r="A733" i="1"/>
  <c r="A417" i="1"/>
  <c r="A420" i="1"/>
  <c r="A478" i="1"/>
  <c r="A430" i="1"/>
  <c r="A421" i="1"/>
  <c r="A549" i="1"/>
  <c r="A517" i="1"/>
  <c r="A503" i="1"/>
  <c r="A505" i="1"/>
  <c r="A513" i="1"/>
  <c r="A304" i="1"/>
  <c r="A397" i="1"/>
  <c r="A280" i="1"/>
  <c r="A286" i="1"/>
  <c r="A605" i="1"/>
  <c r="A268" i="1"/>
  <c r="A697" i="1"/>
  <c r="A365" i="1"/>
  <c r="A394" i="1"/>
  <c r="A695" i="1"/>
  <c r="A677" i="1"/>
  <c r="A698" i="1"/>
  <c r="A699" i="1"/>
  <c r="A700" i="1"/>
  <c r="A701" i="1"/>
  <c r="A448" i="1"/>
  <c r="A681" i="1"/>
  <c r="A682" i="1"/>
  <c r="A179" i="1"/>
  <c r="A664" i="1"/>
  <c r="A640" i="1"/>
  <c r="A639" i="1"/>
  <c r="A631" i="1"/>
  <c r="A734" i="1"/>
  <c r="A324" i="1"/>
  <c r="A696" i="1"/>
  <c r="A731" i="1"/>
  <c r="A735" i="1"/>
  <c r="A838" i="1" l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632" i="1"/>
  <c r="A646" i="1"/>
  <c r="A688" i="1"/>
  <c r="A686" i="1"/>
  <c r="A685" i="1"/>
  <c r="A684" i="1"/>
  <c r="A736" i="1"/>
  <c r="A717" i="1"/>
  <c r="A737" i="1"/>
  <c r="A716" i="1"/>
  <c r="A714" i="1"/>
  <c r="A721" i="1"/>
  <c r="A722" i="1"/>
  <c r="A680" i="1"/>
  <c r="A649" i="1"/>
  <c r="A724" i="1"/>
  <c r="A723" i="1"/>
  <c r="A725" i="1"/>
  <c r="A728" i="1"/>
  <c r="A729" i="1"/>
  <c r="A730" i="1"/>
  <c r="A738" i="1"/>
  <c r="A719" i="1"/>
  <c r="A650" i="1"/>
  <c r="A679" i="1"/>
  <c r="A678" i="1"/>
  <c r="A675" i="1"/>
  <c r="A670" i="1"/>
  <c r="A654" i="1"/>
  <c r="A655" i="1"/>
  <c r="A663" i="1"/>
  <c r="A662" i="1"/>
  <c r="A661" i="1"/>
  <c r="A660" i="1"/>
  <c r="A656" i="1"/>
  <c r="A653" i="1"/>
  <c r="A652" i="1"/>
  <c r="A703" i="1"/>
  <c r="A710" i="1"/>
  <c r="A711" i="1"/>
  <c r="A718" i="1"/>
  <c r="A702" i="1"/>
  <c r="A732" i="1"/>
  <c r="A657" i="1"/>
  <c r="A648" i="1"/>
  <c r="A693" i="1"/>
  <c r="A647" i="1"/>
  <c r="A645" i="1"/>
  <c r="A644" i="1"/>
  <c r="A643" i="1"/>
  <c r="A642" i="1"/>
  <c r="A687" i="1"/>
  <c r="A637" i="1"/>
  <c r="A429" i="1"/>
  <c r="A562" i="1"/>
  <c r="A683" i="1"/>
  <c r="A560" i="1"/>
  <c r="A539" i="1"/>
  <c r="A471" i="1"/>
  <c r="A469" i="1"/>
  <c r="A451" i="1"/>
  <c r="A658" i="1"/>
  <c r="A596" i="1"/>
  <c r="A715" i="1"/>
  <c r="A727" i="1"/>
  <c r="A669" i="1"/>
  <c r="A713" i="1"/>
  <c r="A641" i="1"/>
  <c r="A665" i="1"/>
  <c r="A629" i="1"/>
  <c r="A712" i="1"/>
  <c r="A446" i="1"/>
  <c r="A441" i="1"/>
  <c r="A659" i="1"/>
  <c r="A671" i="1"/>
  <c r="A672" i="1"/>
  <c r="A720" i="1"/>
  <c r="A673" i="1"/>
  <c r="A674" i="1"/>
  <c r="A399" i="1"/>
  <c r="A398" i="1"/>
  <c r="A518" i="1"/>
  <c r="A529" i="1"/>
  <c r="A636" i="1"/>
  <c r="A676" i="1"/>
  <c r="A415" i="1"/>
  <c r="A668" i="1"/>
  <c r="A651" i="1"/>
  <c r="A638" i="1"/>
  <c r="A635" i="1"/>
  <c r="A634" i="1"/>
  <c r="A633" i="1"/>
  <c r="A593" i="1"/>
  <c r="A516" i="1"/>
  <c r="A624" i="1"/>
  <c r="A508" i="1"/>
  <c r="A507" i="1"/>
  <c r="A621" i="1"/>
  <c r="A620" i="1"/>
  <c r="A619" i="1"/>
  <c r="A618" i="1"/>
  <c r="A598" i="1"/>
  <c r="A616" i="1"/>
  <c r="A601" i="1"/>
  <c r="A614" i="1"/>
  <c r="A613" i="1"/>
  <c r="A612" i="1"/>
  <c r="A611" i="1"/>
  <c r="A610" i="1"/>
  <c r="A609" i="1"/>
  <c r="A608" i="1"/>
  <c r="A627" i="1"/>
  <c r="A606" i="1"/>
  <c r="A528" i="1"/>
  <c r="A604" i="1"/>
  <c r="A493" i="1"/>
  <c r="A602" i="1"/>
  <c r="A492" i="1"/>
  <c r="A491" i="1"/>
  <c r="A599" i="1"/>
  <c r="A406" i="1"/>
  <c r="A603" i="1"/>
  <c r="A595" i="1"/>
  <c r="A594" i="1"/>
  <c r="A322" i="1"/>
  <c r="A386" i="1"/>
  <c r="A591" i="1"/>
  <c r="A590" i="1"/>
  <c r="A297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296" i="1"/>
  <c r="A573" i="1"/>
  <c r="A572" i="1"/>
  <c r="A571" i="1"/>
  <c r="A570" i="1"/>
  <c r="A569" i="1"/>
  <c r="A291" i="1"/>
  <c r="A341" i="1"/>
  <c r="A564" i="1"/>
  <c r="A563" i="1"/>
  <c r="A407" i="1"/>
  <c r="A561" i="1"/>
  <c r="A357" i="1"/>
  <c r="A559" i="1"/>
  <c r="A558" i="1"/>
  <c r="A557" i="1"/>
  <c r="A496" i="1"/>
  <c r="A351" i="1"/>
  <c r="A597" i="1"/>
  <c r="A553" i="1"/>
  <c r="A552" i="1"/>
  <c r="A385" i="1"/>
  <c r="A384" i="1"/>
  <c r="A382" i="1"/>
  <c r="A548" i="1"/>
  <c r="A381" i="1"/>
  <c r="A380" i="1"/>
  <c r="A545" i="1"/>
  <c r="A544" i="1"/>
  <c r="A622" i="1"/>
  <c r="A555" i="1"/>
  <c r="A541" i="1"/>
  <c r="A540" i="1"/>
  <c r="A367" i="1"/>
  <c r="A739" i="1"/>
  <c r="A741" i="1"/>
  <c r="A426" i="1"/>
  <c r="A535" i="1"/>
  <c r="A740" i="1"/>
  <c r="A326" i="1"/>
  <c r="A258" i="1"/>
  <c r="A333" i="1"/>
  <c r="A527" i="1"/>
  <c r="A526" i="1"/>
  <c r="A525" i="1"/>
  <c r="A524" i="1"/>
  <c r="A523" i="1"/>
  <c r="A400" i="1"/>
  <c r="A521" i="1"/>
  <c r="A252" i="1"/>
  <c r="A519" i="1"/>
  <c r="A246" i="1"/>
  <c r="A180" i="1"/>
  <c r="A667" i="1"/>
  <c r="A479" i="1"/>
  <c r="A509" i="1"/>
  <c r="A481" i="1"/>
  <c r="A392" i="1"/>
  <c r="A506" i="1"/>
  <c r="A615" i="1"/>
  <c r="A514" i="1"/>
  <c r="A501" i="1"/>
  <c r="A500" i="1"/>
  <c r="A499" i="1"/>
  <c r="A464" i="1"/>
  <c r="A547" i="1"/>
  <c r="A546" i="1"/>
  <c r="A495" i="1"/>
  <c r="A494" i="1"/>
  <c r="A504" i="1"/>
  <c r="A502" i="1"/>
  <c r="A472" i="1"/>
  <c r="A554" i="1"/>
  <c r="A489" i="1"/>
  <c r="A487" i="1"/>
  <c r="A485" i="1"/>
  <c r="A373" i="1"/>
  <c r="A422" i="1"/>
  <c r="A374" i="1"/>
  <c r="A425" i="1"/>
  <c r="A480" i="1"/>
  <c r="A272" i="1"/>
  <c r="A477" i="1"/>
  <c r="A474" i="1"/>
  <c r="A626" i="1"/>
  <c r="A475" i="1"/>
  <c r="A334" i="1"/>
  <c r="A470" i="1"/>
  <c r="A412" i="1"/>
  <c r="A467" i="1"/>
  <c r="A466" i="1"/>
  <c r="A340" i="1"/>
  <c r="A359" i="1"/>
  <c r="A284" i="1"/>
  <c r="A462" i="1"/>
  <c r="A461" i="1"/>
  <c r="A460" i="1"/>
  <c r="A556" i="1"/>
  <c r="A458" i="1"/>
  <c r="A457" i="1"/>
  <c r="A456" i="1"/>
  <c r="A459" i="1"/>
  <c r="A454" i="1"/>
  <c r="A453" i="1"/>
  <c r="A257" i="1"/>
  <c r="A262" i="1"/>
  <c r="A411" i="1"/>
  <c r="A449" i="1"/>
  <c r="A410" i="1"/>
  <c r="A447" i="1"/>
  <c r="A409" i="1"/>
  <c r="A445" i="1"/>
  <c r="A408" i="1"/>
  <c r="A443" i="1"/>
  <c r="A444" i="1"/>
  <c r="A442" i="1"/>
  <c r="A440" i="1"/>
  <c r="A726" i="1"/>
  <c r="A438" i="1"/>
  <c r="A437" i="1"/>
  <c r="A436" i="1"/>
  <c r="A435" i="1"/>
  <c r="A434" i="1"/>
  <c r="A433" i="1"/>
  <c r="A432" i="1"/>
  <c r="A270" i="1"/>
  <c r="A287" i="1"/>
  <c r="A292" i="1"/>
  <c r="A428" i="1"/>
  <c r="A427" i="1"/>
  <c r="A567" i="1"/>
  <c r="A293" i="1"/>
  <c r="A299" i="1"/>
  <c r="A423" i="1"/>
  <c r="A405" i="1"/>
  <c r="A419" i="1"/>
  <c r="A418" i="1"/>
  <c r="A416" i="1"/>
  <c r="A413" i="1"/>
  <c r="A185" i="1"/>
  <c r="A184" i="1"/>
  <c r="A182" i="1"/>
  <c r="A181" i="1"/>
  <c r="A177" i="1"/>
  <c r="A175" i="1"/>
  <c r="A172" i="1"/>
  <c r="A171" i="1"/>
  <c r="A709" i="1"/>
  <c r="A708" i="1"/>
  <c r="A402" i="1"/>
  <c r="A536" i="1"/>
  <c r="A707" i="1"/>
  <c r="A706" i="1"/>
  <c r="A705" i="1"/>
  <c r="A689" i="1"/>
  <c r="A690" i="1"/>
  <c r="A533" i="1"/>
  <c r="A704" i="1"/>
  <c r="A691" i="1"/>
  <c r="A271" i="1"/>
  <c r="A534" i="1"/>
  <c r="A537" i="1"/>
  <c r="A389" i="1"/>
  <c r="A692" i="1"/>
  <c r="A387" i="1"/>
  <c r="A694" i="1"/>
  <c r="A565" i="1"/>
  <c r="A566" i="1"/>
  <c r="A383" i="1"/>
  <c r="A568" i="1"/>
  <c r="A551" i="1"/>
  <c r="A589" i="1"/>
  <c r="A574" i="1"/>
  <c r="A543" i="1"/>
  <c r="A538" i="1"/>
  <c r="A530" i="1"/>
  <c r="A265" i="1"/>
  <c r="A283" i="1"/>
  <c r="A285" i="1"/>
  <c r="A294" i="1"/>
  <c r="A369" i="1"/>
  <c r="A295" i="1"/>
  <c r="A313" i="1"/>
  <c r="A366" i="1"/>
  <c r="A515" i="1"/>
  <c r="A364" i="1"/>
  <c r="A497" i="1"/>
  <c r="A362" i="1"/>
  <c r="A361" i="1"/>
  <c r="A360" i="1"/>
  <c r="A488" i="1"/>
  <c r="A358" i="1"/>
  <c r="A532" i="1"/>
  <c r="A356" i="1"/>
  <c r="A355" i="1"/>
  <c r="A354" i="1"/>
  <c r="A353" i="1"/>
  <c r="A352" i="1"/>
  <c r="A486" i="1"/>
  <c r="A484" i="1"/>
  <c r="A349" i="1"/>
  <c r="A348" i="1"/>
  <c r="A347" i="1"/>
  <c r="A483" i="1"/>
  <c r="A345" i="1"/>
  <c r="A482" i="1"/>
  <c r="A391" i="1"/>
  <c r="A342" i="1"/>
  <c r="A337" i="1"/>
  <c r="A338" i="1"/>
  <c r="A307" i="1"/>
  <c r="A305" i="1"/>
  <c r="A301" i="1"/>
  <c r="A336" i="1"/>
  <c r="A335" i="1"/>
  <c r="A251" i="1"/>
  <c r="A390" i="1"/>
  <c r="A332" i="1"/>
  <c r="A331" i="1"/>
  <c r="A315" i="1"/>
  <c r="A248" i="1"/>
  <c r="A511" i="1"/>
  <c r="A327" i="1"/>
  <c r="A510" i="1"/>
  <c r="A388" i="1"/>
  <c r="A625" i="1"/>
  <c r="A316" i="1"/>
  <c r="A320" i="1"/>
  <c r="A592" i="1"/>
  <c r="A277" i="1"/>
  <c r="A319" i="1"/>
  <c r="A318" i="1"/>
  <c r="A317" i="1"/>
  <c r="A424" i="1"/>
  <c r="A339" i="1"/>
  <c r="A314" i="1"/>
  <c r="A630" i="1"/>
  <c r="A312" i="1"/>
  <c r="A311" i="1"/>
  <c r="A310" i="1"/>
  <c r="A309" i="1"/>
  <c r="A308" i="1"/>
  <c r="A306" i="1"/>
  <c r="A623" i="1"/>
  <c r="A302" i="1"/>
  <c r="A300" i="1"/>
  <c r="A375" i="1"/>
  <c r="A378" i="1"/>
  <c r="A377" i="1"/>
  <c r="A476" i="1"/>
  <c r="A473" i="1"/>
  <c r="A450" i="1"/>
  <c r="A290" i="1"/>
  <c r="A289" i="1"/>
  <c r="A288" i="1"/>
  <c r="A376" i="1"/>
  <c r="A452" i="1"/>
  <c r="A431" i="1"/>
  <c r="A468" i="1"/>
  <c r="A282" i="1"/>
  <c r="A281" i="1"/>
  <c r="A329" i="1"/>
  <c r="A279" i="1"/>
  <c r="A278" i="1"/>
  <c r="A328" i="1"/>
  <c r="A276" i="1"/>
  <c r="A275" i="1"/>
  <c r="A274" i="1"/>
  <c r="A273" i="1"/>
  <c r="A325" i="1"/>
  <c r="A321" i="1"/>
  <c r="A343" i="1"/>
  <c r="A269" i="1"/>
  <c r="A344" i="1"/>
  <c r="A267" i="1"/>
  <c r="A266" i="1"/>
  <c r="A303" i="1"/>
  <c r="A264" i="1"/>
  <c r="A263" i="1"/>
  <c r="A346" i="1"/>
  <c r="A261" i="1"/>
  <c r="A260" i="1"/>
  <c r="A259" i="1"/>
  <c r="A350" i="1"/>
  <c r="A363" i="1"/>
  <c r="A255" i="1"/>
  <c r="A254" i="1"/>
  <c r="A253" i="1"/>
  <c r="A403" i="1"/>
  <c r="A250" i="1"/>
  <c r="A249" i="1"/>
  <c r="A401" i="1"/>
  <c r="A247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0" i="1"/>
  <c r="A189" i="1"/>
  <c r="A188" i="1"/>
  <c r="A187" i="1"/>
  <c r="A186" i="1"/>
  <c r="A140" i="1"/>
  <c r="A30" i="1"/>
  <c r="A183" i="1"/>
  <c r="A542" i="1"/>
  <c r="A371" i="1"/>
  <c r="A628" i="1"/>
  <c r="A600" i="1"/>
  <c r="A396" i="1"/>
  <c r="A176" i="1"/>
  <c r="A395" i="1"/>
  <c r="A174" i="1"/>
  <c r="A173" i="1"/>
  <c r="A522" i="1"/>
  <c r="A520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465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7" i="1"/>
  <c r="A76" i="1"/>
  <c r="A75" i="1"/>
  <c r="A74" i="1"/>
  <c r="A73" i="1"/>
  <c r="A72" i="1"/>
  <c r="A71" i="1"/>
  <c r="A70" i="1"/>
  <c r="A69" i="1"/>
  <c r="A68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29" i="1"/>
  <c r="A28" i="1"/>
  <c r="A27" i="1"/>
  <c r="A15" i="1"/>
  <c r="A14" i="1"/>
  <c r="A13" i="1"/>
  <c r="A12" i="1"/>
  <c r="A11" i="1"/>
  <c r="A10" i="1"/>
  <c r="A9" i="1"/>
  <c r="A8" i="1"/>
  <c r="A7" i="1"/>
  <c r="A6" i="1"/>
  <c r="A4" i="1"/>
  <c r="A3" i="1"/>
  <c r="A2" i="1"/>
  <c r="A16" i="1" l="1"/>
  <c r="A20" i="1"/>
  <c r="A24" i="1"/>
  <c r="A17" i="1"/>
  <c r="A21" i="1"/>
  <c r="A26" i="1"/>
  <c r="A18" i="1"/>
  <c r="A22" i="1"/>
  <c r="A19" i="1"/>
  <c r="A23" i="1"/>
</calcChain>
</file>

<file path=xl/sharedStrings.xml><?xml version="1.0" encoding="utf-8"?>
<sst xmlns="http://schemas.openxmlformats.org/spreadsheetml/2006/main" count="6749" uniqueCount="2397">
  <si>
    <t>N°</t>
  </si>
  <si>
    <t>FUENTE</t>
  </si>
  <si>
    <t>TRATAMIENTO</t>
  </si>
  <si>
    <t>TRIBUNA</t>
  </si>
  <si>
    <t>NOMBRE</t>
  </si>
  <si>
    <t>APE. P.</t>
  </si>
  <si>
    <t>APE. M.</t>
  </si>
  <si>
    <t>AST.</t>
  </si>
  <si>
    <t>CARGO</t>
  </si>
  <si>
    <t>ASIENTO</t>
  </si>
  <si>
    <t>OPA</t>
  </si>
  <si>
    <t>Su Excelencia</t>
  </si>
  <si>
    <t>José Antonio</t>
  </si>
  <si>
    <t>Kast</t>
  </si>
  <si>
    <t>Rist</t>
  </si>
  <si>
    <t>SI</t>
  </si>
  <si>
    <t>* Presidente de la República</t>
  </si>
  <si>
    <t>VIP</t>
  </si>
  <si>
    <t>Primera Dama</t>
  </si>
  <si>
    <t>María Pía</t>
  </si>
  <si>
    <t>Adriasola</t>
  </si>
  <si>
    <t>Barroihet</t>
  </si>
  <si>
    <t>Esposa del Presidente de la República</t>
  </si>
  <si>
    <t>Ministro</t>
  </si>
  <si>
    <t>Fernando</t>
  </si>
  <si>
    <t>Barros</t>
  </si>
  <si>
    <t>Tocornal</t>
  </si>
  <si>
    <t>*Ministro de Defensa Nacional</t>
  </si>
  <si>
    <t>Almirante</t>
  </si>
  <si>
    <t>Cabrera</t>
  </si>
  <si>
    <t>Salazar</t>
  </si>
  <si>
    <t>*Comandante en Jefe de la Armada</t>
  </si>
  <si>
    <t>Señora</t>
  </si>
  <si>
    <t>Roxana</t>
  </si>
  <si>
    <t>Mery</t>
  </si>
  <si>
    <t>Casella</t>
  </si>
  <si>
    <t>Esposa del Comandante en Jefe de la Armada</t>
  </si>
  <si>
    <t>María Cecilia</t>
  </si>
  <si>
    <t>Morel</t>
  </si>
  <si>
    <t>Montes</t>
  </si>
  <si>
    <t>PENDIENTE</t>
  </si>
  <si>
    <t>Honorable Senador</t>
  </si>
  <si>
    <t xml:space="preserve">Iván </t>
  </si>
  <si>
    <t>Moreira</t>
  </si>
  <si>
    <t>*Presidenta del Senado (Representante).</t>
  </si>
  <si>
    <t>Honorable Diputado</t>
  </si>
  <si>
    <t>Jorge</t>
  </si>
  <si>
    <t>Alessandri</t>
  </si>
  <si>
    <t>Vergara</t>
  </si>
  <si>
    <t>NO</t>
  </si>
  <si>
    <t>Presidente de la Cámara de Diputados</t>
  </si>
  <si>
    <t>Gabriel</t>
  </si>
  <si>
    <t>Boric</t>
  </si>
  <si>
    <t>Font</t>
  </si>
  <si>
    <t>Ex Presidente de la República</t>
  </si>
  <si>
    <t>Michelle</t>
  </si>
  <si>
    <t>Bachelet</t>
  </si>
  <si>
    <t>Jeria</t>
  </si>
  <si>
    <t>Ex Presidenta de la República</t>
  </si>
  <si>
    <t>Ricardo</t>
  </si>
  <si>
    <t>Lagos</t>
  </si>
  <si>
    <t>Escobar</t>
  </si>
  <si>
    <t>Eduardo</t>
  </si>
  <si>
    <t>Frei</t>
  </si>
  <si>
    <t>Ruiz-tagle</t>
  </si>
  <si>
    <t>Presidente</t>
  </si>
  <si>
    <t>Daniela</t>
  </si>
  <si>
    <t>Marzi</t>
  </si>
  <si>
    <t>Muñoz</t>
  </si>
  <si>
    <t>Presidente del Tribunal Constitucional</t>
  </si>
  <si>
    <t>Contralora</t>
  </si>
  <si>
    <t>Dorothy</t>
  </si>
  <si>
    <t>Pérez</t>
  </si>
  <si>
    <t>Gutiérrez</t>
  </si>
  <si>
    <t>Contralora General de la República</t>
  </si>
  <si>
    <t>Fiscal</t>
  </si>
  <si>
    <t>Ángel</t>
  </si>
  <si>
    <t>Valencia</t>
  </si>
  <si>
    <t>Vásquez</t>
  </si>
  <si>
    <t>Fiscal Nacional del Ministerio Público</t>
  </si>
  <si>
    <t>Claudio</t>
  </si>
  <si>
    <t>Alvarado</t>
  </si>
  <si>
    <t>Andrade</t>
  </si>
  <si>
    <t>Biministro del Interior y Secretario General de Gobierno</t>
  </si>
  <si>
    <t>Francisco</t>
  </si>
  <si>
    <t>Mackenna</t>
  </si>
  <si>
    <t>Ministro de Relaciones Exteriores</t>
  </si>
  <si>
    <t>Quiroz</t>
  </si>
  <si>
    <t>Castro</t>
  </si>
  <si>
    <t>Ministro de Hacienda</t>
  </si>
  <si>
    <t>Daniel</t>
  </si>
  <si>
    <t>Mas</t>
  </si>
  <si>
    <t>Valdés</t>
  </si>
  <si>
    <t>Biministro de Minería, Economía y Turismo</t>
  </si>
  <si>
    <t>María Paz</t>
  </si>
  <si>
    <t>Arzola</t>
  </si>
  <si>
    <t>González</t>
  </si>
  <si>
    <t>Ministra de Educación</t>
  </si>
  <si>
    <t>Louis</t>
  </si>
  <si>
    <t>De Grange</t>
  </si>
  <si>
    <t>Concha</t>
  </si>
  <si>
    <t>Biministro de Obras Publicas, Transporte y Telecomunicaciones</t>
  </si>
  <si>
    <t>Catalina</t>
  </si>
  <si>
    <t>Parot</t>
  </si>
  <si>
    <t>Donoso</t>
  </si>
  <si>
    <t>Ministra de Bienes Nacionales</t>
  </si>
  <si>
    <t>Ximena</t>
  </si>
  <si>
    <t>Rincón</t>
  </si>
  <si>
    <t>Ministra de Energía</t>
  </si>
  <si>
    <t>Francisca</t>
  </si>
  <si>
    <t>Toledo</t>
  </si>
  <si>
    <t>Echegaray</t>
  </si>
  <si>
    <t>Ministra del Medio Ambiente</t>
  </si>
  <si>
    <t>Undurruga</t>
  </si>
  <si>
    <t>Gazitúa</t>
  </si>
  <si>
    <t>Ministro de las Culturas, las Artes y el Patrimonio</t>
  </si>
  <si>
    <t>Lincolao</t>
  </si>
  <si>
    <t>Gates</t>
  </si>
  <si>
    <t>Ministra de Ciencia, Tecnología, Conocimiento e Innovación</t>
  </si>
  <si>
    <t>Burgos</t>
  </si>
  <si>
    <t>Varela</t>
  </si>
  <si>
    <t>Ex Ministro de Defensa Nacional</t>
  </si>
  <si>
    <t>Maya</t>
  </si>
  <si>
    <t>Fernández</t>
  </si>
  <si>
    <t>Allende</t>
  </si>
  <si>
    <t>Ex Ministra de Defensa Nacional</t>
  </si>
  <si>
    <t>Adriana</t>
  </si>
  <si>
    <t>Delpiano</t>
  </si>
  <si>
    <t>Puelma</t>
  </si>
  <si>
    <t>Excelentísima</t>
  </si>
  <si>
    <t>Kenza</t>
  </si>
  <si>
    <t>El Ghali</t>
  </si>
  <si>
    <t>Embajador de Marruecos</t>
  </si>
  <si>
    <t>Paulo</t>
  </si>
  <si>
    <t>Soares</t>
  </si>
  <si>
    <t>Pacheco</t>
  </si>
  <si>
    <t>Embajador de Brasil en Chile</t>
  </si>
  <si>
    <t>Niu</t>
  </si>
  <si>
    <t>Qingbao</t>
  </si>
  <si>
    <t>Embajador de la República Popular China en Chile</t>
  </si>
  <si>
    <t>Johanna</t>
  </si>
  <si>
    <t>Kotkajarvi</t>
  </si>
  <si>
    <t>Embajadora de Finlandia en Chile</t>
  </si>
  <si>
    <t>Valeria</t>
  </si>
  <si>
    <t>Biagiotti</t>
  </si>
  <si>
    <t>Embajadora de Italia en Chile</t>
  </si>
  <si>
    <t>Hak</t>
  </si>
  <si>
    <t>Jae Kim</t>
  </si>
  <si>
    <t>Embajadora de Corea en Chile</t>
  </si>
  <si>
    <t>Laura</t>
  </si>
  <si>
    <t>Moreno</t>
  </si>
  <si>
    <t>Rodriguez</t>
  </si>
  <si>
    <t>Embajadora de Mexico en Chile</t>
  </si>
  <si>
    <t>Faurie</t>
  </si>
  <si>
    <t>Embajador de Argentina en Chile</t>
  </si>
  <si>
    <t>Andrew James</t>
  </si>
  <si>
    <t>Barrit</t>
  </si>
  <si>
    <t>Martin</t>
  </si>
  <si>
    <t>Embajador de Australia en Chile</t>
  </si>
  <si>
    <t>Cyrille</t>
  </si>
  <si>
    <t>Rogeau</t>
  </si>
  <si>
    <t>Embajador de Francia en Chile</t>
  </si>
  <si>
    <t>Rigoli</t>
  </si>
  <si>
    <t>Embajador de Nueva Zelandia en Chile</t>
  </si>
  <si>
    <t>Ahmet</t>
  </si>
  <si>
    <t>Ihsan</t>
  </si>
  <si>
    <t>Kiziltan</t>
  </si>
  <si>
    <t>Embajadora de Turquia en Chile</t>
  </si>
  <si>
    <t>Susanne</t>
  </si>
  <si>
    <t>Fries-gaier</t>
  </si>
  <si>
    <t>Embajadora de Alemania en Chile</t>
  </si>
  <si>
    <t>Sebastián</t>
  </si>
  <si>
    <t>Guanumen</t>
  </si>
  <si>
    <t>Parra</t>
  </si>
  <si>
    <t>Embajador de Colombia en Chile</t>
  </si>
  <si>
    <t>Karolina Linda</t>
  </si>
  <si>
    <t>Guay</t>
  </si>
  <si>
    <t>Embajadora de Canadá en Chile</t>
  </si>
  <si>
    <t>Per</t>
  </si>
  <si>
    <t>Pollen</t>
  </si>
  <si>
    <t>Nilsen</t>
  </si>
  <si>
    <t>Embajador de Noruega en Chile</t>
  </si>
  <si>
    <t>Ana Inés</t>
  </si>
  <si>
    <t>Rocanova</t>
  </si>
  <si>
    <t>Rodríguez</t>
  </si>
  <si>
    <t>Embajadora de la República Oriental del Uruguay en Chile</t>
  </si>
  <si>
    <t>Elke</t>
  </si>
  <si>
    <t>Schaapveld</t>
  </si>
  <si>
    <t>E/v Merks</t>
  </si>
  <si>
    <t>Embajadora de los Países Bajos en Chile</t>
  </si>
  <si>
    <t>Lotty Farah</t>
  </si>
  <si>
    <t>Abdo</t>
  </si>
  <si>
    <t>Embajadora de Ecuador en Chile</t>
  </si>
  <si>
    <t>Peter</t>
  </si>
  <si>
    <t>Camino</t>
  </si>
  <si>
    <t>Cannock</t>
  </si>
  <si>
    <t>Embajador de Perú en Chile</t>
  </si>
  <si>
    <t>Oroz</t>
  </si>
  <si>
    <t>Ulibarri</t>
  </si>
  <si>
    <t>Embajadora de España en Chile</t>
  </si>
  <si>
    <t>Sone</t>
  </si>
  <si>
    <t>Kenko</t>
  </si>
  <si>
    <t>Embajadora de Japón en Chile</t>
  </si>
  <si>
    <t>Eva Sofia</t>
  </si>
  <si>
    <t>Karlberg</t>
  </si>
  <si>
    <t>Embajador del Reino de Suecia en Chile</t>
  </si>
  <si>
    <t>Brandon</t>
  </si>
  <si>
    <t>Judd</t>
  </si>
  <si>
    <t>Embajador de Estados Unidos de América en Chile</t>
  </si>
  <si>
    <t>Peleg</t>
  </si>
  <si>
    <t>Lewi</t>
  </si>
  <si>
    <t>Embajadora de Israel en Chile</t>
  </si>
  <si>
    <t>David</t>
  </si>
  <si>
    <t>Concar</t>
  </si>
  <si>
    <t>Embajador del Reino Unido de Gran Bretaña e Irlanda del Norte en Chile</t>
  </si>
  <si>
    <t>Enrique</t>
  </si>
  <si>
    <t>Larrañaga</t>
  </si>
  <si>
    <t>Ex - Comandante en Jefe de la Armada</t>
  </si>
  <si>
    <t>Julio</t>
  </si>
  <si>
    <t>Leiva</t>
  </si>
  <si>
    <t>Molina</t>
  </si>
  <si>
    <t>General</t>
  </si>
  <si>
    <t>Pedro</t>
  </si>
  <si>
    <t>Sabando</t>
  </si>
  <si>
    <t>*Comandante en Jefe del Ejército</t>
  </si>
  <si>
    <t>Miguel</t>
  </si>
  <si>
    <t>Stange</t>
  </si>
  <si>
    <t>*Comandante en Jefe de la Fuerza Aérea de Chile (S)</t>
  </si>
  <si>
    <t>General Director</t>
  </si>
  <si>
    <t>Marcelo</t>
  </si>
  <si>
    <t>Araya</t>
  </si>
  <si>
    <t>Zapata</t>
  </si>
  <si>
    <t>*General Director de Carabineros de Chile</t>
  </si>
  <si>
    <t>Director General</t>
  </si>
  <si>
    <t>Cerna</t>
  </si>
  <si>
    <t>Lozano</t>
  </si>
  <si>
    <t>*Director General de la Policía de Investigaciones de Chile</t>
  </si>
  <si>
    <t>Jorge Patricio</t>
  </si>
  <si>
    <t>Arancibia</t>
  </si>
  <si>
    <t>Reyes</t>
  </si>
  <si>
    <t>Miguel Ángel</t>
  </si>
  <si>
    <t>Villalobos</t>
  </si>
  <si>
    <t>Rodolfo</t>
  </si>
  <si>
    <t>Codina</t>
  </si>
  <si>
    <t>Díaz</t>
  </si>
  <si>
    <t>Edmundo</t>
  </si>
  <si>
    <t>Robles</t>
  </si>
  <si>
    <t>Marcela</t>
  </si>
  <si>
    <t>Madrina</t>
  </si>
  <si>
    <t>Juan Andrés</t>
  </si>
  <si>
    <t>De la Maza</t>
  </si>
  <si>
    <t>Larraín</t>
  </si>
  <si>
    <t>Leonardo</t>
  </si>
  <si>
    <t>Romanini</t>
  </si>
  <si>
    <t>Jefe del Estado Mayor Conjunto de las Fuerzas Armadas</t>
  </si>
  <si>
    <t>Gobernador</t>
  </si>
  <si>
    <t>Sergio</t>
  </si>
  <si>
    <t>Giacaman</t>
  </si>
  <si>
    <t>García</t>
  </si>
  <si>
    <t>Gobernador Región Bio Bio</t>
  </si>
  <si>
    <t>Flies</t>
  </si>
  <si>
    <t>Añon</t>
  </si>
  <si>
    <t>Gobernador Región de Magallanes</t>
  </si>
  <si>
    <t>Delegado Presidencial</t>
  </si>
  <si>
    <t>Anativia</t>
  </si>
  <si>
    <t>Zamora</t>
  </si>
  <si>
    <t>Delegado Presidencial Región de Bio Bio</t>
  </si>
  <si>
    <t>Huenchumilla</t>
  </si>
  <si>
    <t>Jaramillo</t>
  </si>
  <si>
    <t>Presidente Comisión de Defensa Nacional Cir. 11</t>
  </si>
  <si>
    <t>Guerrero</t>
  </si>
  <si>
    <t>Comisión de Defensa Nacional</t>
  </si>
  <si>
    <t>Camila</t>
  </si>
  <si>
    <t>Flores</t>
  </si>
  <si>
    <t>Oporto</t>
  </si>
  <si>
    <t>Gastón</t>
  </si>
  <si>
    <t>Saavedra</t>
  </si>
  <si>
    <t>Chandía</t>
  </si>
  <si>
    <t>Cristián</t>
  </si>
  <si>
    <t>Vial</t>
  </si>
  <si>
    <t>Maceratta</t>
  </si>
  <si>
    <t>Rojo</t>
  </si>
  <si>
    <t>Edwards</t>
  </si>
  <si>
    <t>Silva</t>
  </si>
  <si>
    <t>Presidente de la Comisión de Desafíos del Futuro, Ciencia, Tecnología e Innovación</t>
  </si>
  <si>
    <t>Celis</t>
  </si>
  <si>
    <t>Comisión de Desafíos del Futuro, Ciencia, Tecnología e Innovación</t>
  </si>
  <si>
    <t>Daniella</t>
  </si>
  <si>
    <t>Cicardini</t>
  </si>
  <si>
    <t>Milla</t>
  </si>
  <si>
    <t>Luciano</t>
  </si>
  <si>
    <t>Cruz-coke</t>
  </si>
  <si>
    <t>Carvallo</t>
  </si>
  <si>
    <t>Manuel José</t>
  </si>
  <si>
    <t>Ossandón</t>
  </si>
  <si>
    <t>Irarrázabal</t>
  </si>
  <si>
    <t>Keitel</t>
  </si>
  <si>
    <t>Bianchi</t>
  </si>
  <si>
    <t>Circunscripción 10 Región Biobío</t>
  </si>
  <si>
    <t>Van Rysselberghe</t>
  </si>
  <si>
    <t>Herrera</t>
  </si>
  <si>
    <t>Alfonso</t>
  </si>
  <si>
    <t>De Urresti</t>
  </si>
  <si>
    <t>Longton</t>
  </si>
  <si>
    <t>Senador de la República</t>
  </si>
  <si>
    <t>Gustavo</t>
  </si>
  <si>
    <t>Sanhueza</t>
  </si>
  <si>
    <t>Dueñas</t>
  </si>
  <si>
    <t>Circunsripción Zona Ñuble</t>
  </si>
  <si>
    <t>Loreto</t>
  </si>
  <si>
    <t>Carvajal</t>
  </si>
  <si>
    <t>Ambiado</t>
  </si>
  <si>
    <t>Álvaro</t>
  </si>
  <si>
    <t>Carter</t>
  </si>
  <si>
    <t>Presidente de la Comisión de Defensa Nacional</t>
  </si>
  <si>
    <t>Marcos</t>
  </si>
  <si>
    <t>Barraza</t>
  </si>
  <si>
    <t>Gómez</t>
  </si>
  <si>
    <t>Integrante de la Comisión de Defensa Nacional</t>
  </si>
  <si>
    <t>Jaime</t>
  </si>
  <si>
    <t>Bassa</t>
  </si>
  <si>
    <t>Mercado</t>
  </si>
  <si>
    <t>Brito</t>
  </si>
  <si>
    <t>Hasbún</t>
  </si>
  <si>
    <t>Carlos</t>
  </si>
  <si>
    <t>Cuadrado</t>
  </si>
  <si>
    <t>Prats</t>
  </si>
  <si>
    <t>Tomás</t>
  </si>
  <si>
    <t>Sommerhoff</t>
  </si>
  <si>
    <t>Raúl</t>
  </si>
  <si>
    <t>Hans</t>
  </si>
  <si>
    <t>Marowski</t>
  </si>
  <si>
    <t>Cuevas</t>
  </si>
  <si>
    <t>Javier</t>
  </si>
  <si>
    <t>Olivares</t>
  </si>
  <si>
    <t>Avendaño</t>
  </si>
  <si>
    <t>Omar</t>
  </si>
  <si>
    <t>Sabat</t>
  </si>
  <si>
    <t>Guzmán</t>
  </si>
  <si>
    <t>Luis</t>
  </si>
  <si>
    <t>Sánchez</t>
  </si>
  <si>
    <t>Ossa</t>
  </si>
  <si>
    <t>Valenzuela</t>
  </si>
  <si>
    <t>Soto</t>
  </si>
  <si>
    <t>Manouchehri</t>
  </si>
  <si>
    <t>Lobos</t>
  </si>
  <si>
    <t>Presidente Comisión de Futuro, Ciencia, Tecnología, Conocimiento e Innovación</t>
  </si>
  <si>
    <t>Patricio</t>
  </si>
  <si>
    <t>Briones</t>
  </si>
  <si>
    <t>Moller</t>
  </si>
  <si>
    <t>Diputado Distrito 20</t>
  </si>
  <si>
    <t>Andrés</t>
  </si>
  <si>
    <t>Montt</t>
  </si>
  <si>
    <t>Comisión de Futuro, Ciencia, Tecnología, Conocimiento e Innovación</t>
  </si>
  <si>
    <t>Cristóbal</t>
  </si>
  <si>
    <t>Martínez</t>
  </si>
  <si>
    <t>Ramírez</t>
  </si>
  <si>
    <t>José</t>
  </si>
  <si>
    <t>Montalva</t>
  </si>
  <si>
    <t>Feuerhake</t>
  </si>
  <si>
    <t>Cristian</t>
  </si>
  <si>
    <t>Neira</t>
  </si>
  <si>
    <t>Felipe</t>
  </si>
  <si>
    <t>Ross</t>
  </si>
  <si>
    <t>Correa</t>
  </si>
  <si>
    <t>Diego</t>
  </si>
  <si>
    <t>Schalper</t>
  </si>
  <si>
    <t>Sepúlveda</t>
  </si>
  <si>
    <t>Serrano</t>
  </si>
  <si>
    <t>Consuelo</t>
  </si>
  <si>
    <t>Veloso</t>
  </si>
  <si>
    <t>Ávila</t>
  </si>
  <si>
    <t>Gonzalo</t>
  </si>
  <si>
    <t>Winter</t>
  </si>
  <si>
    <t>Etcheberry</t>
  </si>
  <si>
    <t>Gael</t>
  </si>
  <si>
    <t>Yeomans</t>
  </si>
  <si>
    <t>Roberto</t>
  </si>
  <si>
    <t>Arroyo</t>
  </si>
  <si>
    <t>Bobadilla</t>
  </si>
  <si>
    <t>Paz</t>
  </si>
  <si>
    <t>Charpentier</t>
  </si>
  <si>
    <t>Rajcevich</t>
  </si>
  <si>
    <t>Francesca</t>
  </si>
  <si>
    <t>Ortíz</t>
  </si>
  <si>
    <t>Vera</t>
  </si>
  <si>
    <t>Marlene</t>
  </si>
  <si>
    <t>Cartes</t>
  </si>
  <si>
    <t>Rivas</t>
  </si>
  <si>
    <t>Lilian</t>
  </si>
  <si>
    <t>Betancurt</t>
  </si>
  <si>
    <t>Delgado</t>
  </si>
  <si>
    <t>Diputado Distrito 21</t>
  </si>
  <si>
    <t>Joanna</t>
  </si>
  <si>
    <t>Olea</t>
  </si>
  <si>
    <t>Pinilla</t>
  </si>
  <si>
    <t>Urruticoechea</t>
  </si>
  <si>
    <t>Ríos</t>
  </si>
  <si>
    <t>Flor</t>
  </si>
  <si>
    <t>Weisse</t>
  </si>
  <si>
    <t>Novoa</t>
  </si>
  <si>
    <t>Subsecretario</t>
  </si>
  <si>
    <t>Torres</t>
  </si>
  <si>
    <t>Espinosa</t>
  </si>
  <si>
    <t>Subsecretario de Relaciones Exteriores</t>
  </si>
  <si>
    <t>Rodrigo</t>
  </si>
  <si>
    <t>Álvarez</t>
  </si>
  <si>
    <t>Aguirre</t>
  </si>
  <si>
    <t>*Subsecretario de Defensa</t>
  </si>
  <si>
    <t>Christian</t>
  </si>
  <si>
    <t>Bolívar</t>
  </si>
  <si>
    <t>Romero</t>
  </si>
  <si>
    <t>*Subsecretario de las Fuerzas Armadas</t>
  </si>
  <si>
    <t>Juan Pablo</t>
  </si>
  <si>
    <t>Oyarzún</t>
  </si>
  <si>
    <t>Subsecretario de Hacienda</t>
  </si>
  <si>
    <t>Karlfrans</t>
  </si>
  <si>
    <t>Koehler</t>
  </si>
  <si>
    <t>Dunkler</t>
  </si>
  <si>
    <t>Subsecretario de Economía y Empresas de Menor Tamaño</t>
  </si>
  <si>
    <t>Osvaldo</t>
  </si>
  <si>
    <t>Urrutia</t>
  </si>
  <si>
    <t>Subsecretario de Pesca y Acuicultura</t>
  </si>
  <si>
    <t>Rafael</t>
  </si>
  <si>
    <t>Araos</t>
  </si>
  <si>
    <t>Bralic</t>
  </si>
  <si>
    <t>Subsecretaria de Ciencia, Tecnología, Conocimiento e Innovación</t>
  </si>
  <si>
    <t>Vicealmirante</t>
  </si>
  <si>
    <t>Cacho</t>
  </si>
  <si>
    <t>Morán</t>
  </si>
  <si>
    <t>*Jefe del Estado Mayor de la Armada de Perú</t>
  </si>
  <si>
    <t>Riquelme</t>
  </si>
  <si>
    <t>Ex Subsecretario de Defensa</t>
  </si>
  <si>
    <t>Ramiro</t>
  </si>
  <si>
    <t>Navajas</t>
  </si>
  <si>
    <t>Santini</t>
  </si>
  <si>
    <t>DTS</t>
  </si>
  <si>
    <t>Ugarte</t>
  </si>
  <si>
    <t>Millán</t>
  </si>
  <si>
    <t>José Ignacio</t>
  </si>
  <si>
    <t>Mujica</t>
  </si>
  <si>
    <t>Vicepresidente Corfo</t>
  </si>
  <si>
    <t>Señor</t>
  </si>
  <si>
    <t>Elizabeth</t>
  </si>
  <si>
    <t>Directora Desarrollo Tecnológico Corfo y Directora Ejecutiva Comité de Construcción Naval</t>
  </si>
  <si>
    <t>Santiago</t>
  </si>
  <si>
    <t>Browne</t>
  </si>
  <si>
    <t>Hurtado</t>
  </si>
  <si>
    <t>Gerente de Asuntos Estratégicos (s) de Corfo</t>
  </si>
  <si>
    <t>Óscar</t>
  </si>
  <si>
    <t>Bustos</t>
  </si>
  <si>
    <t>Jefe División de Desarrollo Tecnológico e Industria Consejo Directivo de Construcción Naval</t>
  </si>
  <si>
    <t>Carrasco</t>
  </si>
  <si>
    <t>Alvarez</t>
  </si>
  <si>
    <t>Jefe Depto. de Investigación Desarrollo e Innovación Consejo Directivo de Construcción Naval</t>
  </si>
  <si>
    <t>Carla</t>
  </si>
  <si>
    <t>Coronado</t>
  </si>
  <si>
    <t>Asesora Ministerio Consejo Directivo de Construcción Naval</t>
  </si>
  <si>
    <t>Hentzschel</t>
  </si>
  <si>
    <t>Gerente de Capacidades Tecnológicas Consejo Directivo de Construcción Naval</t>
  </si>
  <si>
    <t>Richard</t>
  </si>
  <si>
    <t>Von Appen</t>
  </si>
  <si>
    <t>Lahres</t>
  </si>
  <si>
    <t>Presidente Ultramar</t>
  </si>
  <si>
    <t>Ignacio</t>
  </si>
  <si>
    <t>Ruiz</t>
  </si>
  <si>
    <t>Directror General de Prochile</t>
  </si>
  <si>
    <t>Dettloff</t>
  </si>
  <si>
    <t>Beros</t>
  </si>
  <si>
    <t>Director de Fronteras y Límites</t>
  </si>
  <si>
    <t>José Pablo</t>
  </si>
  <si>
    <t>Dirección de Presupuesto</t>
  </si>
  <si>
    <t>Llodrá</t>
  </si>
  <si>
    <t>Subdirector de Racionalización y Función Pública</t>
  </si>
  <si>
    <t>López</t>
  </si>
  <si>
    <t>Lara</t>
  </si>
  <si>
    <t>Pablo</t>
  </si>
  <si>
    <t>Granifo</t>
  </si>
  <si>
    <t>Banco Chile</t>
  </si>
  <si>
    <t>Ebensberger</t>
  </si>
  <si>
    <t>Brancoli</t>
  </si>
  <si>
    <t>Yarur</t>
  </si>
  <si>
    <t>Banco BCI</t>
  </si>
  <si>
    <t>Trautmann</t>
  </si>
  <si>
    <t>Banco Santander</t>
  </si>
  <si>
    <t>Coopman</t>
  </si>
  <si>
    <t>Corral</t>
  </si>
  <si>
    <t>Jefe Gabinete Ministro de Defensa</t>
  </si>
  <si>
    <t>Bárbara</t>
  </si>
  <si>
    <t>Madariaga</t>
  </si>
  <si>
    <t>Jefa de Gabinete Subsecretario para las FF.AA.</t>
  </si>
  <si>
    <t>Lira</t>
  </si>
  <si>
    <t>Jefe Gabinete Subsecretario de Defensa</t>
  </si>
  <si>
    <t>Rector</t>
  </si>
  <si>
    <t>Juan Carlos</t>
  </si>
  <si>
    <t>De la Llera</t>
  </si>
  <si>
    <t>Rector Puc</t>
  </si>
  <si>
    <t>Alejandro</t>
  </si>
  <si>
    <t>Jefe Asesor Presidencial</t>
  </si>
  <si>
    <t>Constanza</t>
  </si>
  <si>
    <t>T2 RNY</t>
  </si>
  <si>
    <t>Marcela Paz</t>
  </si>
  <si>
    <t>Hija Madrina</t>
  </si>
  <si>
    <t>Matias</t>
  </si>
  <si>
    <t>Cruz</t>
  </si>
  <si>
    <t>Siria</t>
  </si>
  <si>
    <t>Jeldes</t>
  </si>
  <si>
    <t>Presidenta COOPEUCH</t>
  </si>
  <si>
    <t>Arriagada</t>
  </si>
  <si>
    <t>Presidente Caja Los Andes</t>
  </si>
  <si>
    <t>Eugenio</t>
  </si>
  <si>
    <t>Cornejo</t>
  </si>
  <si>
    <t>Locroix</t>
  </si>
  <si>
    <t>Presidente Mutual de Seguros de Chile</t>
  </si>
  <si>
    <t>Vicente</t>
  </si>
  <si>
    <t>Hijo Madrina</t>
  </si>
  <si>
    <t>Cyril</t>
  </si>
  <si>
    <t>Jackson</t>
  </si>
  <si>
    <t>Jefmayor</t>
  </si>
  <si>
    <t>Espinoza</t>
  </si>
  <si>
    <t>Cecy Sirena</t>
  </si>
  <si>
    <t>Quijada</t>
  </si>
  <si>
    <t>Esposa del Jefe estado mayor de la Armada de Perú.</t>
  </si>
  <si>
    <t>Alcorta</t>
  </si>
  <si>
    <t>Asesor politico estrategico MINDEF</t>
  </si>
  <si>
    <t>Larrondo</t>
  </si>
  <si>
    <t>Director de Operaciones y Ventas FEMESA Chile</t>
  </si>
  <si>
    <t>Sebastian</t>
  </si>
  <si>
    <t>Jerez</t>
  </si>
  <si>
    <t>Gerente General Farmacia Cruz Verde</t>
  </si>
  <si>
    <t>Italo</t>
  </si>
  <si>
    <t>Gerente Alianzas y Convenios FEMESA Chile</t>
  </si>
  <si>
    <t>Capitán de Fragata</t>
  </si>
  <si>
    <t>Labbé</t>
  </si>
  <si>
    <t>ASOFAR</t>
  </si>
  <si>
    <t>Maria Pia</t>
  </si>
  <si>
    <t>Von Chrismar</t>
  </si>
  <si>
    <t>Medina</t>
  </si>
  <si>
    <t>Jefa de la División de Relaciones Internacionales de la Subsecretaria de la Defensa.</t>
  </si>
  <si>
    <t>Capitán de Navío (R.)</t>
  </si>
  <si>
    <t>Rolando</t>
  </si>
  <si>
    <t>Peña</t>
  </si>
  <si>
    <t>Jefe de la División de Planes y Politicas de la Subsecretaria de Defensa</t>
  </si>
  <si>
    <t>Maturana</t>
  </si>
  <si>
    <t>Lavin</t>
  </si>
  <si>
    <t>Simian</t>
  </si>
  <si>
    <t>NACHIPA</t>
  </si>
  <si>
    <t>Asesora Económica MINDEF</t>
  </si>
  <si>
    <t>OPA/ASMAR</t>
  </si>
  <si>
    <t>Capitán de Navío RL</t>
  </si>
  <si>
    <t>José Fernando</t>
  </si>
  <si>
    <t>Jarpa</t>
  </si>
  <si>
    <t>Parada</t>
  </si>
  <si>
    <t>Jefe del Servicio Religioso de la Armada</t>
  </si>
  <si>
    <t>Capellán Evangélico</t>
  </si>
  <si>
    <t>Vladimir</t>
  </si>
  <si>
    <t>Recabarren</t>
  </si>
  <si>
    <t>Esparza</t>
  </si>
  <si>
    <t>Capellán Nacional Evangélico de la Armada</t>
  </si>
  <si>
    <t>Kurt</t>
  </si>
  <si>
    <t>Hartung</t>
  </si>
  <si>
    <t>Sabugo</t>
  </si>
  <si>
    <t>Presidente del Cuerpo de Almirantes en Retiro</t>
  </si>
  <si>
    <t>Seremi</t>
  </si>
  <si>
    <t>José Eduardo</t>
  </si>
  <si>
    <t>Piña</t>
  </si>
  <si>
    <t>Faúndez</t>
  </si>
  <si>
    <t>Seremi Obras Públicas</t>
  </si>
  <si>
    <t>Ramirez</t>
  </si>
  <si>
    <t>Glade</t>
  </si>
  <si>
    <t>Seremi de Ciencia, Tecnologías, Conocimidento e Innovación</t>
  </si>
  <si>
    <t>Mario</t>
  </si>
  <si>
    <t>Delannays</t>
  </si>
  <si>
    <t>Seremi de Medio Ambiente</t>
  </si>
  <si>
    <t>Ronald</t>
  </si>
  <si>
    <t>Ruf</t>
  </si>
  <si>
    <t>Wilkomirsky</t>
  </si>
  <si>
    <t>Seremi de Hacienda</t>
  </si>
  <si>
    <t>BANCOS</t>
  </si>
  <si>
    <t>Farren</t>
  </si>
  <si>
    <t>Risopatrón</t>
  </si>
  <si>
    <t>Presidente Banco Estado</t>
  </si>
  <si>
    <t>Finanzas</t>
  </si>
  <si>
    <t>Katherine</t>
  </si>
  <si>
    <t>Ampuero</t>
  </si>
  <si>
    <t>Directora Regional Aduana de Talcahuano</t>
  </si>
  <si>
    <t>Henry</t>
  </si>
  <si>
    <t>Cleveland</t>
  </si>
  <si>
    <t>Director Ejecutivo ENAER</t>
  </si>
  <si>
    <t>General de Brigada</t>
  </si>
  <si>
    <t>Director FAMAE</t>
  </si>
  <si>
    <t>OPA/DGSA</t>
  </si>
  <si>
    <t>Pires</t>
  </si>
  <si>
    <t>Superintendente del Material Armada de Portugal</t>
  </si>
  <si>
    <t>Contraalmirante</t>
  </si>
  <si>
    <t>Joao</t>
  </si>
  <si>
    <t>Costa</t>
  </si>
  <si>
    <t>Director de los Navios Armada de Portugal</t>
  </si>
  <si>
    <t>Bunster</t>
  </si>
  <si>
    <t>Weitzmann</t>
  </si>
  <si>
    <t>Director Centro Estudios Cientificos CECs</t>
  </si>
  <si>
    <t>Gino</t>
  </si>
  <si>
    <t>Casassa</t>
  </si>
  <si>
    <t>Rogazinski</t>
  </si>
  <si>
    <t>Director del INACH</t>
  </si>
  <si>
    <t>General de División</t>
  </si>
  <si>
    <t>Osorio</t>
  </si>
  <si>
    <t>Cmdte. Apoyo a la Fuerza del Ejército</t>
  </si>
  <si>
    <t>Candia</t>
  </si>
  <si>
    <t>Ogaz</t>
  </si>
  <si>
    <t>Director de Logistica del Ejército</t>
  </si>
  <si>
    <t>Jeannette</t>
  </si>
  <si>
    <t>Reveco</t>
  </si>
  <si>
    <t>Directora Nacional (s) de la Dirección Nacional de Obras Portuarias</t>
  </si>
  <si>
    <t>OPA/CIVILES</t>
  </si>
  <si>
    <t>Alcalde</t>
  </si>
  <si>
    <t>Héctor</t>
  </si>
  <si>
    <t>Uribe</t>
  </si>
  <si>
    <t>Alcalde Ilustre Municipalidad de Concepción</t>
  </si>
  <si>
    <t>Rivera</t>
  </si>
  <si>
    <t>Morales</t>
  </si>
  <si>
    <t>Alcalde Ilustre Municipalidad de Hualpén</t>
  </si>
  <si>
    <t>Alcalde Ilustre Municipalidad de Talcahuano</t>
  </si>
  <si>
    <t>Amtmann</t>
  </si>
  <si>
    <t>Fecci</t>
  </si>
  <si>
    <t>Alcaldesa de Valdivia</t>
  </si>
  <si>
    <t>Wainraight</t>
  </si>
  <si>
    <t>Galilea</t>
  </si>
  <si>
    <t>Alcalde de Puerto Montt</t>
  </si>
  <si>
    <t>Nieto</t>
  </si>
  <si>
    <t>Hernández</t>
  </si>
  <si>
    <t>Alcaldesa de Valparaíso</t>
  </si>
  <si>
    <t>Radonich</t>
  </si>
  <si>
    <t>Jiménez</t>
  </si>
  <si>
    <t>Alcalde de Punta Arenas</t>
  </si>
  <si>
    <t>María Soledad</t>
  </si>
  <si>
    <t>Tapia</t>
  </si>
  <si>
    <t>Almonacid</t>
  </si>
  <si>
    <t>Director Nacional Servicio Nacional de Pesca y Acuicultura SERNAPESCA</t>
  </si>
  <si>
    <t>Zavala</t>
  </si>
  <si>
    <t>Presidente de la Ilustrísima Corte de Apelaciones de Concepción</t>
  </si>
  <si>
    <t>Cartagena</t>
  </si>
  <si>
    <t>Ramos</t>
  </si>
  <si>
    <t>Fiscal Regional de Concepción</t>
  </si>
  <si>
    <t>Otarola</t>
  </si>
  <si>
    <t>Director Regional de la Agencia Nacional de Inteligencia</t>
  </si>
  <si>
    <t>Alvaro</t>
  </si>
  <si>
    <t>Ananías</t>
  </si>
  <si>
    <t>Itaim</t>
  </si>
  <si>
    <t>Presidernte de la Cámara de Producción y Comercio del Bio Bio</t>
  </si>
  <si>
    <t>Oscar</t>
  </si>
  <si>
    <t>Marin</t>
  </si>
  <si>
    <t>Director Regional de Obras Portuarias</t>
  </si>
  <si>
    <t>Basáez</t>
  </si>
  <si>
    <t>Valdebenito</t>
  </si>
  <si>
    <t>Contralor Regional Bio Bio</t>
  </si>
  <si>
    <t>Claudia</t>
  </si>
  <si>
    <t>Chamorro</t>
  </si>
  <si>
    <t>Contreras</t>
  </si>
  <si>
    <t>Jefe VIII Región Policial Bío Bío</t>
  </si>
  <si>
    <t>OPA/MILITAR</t>
  </si>
  <si>
    <t>Renzo</t>
  </si>
  <si>
    <t>Miccono</t>
  </si>
  <si>
    <t>Villablanca</t>
  </si>
  <si>
    <t>Jefe VIII Zona de Carabineros BIOBÍO</t>
  </si>
  <si>
    <t>De la Puente</t>
  </si>
  <si>
    <t>Comandante de Operaciones Terrestres (COT Ejército)</t>
  </si>
  <si>
    <t>Zamorano</t>
  </si>
  <si>
    <t>Goñi</t>
  </si>
  <si>
    <t>Jefe del Estado Mayor General de la Armada</t>
  </si>
  <si>
    <t>Mauricio</t>
  </si>
  <si>
    <t>Arenas</t>
  </si>
  <si>
    <t>Menares</t>
  </si>
  <si>
    <t>César</t>
  </si>
  <si>
    <t>Boffil</t>
  </si>
  <si>
    <t>Director General de los Servicios de la Armada</t>
  </si>
  <si>
    <t>Arturo</t>
  </si>
  <si>
    <t>Oxley</t>
  </si>
  <si>
    <t>Lizana</t>
  </si>
  <si>
    <t>Director General del Territorio Marítimo y de Marina Mercante</t>
  </si>
  <si>
    <t>Marín</t>
  </si>
  <si>
    <t>Subjefe del Estado Mayor Conjunto</t>
  </si>
  <si>
    <t>Miranda</t>
  </si>
  <si>
    <t>*Comandante de Operaciones Navales</t>
  </si>
  <si>
    <t>José Miguel</t>
  </si>
  <si>
    <t>Jacir</t>
  </si>
  <si>
    <t>Director de Astilleros y Maestranzas de la Armada</t>
  </si>
  <si>
    <t>Manzano</t>
  </si>
  <si>
    <t>Sanguineti</t>
  </si>
  <si>
    <t>Director de Recuperaciones de Unidades de la Armada</t>
  </si>
  <si>
    <t>José Agustín</t>
  </si>
  <si>
    <t>Pájaro</t>
  </si>
  <si>
    <t>Márquez</t>
  </si>
  <si>
    <t>Director de Operaciones del Estado Mayor General de la Armada</t>
  </si>
  <si>
    <t>Edgardo</t>
  </si>
  <si>
    <t>Acevedo</t>
  </si>
  <si>
    <t>*Comandante en Jefe de la Segunda Zona Naval</t>
  </si>
  <si>
    <t>Federico</t>
  </si>
  <si>
    <t>Saelzer</t>
  </si>
  <si>
    <t>*Comandante en Jefe de la Fuerza de Submarinos</t>
  </si>
  <si>
    <t xml:space="preserve">Claudia </t>
  </si>
  <si>
    <t>Arrieta</t>
  </si>
  <si>
    <t>Figueroa</t>
  </si>
  <si>
    <t>Esposa Comandante en Jefe de la Fuerza de Submarinos</t>
  </si>
  <si>
    <t>Contraalmirante IM</t>
  </si>
  <si>
    <t>Opazo</t>
  </si>
  <si>
    <t>*Comandante General del Cuerpo de Infantería de Marina</t>
  </si>
  <si>
    <t>Alberto</t>
  </si>
  <si>
    <t>Director de Programas, Investigación y Desarrollo de la Armada</t>
  </si>
  <si>
    <t>Contralor de la Armada</t>
  </si>
  <si>
    <t>Contraalmirante AB</t>
  </si>
  <si>
    <t>Marcel</t>
  </si>
  <si>
    <t>Fort</t>
  </si>
  <si>
    <t>Santander</t>
  </si>
  <si>
    <t>Director de finanzaas de la Armada.</t>
  </si>
  <si>
    <t>Horton</t>
  </si>
  <si>
    <t>SUBMAYOR Consejo Superior ASMAR</t>
  </si>
  <si>
    <t>J. Cristobal</t>
  </si>
  <si>
    <t>Mendez</t>
  </si>
  <si>
    <t>DIRISNAV Consejo Superior ASMAR</t>
  </si>
  <si>
    <t>Comodoro</t>
  </si>
  <si>
    <t>Rene</t>
  </si>
  <si>
    <t>Azócar</t>
  </si>
  <si>
    <t>Secretario General de la Armada</t>
  </si>
  <si>
    <t>Comodoro AB</t>
  </si>
  <si>
    <t>Vidal</t>
  </si>
  <si>
    <t>Berrocal</t>
  </si>
  <si>
    <t>DABA Consejo Superior ASMAR</t>
  </si>
  <si>
    <t>Representante Ejército Consejo Superior ASMAR</t>
  </si>
  <si>
    <t>General de Brigada Aérea</t>
  </si>
  <si>
    <t>Alan</t>
  </si>
  <si>
    <t>Cárcamo</t>
  </si>
  <si>
    <t>Barrientos</t>
  </si>
  <si>
    <t>Representante FACH Consejo Superior ASMAR</t>
  </si>
  <si>
    <t>ACADÉMICOS</t>
  </si>
  <si>
    <t xml:space="preserve">Cristian </t>
  </si>
  <si>
    <t>Director Universidad Técnica Federico Santa María Sede Concepción</t>
  </si>
  <si>
    <t>Victor</t>
  </si>
  <si>
    <t>Director de Vinculacion con el Medio Sede Concepción. Universidad Técnica Federico Santa María</t>
  </si>
  <si>
    <t>Thomas</t>
  </si>
  <si>
    <t>Klischies</t>
  </si>
  <si>
    <t>Nevermann</t>
  </si>
  <si>
    <t>Director DUOC UC Sede San Andrés de Concepción</t>
  </si>
  <si>
    <t>Egon</t>
  </si>
  <si>
    <t>Montecinos</t>
  </si>
  <si>
    <t>Rector Universidad Austral</t>
  </si>
  <si>
    <t>Salas</t>
  </si>
  <si>
    <t>Universidad Austral de Chile</t>
  </si>
  <si>
    <t>Jacqueline</t>
  </si>
  <si>
    <t>Carreño</t>
  </si>
  <si>
    <t>Rector Universidad de Concepción</t>
  </si>
  <si>
    <t>Andrea</t>
  </si>
  <si>
    <t>Tastest</t>
  </si>
  <si>
    <t>Vicerrectora Investigación y Desarrollo Universidad de Concepción</t>
  </si>
  <si>
    <t>Benito</t>
  </si>
  <si>
    <t>Umaña</t>
  </si>
  <si>
    <t>Hermosilla</t>
  </si>
  <si>
    <t>Rector Universidad del Bío-Bío</t>
  </si>
  <si>
    <t>Ulloa</t>
  </si>
  <si>
    <t>Vicerrectora de Investigación y Desarrollo Universidad de Concepción</t>
  </si>
  <si>
    <t>Fuentealba</t>
  </si>
  <si>
    <t>Arcos</t>
  </si>
  <si>
    <t>Vicerrector de Relaciones Institucionales Universidad de Concepción</t>
  </si>
  <si>
    <t>Roger</t>
  </si>
  <si>
    <t>Sepulveda</t>
  </si>
  <si>
    <t>Rector Universidad Santo Tomás</t>
  </si>
  <si>
    <t>Lafontaine</t>
  </si>
  <si>
    <t>Rector U.D.D. Sede Concepción</t>
  </si>
  <si>
    <t>Florencia</t>
  </si>
  <si>
    <t>Jofré</t>
  </si>
  <si>
    <t>Manieu</t>
  </si>
  <si>
    <t>Vicerrectora Académica U.D.D.</t>
  </si>
  <si>
    <t>Director Vinculación con el Medio UDD</t>
  </si>
  <si>
    <t>Cristhian</t>
  </si>
  <si>
    <t>Mellado</t>
  </si>
  <si>
    <t>Cid</t>
  </si>
  <si>
    <t>Rector Universidad Católica de la Santísima Concepción</t>
  </si>
  <si>
    <t>Navalón</t>
  </si>
  <si>
    <t>Vicerrector Universidad San Sebastián</t>
  </si>
  <si>
    <t>Universidad San Sebastían</t>
  </si>
  <si>
    <t>Monks</t>
  </si>
  <si>
    <t>Vicerrector Inacap</t>
  </si>
  <si>
    <t>Gonzälez</t>
  </si>
  <si>
    <t>Vicerrector Universidad Andrés Bello</t>
  </si>
  <si>
    <t>Carpinelli</t>
  </si>
  <si>
    <t>Director de Innovación y Transferencia Tecnológica Universidad Andrés Bello</t>
  </si>
  <si>
    <t>Hormazábal</t>
  </si>
  <si>
    <t xml:space="preserve">Poblete </t>
  </si>
  <si>
    <t>Vicerrectora Universidad de Las Américas sede Concepción - Vicepresidenta CIDERE Biobio</t>
  </si>
  <si>
    <t>Ruz</t>
  </si>
  <si>
    <t>Heredia</t>
  </si>
  <si>
    <t>Director Data Science UAI</t>
  </si>
  <si>
    <t>Eric</t>
  </si>
  <si>
    <t>Goles</t>
  </si>
  <si>
    <t>Chacc</t>
  </si>
  <si>
    <t>Director Sistemas Complejos UAI</t>
  </si>
  <si>
    <t>Vargas</t>
  </si>
  <si>
    <t>Decano Facultad de Ingenieria de la Universidad de Santiago</t>
  </si>
  <si>
    <t>MADRINA</t>
  </si>
  <si>
    <t>Holger</t>
  </si>
  <si>
    <t>Paulmann</t>
  </si>
  <si>
    <t>Presidente ICARE</t>
  </si>
  <si>
    <t>Mónica</t>
  </si>
  <si>
    <t>P.</t>
  </si>
  <si>
    <t>Vicepresidenta ICARE</t>
  </si>
  <si>
    <t>Corona</t>
  </si>
  <si>
    <t>S.</t>
  </si>
  <si>
    <t>Director Tesorero ICARE</t>
  </si>
  <si>
    <t>Ex Pdte ICARE</t>
  </si>
  <si>
    <t>Lorenzo</t>
  </si>
  <si>
    <t>Gazmuri</t>
  </si>
  <si>
    <t>Sch.</t>
  </si>
  <si>
    <t>Kouyoumdjian</t>
  </si>
  <si>
    <t>Vicepresidente ATHENALAB</t>
  </si>
  <si>
    <t>Masalleras</t>
  </si>
  <si>
    <t>Investigador ATHENALAB</t>
  </si>
  <si>
    <t>Russi</t>
  </si>
  <si>
    <t>Director ATHENALAB</t>
  </si>
  <si>
    <t>John</t>
  </si>
  <si>
    <t>Griffiths</t>
  </si>
  <si>
    <t>Director Ejecutivo ATHENALAB</t>
  </si>
  <si>
    <t>LATERAL</t>
  </si>
  <si>
    <t>Nicolás</t>
  </si>
  <si>
    <t>Ibáñez</t>
  </si>
  <si>
    <t>Pdte Directorio ATHENALAB</t>
  </si>
  <si>
    <t>Mardones</t>
  </si>
  <si>
    <t>Director Asuntos Internac. ATHENALAB</t>
  </si>
  <si>
    <t>Alvear</t>
  </si>
  <si>
    <t>Ex Gerente Gral CPC</t>
  </si>
  <si>
    <t>Montero</t>
  </si>
  <si>
    <t>Ex Consejero CPC</t>
  </si>
  <si>
    <t>Ex Audigen</t>
  </si>
  <si>
    <t>Cecilia</t>
  </si>
  <si>
    <t>Cifuentes</t>
  </si>
  <si>
    <t>Economista ESE U de los Andes</t>
  </si>
  <si>
    <t>Hohmann</t>
  </si>
  <si>
    <t>Pdte Consejo Asesor CLAPES UC</t>
  </si>
  <si>
    <t>Director Ejecutivo CLAPES UC</t>
  </si>
  <si>
    <t>Escaffi</t>
  </si>
  <si>
    <t>Empresario</t>
  </si>
  <si>
    <t>Orrego</t>
  </si>
  <si>
    <t>B.</t>
  </si>
  <si>
    <t>Abogado</t>
  </si>
  <si>
    <t>Juan Eduardo</t>
  </si>
  <si>
    <t>Troncoso</t>
  </si>
  <si>
    <t>Manuel</t>
  </si>
  <si>
    <t>Massoglia</t>
  </si>
  <si>
    <t>Ex Ing Astillero Const. ASMAR</t>
  </si>
  <si>
    <t>Invitado Madrina</t>
  </si>
  <si>
    <t>Paulina</t>
  </si>
  <si>
    <t>Bustamante</t>
  </si>
  <si>
    <t>Cordano</t>
  </si>
  <si>
    <t>Ex S1 Seguridad JLM</t>
  </si>
  <si>
    <t>Junge</t>
  </si>
  <si>
    <t>Bascur</t>
  </si>
  <si>
    <t>GAMA RNY Yerno JLM</t>
  </si>
  <si>
    <t>Matías</t>
  </si>
  <si>
    <t>Raby</t>
  </si>
  <si>
    <t>Olavarria</t>
  </si>
  <si>
    <t>Boston Consulting Group</t>
  </si>
  <si>
    <t>G.</t>
  </si>
  <si>
    <t>Tte2 RNY</t>
  </si>
  <si>
    <t>Hector</t>
  </si>
  <si>
    <t>SO IM (R) Ex PPI CJA JLM</t>
  </si>
  <si>
    <t>INVITADOS DGSA</t>
  </si>
  <si>
    <t>Joaquin</t>
  </si>
  <si>
    <t>Dagá</t>
  </si>
  <si>
    <t>Kunze</t>
  </si>
  <si>
    <t>Director General de Obras Públicas</t>
  </si>
  <si>
    <t>Olive</t>
  </si>
  <si>
    <t>Weinreich</t>
  </si>
  <si>
    <t>Roma</t>
  </si>
  <si>
    <t>Asesor Ministerial de la Dirección de Obras Portuarias</t>
  </si>
  <si>
    <t>Natascha</t>
  </si>
  <si>
    <t>Cereceda</t>
  </si>
  <si>
    <t>Raul</t>
  </si>
  <si>
    <t>Irarrazaval</t>
  </si>
  <si>
    <t>Asesor Ministro de Obras Públicas</t>
  </si>
  <si>
    <t>Nelson</t>
  </si>
  <si>
    <t>Morais</t>
  </si>
  <si>
    <t>MFG PoN Program Office representative Armada de Portugal</t>
  </si>
  <si>
    <t>Maric</t>
  </si>
  <si>
    <t>Investigador Centro Estudios Cientificos</t>
  </si>
  <si>
    <t>Quiñones</t>
  </si>
  <si>
    <t>Sigala</t>
  </si>
  <si>
    <t>Jefe Div. Evaluación de Proyectos SUBSECDEF</t>
  </si>
  <si>
    <t>Isabel</t>
  </si>
  <si>
    <t>Horta</t>
  </si>
  <si>
    <t>Genskowsky</t>
  </si>
  <si>
    <t>Jefe Depto. Evaluación de Proyectos SUBSECDEF</t>
  </si>
  <si>
    <t>Ruminao</t>
  </si>
  <si>
    <t>Ortega</t>
  </si>
  <si>
    <t>Jefe Depto. de Seguimiento de Proyectos SUBSECDEF</t>
  </si>
  <si>
    <t>Mardoqueo</t>
  </si>
  <si>
    <t>Gonzalez</t>
  </si>
  <si>
    <t>Ingeniero Analista Depto. de Evaluación de Proyectos SUBSECDEF</t>
  </si>
  <si>
    <t>Patricia</t>
  </si>
  <si>
    <t>Gerente Infraestructura Grupo Cap</t>
  </si>
  <si>
    <t>Gerente General Puerto Huachipato</t>
  </si>
  <si>
    <t>Asesora de Economia y Finanzas del MINDEF</t>
  </si>
  <si>
    <t>Barria</t>
  </si>
  <si>
    <t>Jefe Div. Presupuesto y Finanzas SUBSECFA</t>
  </si>
  <si>
    <t xml:space="preserve">Miguel </t>
  </si>
  <si>
    <t>Cabrales</t>
  </si>
  <si>
    <t>Jefe Unidad Administración de Capacidades Estratégicas de la Defensa dela SUBSECFA</t>
  </si>
  <si>
    <t>CIVILES</t>
  </si>
  <si>
    <t>Tampier</t>
  </si>
  <si>
    <t>Brockhaus</t>
  </si>
  <si>
    <t>Director de Desarrrollo e Innovación Universidad Austral - Comité CORFO</t>
  </si>
  <si>
    <t>Capitán de Navío (R)</t>
  </si>
  <si>
    <t xml:space="preserve">Rojas </t>
  </si>
  <si>
    <t>Pimentel</t>
  </si>
  <si>
    <t>Secretario Consejo Superior ASMAR</t>
  </si>
  <si>
    <t>Subprefecto</t>
  </si>
  <si>
    <t>Bernardo</t>
  </si>
  <si>
    <t>Fonseca</t>
  </si>
  <si>
    <t>Jefe Cuartel Investigaciones Talcahuano</t>
  </si>
  <si>
    <t>MILITARES</t>
  </si>
  <si>
    <t>Teniente Coronel</t>
  </si>
  <si>
    <t>Coronel</t>
  </si>
  <si>
    <t>Miguel Eduardo</t>
  </si>
  <si>
    <t>Aguilar</t>
  </si>
  <si>
    <t>Prefecto de la Prefectura de Carabineros Talcahuano</t>
  </si>
  <si>
    <t>Capitán de Navío</t>
  </si>
  <si>
    <t xml:space="preserve">Pereyra </t>
  </si>
  <si>
    <t>Barbieri</t>
  </si>
  <si>
    <t>Comandante del Comando Anfibio y de Transportes Navales</t>
  </si>
  <si>
    <t>Orellana</t>
  </si>
  <si>
    <t>Subdirector DIPRIDA</t>
  </si>
  <si>
    <t>Enzo</t>
  </si>
  <si>
    <t>Tesser</t>
  </si>
  <si>
    <t>Jefe Depto. CN DIPRIDA</t>
  </si>
  <si>
    <t>Jefe Proyecto Escotillón DIPRIDA</t>
  </si>
  <si>
    <t>Pérez-Canto</t>
  </si>
  <si>
    <t>Navarro</t>
  </si>
  <si>
    <t>DIPRIDA</t>
  </si>
  <si>
    <t>Capitán de Corbeta</t>
  </si>
  <si>
    <t>Fisher</t>
  </si>
  <si>
    <t>Peñaranda</t>
  </si>
  <si>
    <t>Pedemonte</t>
  </si>
  <si>
    <t>Ex DIPRIDA</t>
  </si>
  <si>
    <t>Jefe Estado Mayor de la Segunda Zona Naval y Comandante de la Base Naval Talcahuano</t>
  </si>
  <si>
    <t>Alessandro</t>
  </si>
  <si>
    <t>Pulleghini</t>
  </si>
  <si>
    <t>Edecán SEPRE</t>
  </si>
  <si>
    <t>Berg</t>
  </si>
  <si>
    <t>Aldoney</t>
  </si>
  <si>
    <t>AYUDORALM</t>
  </si>
  <si>
    <t>Capitán de NavÍo IM</t>
  </si>
  <si>
    <t>Negrete</t>
  </si>
  <si>
    <t>Cristi</t>
  </si>
  <si>
    <t>Oficial Enlace Armada de las SSFFAA</t>
  </si>
  <si>
    <t>Marambio</t>
  </si>
  <si>
    <t>Taylor</t>
  </si>
  <si>
    <t>Edecan Presidente del Senado</t>
  </si>
  <si>
    <t xml:space="preserve">Joaquín </t>
  </si>
  <si>
    <t>Rojas</t>
  </si>
  <si>
    <t>Ayudor MINDEF</t>
  </si>
  <si>
    <t xml:space="preserve">Luis </t>
  </si>
  <si>
    <t>Otero</t>
  </si>
  <si>
    <t>Ayudor VA peruano</t>
  </si>
  <si>
    <t>Teniente Primero</t>
  </si>
  <si>
    <t>Ganga</t>
  </si>
  <si>
    <t>Marcadé</t>
  </si>
  <si>
    <t>Ayudor SEZONA</t>
  </si>
  <si>
    <t>Jimenez</t>
  </si>
  <si>
    <t>San Martín</t>
  </si>
  <si>
    <t>Ayudor SUBSECDEF</t>
  </si>
  <si>
    <t>Teniente Segundo</t>
  </si>
  <si>
    <t>Severino</t>
  </si>
  <si>
    <t>Salamanca</t>
  </si>
  <si>
    <t>Ayudor FUERSUB</t>
  </si>
  <si>
    <t>Suboficial Mayor</t>
  </si>
  <si>
    <t>Guillermo</t>
  </si>
  <si>
    <t>Condestable Mayor de la Armada</t>
  </si>
  <si>
    <t>Zenteno</t>
  </si>
  <si>
    <t>Condestable Mayor de la Segunda Zona Naval</t>
  </si>
  <si>
    <t>Coronel (Av.)</t>
  </si>
  <si>
    <t>Rauwolf</t>
  </si>
  <si>
    <t>Agregado de Defensa de Alemania</t>
  </si>
  <si>
    <t>Capitán de Navio IM</t>
  </si>
  <si>
    <t xml:space="preserve">Brahm </t>
  </si>
  <si>
    <t>Teke</t>
  </si>
  <si>
    <t xml:space="preserve">Oficial enlace Agregados Navales </t>
  </si>
  <si>
    <t>Corvalán</t>
  </si>
  <si>
    <t>Agregado Naval de Argentina</t>
  </si>
  <si>
    <t>Tojal</t>
  </si>
  <si>
    <t>Do Vale</t>
  </si>
  <si>
    <t>Agregado de Defensa y Naval Brasil</t>
  </si>
  <si>
    <t>Chantal</t>
  </si>
  <si>
    <t>Desormeaux</t>
  </si>
  <si>
    <t>Agregado de Defensa de Canadá</t>
  </si>
  <si>
    <t>Coronel Superior</t>
  </si>
  <si>
    <t>Hui</t>
  </si>
  <si>
    <t>Wang</t>
  </si>
  <si>
    <t>Agregado de Defensa de la República Popular China.</t>
  </si>
  <si>
    <t>Chen</t>
  </si>
  <si>
    <t>Agregado de Defensa Adjunto de la República Popular China.</t>
  </si>
  <si>
    <t>Ranulfo</t>
  </si>
  <si>
    <t>Araújo</t>
  </si>
  <si>
    <t>Agregado Naval de Colombia</t>
  </si>
  <si>
    <t>Byoung-Gun</t>
  </si>
  <si>
    <t>Park</t>
  </si>
  <si>
    <t>Agregado de Defensa de Corea</t>
  </si>
  <si>
    <t>Calderón</t>
  </si>
  <si>
    <t>Santamaría</t>
  </si>
  <si>
    <t>Agregado Naval de Ecuador</t>
  </si>
  <si>
    <t>Tyler</t>
  </si>
  <si>
    <t>Agregado de Defensa y Naval de Estados Unidos</t>
  </si>
  <si>
    <t>Juan Luis</t>
  </si>
  <si>
    <t>Benavides</t>
  </si>
  <si>
    <t>Sierra</t>
  </si>
  <si>
    <t>Agregado de Defensa, Militar, Naval y Aéreo de España</t>
  </si>
  <si>
    <t>Numa</t>
  </si>
  <si>
    <t>Durbec</t>
  </si>
  <si>
    <t>Agregado de Defensa y Naval de Francia</t>
  </si>
  <si>
    <t>Amit</t>
  </si>
  <si>
    <t>Guy</t>
  </si>
  <si>
    <t>Agregado de Defensa de Israel</t>
  </si>
  <si>
    <t>Francesco</t>
  </si>
  <si>
    <t>Tanda</t>
  </si>
  <si>
    <t>Agregado de Defensa de Italia</t>
  </si>
  <si>
    <t>Kengo</t>
  </si>
  <si>
    <t>Narita</t>
  </si>
  <si>
    <t>Agregado de Defensa de Japón</t>
  </si>
  <si>
    <t>Pasquel</t>
  </si>
  <si>
    <t>Meléndez</t>
  </si>
  <si>
    <t>Agregado Naval de México</t>
  </si>
  <si>
    <t>Agregado de Defensa Adjunto y Naval de Perú</t>
  </si>
  <si>
    <t>Jason</t>
  </si>
  <si>
    <t>White</t>
  </si>
  <si>
    <t>Agregado de Defensa, Militar, Naval y Aéreo del Reino Unido</t>
  </si>
  <si>
    <t xml:space="preserve">Carlos </t>
  </si>
  <si>
    <t>Caballero</t>
  </si>
  <si>
    <t>Agregado de Defensa República Dominicana</t>
  </si>
  <si>
    <t>Nikolay</t>
  </si>
  <si>
    <t>Rusyaev</t>
  </si>
  <si>
    <t>Agregado de Defensa Rusia</t>
  </si>
  <si>
    <t>Yalcin</t>
  </si>
  <si>
    <t>Aydin</t>
  </si>
  <si>
    <t>Agregado de Defensa, Militar, Naval y Aéreo de Turquía</t>
  </si>
  <si>
    <t>Andrii</t>
  </si>
  <si>
    <t>Matsiuk</t>
  </si>
  <si>
    <t>Agregado de Defensa Ucrania</t>
  </si>
  <si>
    <t>Ghiorsi</t>
  </si>
  <si>
    <t>Lambruschini</t>
  </si>
  <si>
    <t>Agregado de Defensa de Uruguay</t>
  </si>
  <si>
    <t>Primer Coronel</t>
  </si>
  <si>
    <t>Nguyen</t>
  </si>
  <si>
    <t>Thai Duong</t>
  </si>
  <si>
    <t>Agregado de Defensa de Vietnam</t>
  </si>
  <si>
    <t>MANDOS SEZONA</t>
  </si>
  <si>
    <t>Capitán de Navío SN</t>
  </si>
  <si>
    <t xml:space="preserve">Cristián </t>
  </si>
  <si>
    <t xml:space="preserve">González   </t>
  </si>
  <si>
    <t>Garfias</t>
  </si>
  <si>
    <t>Director del Hospital Naval "Almirante Adriazola" de Talcahuano</t>
  </si>
  <si>
    <t xml:space="preserve">Daniel </t>
  </si>
  <si>
    <t xml:space="preserve">Álvarez  </t>
  </si>
  <si>
    <t>Jefe Militar y Jefe Departamento de la Dirección de Recuperación de Unidades de la Armada en Talcahuano</t>
  </si>
  <si>
    <t xml:space="preserve">Roberto </t>
  </si>
  <si>
    <t xml:space="preserve">Ortega  </t>
  </si>
  <si>
    <t>Jefe del Arsenal Naval de Talcahuano</t>
  </si>
  <si>
    <t xml:space="preserve"> González  </t>
  </si>
  <si>
    <t>Toloza</t>
  </si>
  <si>
    <t>Jefe del Estado Mayor de la Comandancia en Jefe de la Fuerza de Submarinos</t>
  </si>
  <si>
    <t xml:space="preserve">Rodrigo </t>
  </si>
  <si>
    <t xml:space="preserve">Agüero </t>
  </si>
  <si>
    <t>Comandante de la FF-07 "Almirante Lynch"</t>
  </si>
  <si>
    <t xml:space="preserve">Francisco </t>
  </si>
  <si>
    <t xml:space="preserve">Abarca </t>
  </si>
  <si>
    <t>Mackay</t>
  </si>
  <si>
    <t>Comandante del LSDH "Sargento Aldea"</t>
  </si>
  <si>
    <t xml:space="preserve">Osvaldo </t>
  </si>
  <si>
    <t xml:space="preserve">Benavente </t>
  </si>
  <si>
    <t>Jefe de la Inspectoría de la Dirección Ingeniería de Sistemas Navales en Talcahuano</t>
  </si>
  <si>
    <t>Capitán de Navío LT</t>
  </si>
  <si>
    <t xml:space="preserve">Arturo </t>
  </si>
  <si>
    <t xml:space="preserve">Aninat </t>
  </si>
  <si>
    <t>Gobernador Marítimo de Talcahuano</t>
  </si>
  <si>
    <t xml:space="preserve">Felipe </t>
  </si>
  <si>
    <t xml:space="preserve">Gorigoitía </t>
  </si>
  <si>
    <t>Ortiz</t>
  </si>
  <si>
    <t>Director de la Escuela de Grumetes "A.N.C."</t>
  </si>
  <si>
    <t>Capitán de Navío IM</t>
  </si>
  <si>
    <t xml:space="preserve">Pedro </t>
  </si>
  <si>
    <t xml:space="preserve">Nova </t>
  </si>
  <si>
    <t xml:space="preserve">Comandante de la Base IM "Tumbes" </t>
  </si>
  <si>
    <t>Capitán de Fragata RL</t>
  </si>
  <si>
    <t xml:space="preserve">Juan Carlos </t>
  </si>
  <si>
    <t xml:space="preserve">Molina </t>
  </si>
  <si>
    <t xml:space="preserve">Jefe del Servicio Religioso de la Segunda Zona Naval </t>
  </si>
  <si>
    <t xml:space="preserve"> Ibarra </t>
  </si>
  <si>
    <t>Orchard</t>
  </si>
  <si>
    <t>Comandante del SS "O'Higgins"</t>
  </si>
  <si>
    <t xml:space="preserve">Ramón </t>
  </si>
  <si>
    <t xml:space="preserve">González  </t>
  </si>
  <si>
    <t xml:space="preserve">Comandante de la FF-06 "Almirante Condell" </t>
  </si>
  <si>
    <t>Zañartu</t>
  </si>
  <si>
    <t>Jacob</t>
  </si>
  <si>
    <t>Jefe Estado Mayor Jefatura Defensa Nacional Provincia Arauco Bio Bío</t>
  </si>
  <si>
    <t xml:space="preserve">Juan Pablo </t>
  </si>
  <si>
    <t xml:space="preserve">Brito </t>
  </si>
  <si>
    <t>Segundo Comandante de la Base Naval Talcahuano</t>
  </si>
  <si>
    <t xml:space="preserve">Esteban </t>
  </si>
  <si>
    <t xml:space="preserve">López </t>
  </si>
  <si>
    <t>Comandante de la FF-18 "Almirante Riveros"</t>
  </si>
  <si>
    <t xml:space="preserve">González </t>
  </si>
  <si>
    <t>Smith</t>
  </si>
  <si>
    <t>Comandante del SS "Carrera"</t>
  </si>
  <si>
    <t xml:space="preserve">Pino </t>
  </si>
  <si>
    <t>Domínguez</t>
  </si>
  <si>
    <t>Comandante del ATF "Janequeo"</t>
  </si>
  <si>
    <t>Capitán de Fragata AB</t>
  </si>
  <si>
    <t xml:space="preserve">Ojeda </t>
  </si>
  <si>
    <t>Jefe del Centro de Abastecimiento Talcahuano</t>
  </si>
  <si>
    <t>Capitán de Fragata OM</t>
  </si>
  <si>
    <t xml:space="preserve">Herrera </t>
  </si>
  <si>
    <t>Stuardo</t>
  </si>
  <si>
    <t xml:space="preserve">Jefe del Departamento de Obras y Construcciones Segunda Zona Naval </t>
  </si>
  <si>
    <t>Capitán de Fragata OM IM</t>
  </si>
  <si>
    <t xml:space="preserve">Agustín </t>
  </si>
  <si>
    <t xml:space="preserve">Cajales  </t>
  </si>
  <si>
    <t>Jefe de la Guarnición IM "Orden y Seguridad" Talcahuano</t>
  </si>
  <si>
    <t>Capitán de Fragata SD</t>
  </si>
  <si>
    <t xml:space="preserve">Cristóbal </t>
  </si>
  <si>
    <t xml:space="preserve">Muga </t>
  </si>
  <si>
    <t>Vallejos</t>
  </si>
  <si>
    <t xml:space="preserve">Director de la Central Odontológica de la Segunda Zona Naval </t>
  </si>
  <si>
    <t xml:space="preserve">Pablo </t>
  </si>
  <si>
    <t xml:space="preserve">Ugarte </t>
  </si>
  <si>
    <t>Comandante OPV "Piloto Pardo"</t>
  </si>
  <si>
    <t xml:space="preserve">Gonzalo </t>
  </si>
  <si>
    <t xml:space="preserve">Álvarez </t>
  </si>
  <si>
    <t xml:space="preserve">Mc-Lean </t>
  </si>
  <si>
    <t>Comandante del SS "Thomson"</t>
  </si>
  <si>
    <t xml:space="preserve">Germán </t>
  </si>
  <si>
    <t xml:space="preserve">Otazo </t>
  </si>
  <si>
    <t>Casanova</t>
  </si>
  <si>
    <t>Comandante del SS "Simpson"</t>
  </si>
  <si>
    <t xml:space="preserve">Jonathan </t>
  </si>
  <si>
    <t xml:space="preserve">Cabrera  </t>
  </si>
  <si>
    <t>Erwenne</t>
  </si>
  <si>
    <t>Director de la Escuela de Submarinos "Almirante Allard"</t>
  </si>
  <si>
    <t xml:space="preserve">Kruuse </t>
  </si>
  <si>
    <t>Comandante del Grupo Aeronaval de Talcahuano</t>
  </si>
  <si>
    <t>Capitán de Fragata IM</t>
  </si>
  <si>
    <t>Franco</t>
  </si>
  <si>
    <t xml:space="preserve"> Ibacache  </t>
  </si>
  <si>
    <t>Comandante del Batallón IM N° 31 "Aldea"</t>
  </si>
  <si>
    <t xml:space="preserve">Gaete </t>
  </si>
  <si>
    <t>Comandante de la Base de Submarinos</t>
  </si>
  <si>
    <t xml:space="preserve">Nicolás </t>
  </si>
  <si>
    <t xml:space="preserve">Ochoa </t>
  </si>
  <si>
    <t>Jefe del Centro de Entrenamiento Básico del Cuerpo IM</t>
  </si>
  <si>
    <t xml:space="preserve"> Carvajal </t>
  </si>
  <si>
    <t>Baeza</t>
  </si>
  <si>
    <t>Jefe del Departamento de Bienestar Social Talcahuano</t>
  </si>
  <si>
    <t xml:space="preserve">Álvaro </t>
  </si>
  <si>
    <t xml:space="preserve">Sampedro </t>
  </si>
  <si>
    <t>Covarrubias</t>
  </si>
  <si>
    <t>Comandante de la LST "Chacabuco"</t>
  </si>
  <si>
    <t xml:space="preserve">Raimundo </t>
  </si>
  <si>
    <t xml:space="preserve">Beytía </t>
  </si>
  <si>
    <t>de la Maza</t>
  </si>
  <si>
    <t>Comandante de la LST "Rancagua"</t>
  </si>
  <si>
    <t xml:space="preserve">Gabriel </t>
  </si>
  <si>
    <t xml:space="preserve">Boré </t>
  </si>
  <si>
    <t>Bacigaluppi</t>
  </si>
  <si>
    <t>Jefe de Estado Mayor del Comando Anfibio y de Transportes Navales</t>
  </si>
  <si>
    <t xml:space="preserve">Andre </t>
  </si>
  <si>
    <t xml:space="preserve">Chassin-Trubert </t>
  </si>
  <si>
    <t xml:space="preserve">Jefe ITO Construcciones </t>
  </si>
  <si>
    <t xml:space="preserve">Cristhian </t>
  </si>
  <si>
    <t xml:space="preserve">Putz </t>
  </si>
  <si>
    <t>Comandante de la ATF "Galvarino"</t>
  </si>
  <si>
    <t xml:space="preserve">Eduardo </t>
  </si>
  <si>
    <t xml:space="preserve">Morales  </t>
  </si>
  <si>
    <t>Jefe del Subcentro de Telecomunicaciones Navales Talcahuano</t>
  </si>
  <si>
    <t>Capitán de Corbeta LT</t>
  </si>
  <si>
    <t xml:space="preserve"> Ovalle </t>
  </si>
  <si>
    <t>Capitán de Puerto de Talcahuano</t>
  </si>
  <si>
    <t>PREMIADOS</t>
  </si>
  <si>
    <t xml:space="preserve"> Riquelme </t>
  </si>
  <si>
    <t>Galaz</t>
  </si>
  <si>
    <t>Jefe de Buque</t>
  </si>
  <si>
    <t xml:space="preserve">Solari  </t>
  </si>
  <si>
    <t>Gallardo</t>
  </si>
  <si>
    <t xml:space="preserve">Carenador </t>
  </si>
  <si>
    <t xml:space="preserve">José </t>
  </si>
  <si>
    <t xml:space="preserve">Reyes </t>
  </si>
  <si>
    <t>Mecánico de Sistemas de Cañerías</t>
  </si>
  <si>
    <t xml:space="preserve">Jaime </t>
  </si>
  <si>
    <t xml:space="preserve">Aravena  </t>
  </si>
  <si>
    <t>Obreque</t>
  </si>
  <si>
    <t xml:space="preserve">Electricista Generación y Distribución </t>
  </si>
  <si>
    <t xml:space="preserve">Gutiérrez </t>
  </si>
  <si>
    <t>Vega</t>
  </si>
  <si>
    <t xml:space="preserve">John </t>
  </si>
  <si>
    <t xml:space="preserve">Leigton  </t>
  </si>
  <si>
    <t>Palma</t>
  </si>
  <si>
    <t>Supervisor Primera Línea</t>
  </si>
  <si>
    <t xml:space="preserve">Mario </t>
  </si>
  <si>
    <t xml:space="preserve">Monjes </t>
  </si>
  <si>
    <t xml:space="preserve"> Alarcón </t>
  </si>
  <si>
    <t>Segura</t>
  </si>
  <si>
    <t>Comprador Internacional</t>
  </si>
  <si>
    <t xml:space="preserve">INVITADOS ASMAR </t>
  </si>
  <si>
    <t>Karen</t>
  </si>
  <si>
    <t>Krakman</t>
  </si>
  <si>
    <t>Consul Países Bajos Concepción</t>
  </si>
  <si>
    <t>Presidente del Consejo Nacional de Innovación para el Desarrollo (CNID)</t>
  </si>
  <si>
    <t>Fuster</t>
  </si>
  <si>
    <t>Roa</t>
  </si>
  <si>
    <t>Gerente General Corporativo ASIMET A.G. - Comité CORFO</t>
  </si>
  <si>
    <t>Presidente ASIMET A.G.</t>
  </si>
  <si>
    <t>Alcazar</t>
  </si>
  <si>
    <t>Presidente Comité Regional ASIMET BioBio</t>
  </si>
  <si>
    <t>Alejandra</t>
  </si>
  <si>
    <t>Bilbao</t>
  </si>
  <si>
    <t>Jefa Servicios Gremiales ASIMET</t>
  </si>
  <si>
    <t>Grandela</t>
  </si>
  <si>
    <t>Murasso</t>
  </si>
  <si>
    <t>Gerente Zonal Banco Edwards</t>
  </si>
  <si>
    <t>Camilo</t>
  </si>
  <si>
    <t>Gerente Sucursal Las Salinas de Banco Edwards</t>
  </si>
  <si>
    <t>Olavarrieta</t>
  </si>
  <si>
    <t>Gerente Area Banca Privada y Red Edwards</t>
  </si>
  <si>
    <t>Marisol</t>
  </si>
  <si>
    <t>Landaeta</t>
  </si>
  <si>
    <t>Gerente de Oficina Banco Edwards Base Naval Talcahuano</t>
  </si>
  <si>
    <t>Heusser</t>
  </si>
  <si>
    <t>Vitali</t>
  </si>
  <si>
    <t>Head of Large Corporates GTB. Banco Santander</t>
  </si>
  <si>
    <t>Schuster</t>
  </si>
  <si>
    <t>Bentjerodt</t>
  </si>
  <si>
    <t>Associate Sales Cash &amp; Lending, Santander Global Transaction Banking. Banco Santander</t>
  </si>
  <si>
    <t xml:space="preserve">Alberto </t>
  </si>
  <si>
    <t>Dalmazzo</t>
  </si>
  <si>
    <t>Bonet</t>
  </si>
  <si>
    <t>Gerente Negocios Moneda Extranjera Banco de Chile</t>
  </si>
  <si>
    <t>Bau</t>
  </si>
  <si>
    <t>Sub Gerente Negocios Moneda Extranjera Banco de Chile</t>
  </si>
  <si>
    <t>Hernán</t>
  </si>
  <si>
    <t>Arellano</t>
  </si>
  <si>
    <t>Gerente División Corporativa Banco Chile</t>
  </si>
  <si>
    <t>Trucco</t>
  </si>
  <si>
    <t>Argomedo</t>
  </si>
  <si>
    <t>Gerente Corporaciones &amp; DCM Finanzas Corporativas Banco BICE</t>
  </si>
  <si>
    <t>Gregorio</t>
  </si>
  <si>
    <t>Prieto</t>
  </si>
  <si>
    <t>Fernández de Castro</t>
  </si>
  <si>
    <t>Gerente de Altos Patrimonios Banco BICE</t>
  </si>
  <si>
    <t>Matte</t>
  </si>
  <si>
    <t>Vicepresidente Banco BICE</t>
  </si>
  <si>
    <t>Villalta</t>
  </si>
  <si>
    <t>Subgerente GGEE e Instituciones Banco ITAÚ</t>
  </si>
  <si>
    <t>Valverde</t>
  </si>
  <si>
    <t>Henriquez</t>
  </si>
  <si>
    <t>Ejecutivo GGEE e Instituciones Banco ITAÚ</t>
  </si>
  <si>
    <t>Cáceres</t>
  </si>
  <si>
    <t>Gerente Regional Grandes Empresas Banco BCI</t>
  </si>
  <si>
    <t>Reinares</t>
  </si>
  <si>
    <t>Subgerente Banco Mayorista Valparaíso Banco BCI</t>
  </si>
  <si>
    <t>Manzor</t>
  </si>
  <si>
    <t>Subgerente Instituciones y Empresas Públicas BancoEstado</t>
  </si>
  <si>
    <t>Durán</t>
  </si>
  <si>
    <t>Cabezas</t>
  </si>
  <si>
    <t>Gerente Banca Institucional Banco Estado</t>
  </si>
  <si>
    <t>FISCALIA</t>
  </si>
  <si>
    <t>Jefe División Jurídica SUBSECFA</t>
  </si>
  <si>
    <t>Jefe División Jurídica SUBSECDEF</t>
  </si>
  <si>
    <t>Jaque</t>
  </si>
  <si>
    <t>Jefe División Asuntos Institucionales SUBSECFA</t>
  </si>
  <si>
    <t>ADUANA</t>
  </si>
  <si>
    <t>Méndez</t>
  </si>
  <si>
    <t>Seguel</t>
  </si>
  <si>
    <t>Jefe Departamento de Fiscalización - Aduana</t>
  </si>
  <si>
    <t>Eade</t>
  </si>
  <si>
    <t>Fiscalizador - Aduanas</t>
  </si>
  <si>
    <t>Alarcón</t>
  </si>
  <si>
    <t>SEGUROS</t>
  </si>
  <si>
    <t>Foley</t>
  </si>
  <si>
    <t>Gerente General Lockton Seguros</t>
  </si>
  <si>
    <t>Ivan</t>
  </si>
  <si>
    <t>M.</t>
  </si>
  <si>
    <t>Ejecutivo de Cuenta Lockton Seguros</t>
  </si>
  <si>
    <t>Gerente General Mutual de Seguros de Chile</t>
  </si>
  <si>
    <t>Bañados</t>
  </si>
  <si>
    <t>Gerente Técnico de la Mutual de Seguros de Chile</t>
  </si>
  <si>
    <t>AUDITORIA</t>
  </si>
  <si>
    <t>René</t>
  </si>
  <si>
    <t>Socio Lider Oficinas Regionales en Deloitte Chile</t>
  </si>
  <si>
    <t>Senior Manager Deloitte Concepción</t>
  </si>
  <si>
    <t>Bagnara</t>
  </si>
  <si>
    <t>Gerente General en ARMASUR A.G. - Comité CORFO</t>
  </si>
  <si>
    <t>Tejada</t>
  </si>
  <si>
    <t>Curti</t>
  </si>
  <si>
    <t>Gerente Asociación Nacional de Armadores A.G.</t>
  </si>
  <si>
    <t>Carlos Alberto</t>
  </si>
  <si>
    <t>Ladrix</t>
  </si>
  <si>
    <t>Osses</t>
  </si>
  <si>
    <t>Subdirector de Investigación Aplicada de la ANID</t>
  </si>
  <si>
    <t>Lamoliatte</t>
  </si>
  <si>
    <t>Ministerio de RR.EE. Comité CORFO</t>
  </si>
  <si>
    <t>Rey</t>
  </si>
  <si>
    <t>Sommer</t>
  </si>
  <si>
    <t>Presidente METRO</t>
  </si>
  <si>
    <t>Bravo</t>
  </si>
  <si>
    <t>Busta</t>
  </si>
  <si>
    <t>Gerente General METRO</t>
  </si>
  <si>
    <t>Terrazas</t>
  </si>
  <si>
    <t>Michell</t>
  </si>
  <si>
    <t>Gerente de Ingeniería METRO</t>
  </si>
  <si>
    <t>Claude</t>
  </si>
  <si>
    <t>Bourdel</t>
  </si>
  <si>
    <t>Presidente Directorio EFE</t>
  </si>
  <si>
    <t>Sabag</t>
  </si>
  <si>
    <t>Solorza</t>
  </si>
  <si>
    <t>Estevez</t>
  </si>
  <si>
    <t>Gerente General EFE</t>
  </si>
  <si>
    <t>Urzúa</t>
  </si>
  <si>
    <t>Gerente de Infraestructura EFE</t>
  </si>
  <si>
    <t>Gerente General Astillero ASCON Socio fundador</t>
  </si>
  <si>
    <t>Aravena</t>
  </si>
  <si>
    <t xml:space="preserve">Socio fundador Astillero ASCON </t>
  </si>
  <si>
    <t>Milka</t>
  </si>
  <si>
    <t>Gavilán</t>
  </si>
  <si>
    <t>Comité CORFO - Presidenta Sindicato ASMAR</t>
  </si>
  <si>
    <t>Fuica</t>
  </si>
  <si>
    <t>Berger</t>
  </si>
  <si>
    <t>Jefe de Gabinete - Vicepresidente Ejecutivo CORFO</t>
  </si>
  <si>
    <t>Asesor Técnico Comité CORFO</t>
  </si>
  <si>
    <t>Lema</t>
  </si>
  <si>
    <t>Oficial Enlace de Comité CORFO</t>
  </si>
  <si>
    <t>COMPAS MARINE</t>
  </si>
  <si>
    <t>Gerente Corporativo COMPAS MARINE</t>
  </si>
  <si>
    <t>Teniente segundo RN</t>
  </si>
  <si>
    <t>Pía</t>
  </si>
  <si>
    <t>Villanueva</t>
  </si>
  <si>
    <t>Bianchini</t>
  </si>
  <si>
    <t>Cientifica Universidad de Chile</t>
  </si>
  <si>
    <t>Luis Ernesto</t>
  </si>
  <si>
    <t>Siebert</t>
  </si>
  <si>
    <t>Ex Gerente de Construcción Naval (T)</t>
  </si>
  <si>
    <t>Reinaldo</t>
  </si>
  <si>
    <t>Roepke</t>
  </si>
  <si>
    <t>Riveros</t>
  </si>
  <si>
    <t>Ex Gerente Comercial Mercantes ASMAR(T)</t>
  </si>
  <si>
    <t>Buzeta</t>
  </si>
  <si>
    <t>Ex Gerente Comercial Armada ASMAR(T)</t>
  </si>
  <si>
    <t xml:space="preserve">Varela </t>
  </si>
  <si>
    <t>Jenschke</t>
  </si>
  <si>
    <t>Ex Gerente Corporativo de Construcción Naval</t>
  </si>
  <si>
    <t>Gerente General COOPEUCH</t>
  </si>
  <si>
    <t>Oliver</t>
  </si>
  <si>
    <t>Gerente Comercial COOPEUCH</t>
  </si>
  <si>
    <t>COOPEUCH</t>
  </si>
  <si>
    <t>Monsalve</t>
  </si>
  <si>
    <t>Gerente Regional Región del BioBio COOPEUCH</t>
  </si>
  <si>
    <t>Moncada</t>
  </si>
  <si>
    <t>Mansilla</t>
  </si>
  <si>
    <t>Agente COOPEUCH Oficina Base Naval Talcahuano</t>
  </si>
  <si>
    <t>Strappa</t>
  </si>
  <si>
    <t>Gerente de Sucursales COOPEUCH</t>
  </si>
  <si>
    <t>Gerente General Caja Los Andes</t>
  </si>
  <si>
    <t>Marco Antonio</t>
  </si>
  <si>
    <t>Caro</t>
  </si>
  <si>
    <t>Jara</t>
  </si>
  <si>
    <t>Gerente de Clientes y Empresas Caja Los Andes</t>
  </si>
  <si>
    <t xml:space="preserve">Vera </t>
  </si>
  <si>
    <t>Villarroel</t>
  </si>
  <si>
    <t>Segment Manager FAOS Caja Los Andes</t>
  </si>
  <si>
    <t>Soffia</t>
  </si>
  <si>
    <t>Salsilli</t>
  </si>
  <si>
    <t>Segment Manager Caja Los Andes</t>
  </si>
  <si>
    <t>Cardoen</t>
  </si>
  <si>
    <t>Invitado Especial Director ASMAR</t>
  </si>
  <si>
    <t>Aylwin</t>
  </si>
  <si>
    <t>Gantes</t>
  </si>
  <si>
    <t>Young</t>
  </si>
  <si>
    <t>Capitán de Navío RN</t>
  </si>
  <si>
    <t>Tellez</t>
  </si>
  <si>
    <t>Román</t>
  </si>
  <si>
    <t>Soko</t>
  </si>
  <si>
    <t>José Luis</t>
  </si>
  <si>
    <t>Piñeyro</t>
  </si>
  <si>
    <t>Guarda</t>
  </si>
  <si>
    <t>Davanzo</t>
  </si>
  <si>
    <t>Hyslop</t>
  </si>
  <si>
    <t>Capitán de Navío SD RN</t>
  </si>
  <si>
    <t>Juan Antonio</t>
  </si>
  <si>
    <t>Constantino</t>
  </si>
  <si>
    <t>Wilson</t>
  </si>
  <si>
    <t>Lazo</t>
  </si>
  <si>
    <t>Stone</t>
  </si>
  <si>
    <t>Roosevelt</t>
  </si>
  <si>
    <t>Lillo</t>
  </si>
  <si>
    <t>Echeverría</t>
  </si>
  <si>
    <t>Gerente General ESSBIO</t>
  </si>
  <si>
    <t xml:space="preserve">David </t>
  </si>
  <si>
    <t>Gerente General CIDERE</t>
  </si>
  <si>
    <t xml:space="preserve">Nelson </t>
  </si>
  <si>
    <t>Presidente IRADE</t>
  </si>
  <si>
    <t xml:space="preserve">Bernardita </t>
  </si>
  <si>
    <t>Astete</t>
  </si>
  <si>
    <t>Gerente General IRADE</t>
  </si>
  <si>
    <t xml:space="preserve">Rodolfo </t>
  </si>
  <si>
    <t>Skalweit</t>
  </si>
  <si>
    <t>Director Sociedad Inversiones Portuarias - CPT</t>
  </si>
  <si>
    <t>Cornelius</t>
  </si>
  <si>
    <t>CEO grupo empresas CPT</t>
  </si>
  <si>
    <t>Kummerlin</t>
  </si>
  <si>
    <t>Gottschald</t>
  </si>
  <si>
    <t>Gerente Reloncavi</t>
  </si>
  <si>
    <t>Gutierrez</t>
  </si>
  <si>
    <t xml:space="preserve">Gerente Agental Ltda.  </t>
  </si>
  <si>
    <t>Ocares</t>
  </si>
  <si>
    <t>Brantes</t>
  </si>
  <si>
    <t>Gerente Operaciones Pesca BLUMAR</t>
  </si>
  <si>
    <t>Florás</t>
  </si>
  <si>
    <t>Guerraty</t>
  </si>
  <si>
    <t>Gerente Regional Camanchaca Pesca Sur S.A.</t>
  </si>
  <si>
    <t>Gerente General PacificBlu</t>
  </si>
  <si>
    <t xml:space="preserve">Claudio </t>
  </si>
  <si>
    <t>Zencovich</t>
  </si>
  <si>
    <t>Gerente General Alimentos Marinos S.A. ALIMAR</t>
  </si>
  <si>
    <t>Daroch</t>
  </si>
  <si>
    <t>Coelo</t>
  </si>
  <si>
    <t>Gerente General Foodcorp Chile S.A.</t>
  </si>
  <si>
    <t xml:space="preserve">Fernando </t>
  </si>
  <si>
    <t>Ayala</t>
  </si>
  <si>
    <t>Burgemeister</t>
  </si>
  <si>
    <t>Gerente de Negocios Seafood Orizon S.A.</t>
  </si>
  <si>
    <t>Gerente de Operaciones Sociedad Pesquera Landes</t>
  </si>
  <si>
    <t xml:space="preserve">Simón </t>
  </si>
  <si>
    <t>Gundelach</t>
  </si>
  <si>
    <t>Gerente General Lota Protein</t>
  </si>
  <si>
    <t>Grimur</t>
  </si>
  <si>
    <t>Eiriksson</t>
  </si>
  <si>
    <t>Gerente Flota Pesquera Friosur S.A.</t>
  </si>
  <si>
    <t xml:space="preserve"> Veloso</t>
  </si>
  <si>
    <t>Gerente General de DTS</t>
  </si>
  <si>
    <t>Carola</t>
  </si>
  <si>
    <t>Fuentes</t>
  </si>
  <si>
    <t>Palacios</t>
  </si>
  <si>
    <t>Gerente General de FISA</t>
  </si>
  <si>
    <t>Sotomayor</t>
  </si>
  <si>
    <t>CEO GL Events Chile</t>
  </si>
  <si>
    <t>Capitán de Fragata (R)</t>
  </si>
  <si>
    <t>Lobo</t>
  </si>
  <si>
    <t>Director de Relaciones Institucionales y Desarrollo de Negocios GL Events Chile</t>
  </si>
  <si>
    <t>Carolina</t>
  </si>
  <si>
    <t>Z.</t>
  </si>
  <si>
    <t>Gerente Comercial Unidad FISA Concepción</t>
  </si>
  <si>
    <t>Bachur</t>
  </si>
  <si>
    <t>Melcher</t>
  </si>
  <si>
    <t>Director Regional CGE</t>
  </si>
  <si>
    <t xml:space="preserve">Quiñilen </t>
  </si>
  <si>
    <t>Azocar</t>
  </si>
  <si>
    <t>Sindicato Celulosa Arauco</t>
  </si>
  <si>
    <t>Freddy</t>
  </si>
  <si>
    <t>Zambrano</t>
  </si>
  <si>
    <t>Sindicato Inchalam</t>
  </si>
  <si>
    <t xml:space="preserve">Sergio </t>
  </si>
  <si>
    <t>Sindicato de Tripulantes Pesquero Biobio</t>
  </si>
  <si>
    <t>Rebolledo</t>
  </si>
  <si>
    <t>Moya</t>
  </si>
  <si>
    <t>Unión Portuaria Biobio</t>
  </si>
  <si>
    <t>Cayul</t>
  </si>
  <si>
    <t>Aristondo</t>
  </si>
  <si>
    <t>Sec. Ejec. de las Mesas Asesoras de la Industria Estratégica de la Defensa SUBSECDEF</t>
  </si>
  <si>
    <t>Erika</t>
  </si>
  <si>
    <t>FESTRAMET</t>
  </si>
  <si>
    <t>Iván</t>
  </si>
  <si>
    <t>Sindicato de trabajadores y trabajadoras ENAP-PEYROX</t>
  </si>
  <si>
    <t>Iglesias</t>
  </si>
  <si>
    <t>Hurtubia</t>
  </si>
  <si>
    <t>Gerente General de ENERGY ASSET</t>
  </si>
  <si>
    <t>PROVEEDORES</t>
  </si>
  <si>
    <t>Kossmann</t>
  </si>
  <si>
    <t>Presidente Directorio ASENAV</t>
  </si>
  <si>
    <t>Gerente General ASENAV</t>
  </si>
  <si>
    <t>Jefe de Proyecto ASENAV</t>
  </si>
  <si>
    <t>Germán</t>
  </si>
  <si>
    <t>Schacht</t>
  </si>
  <si>
    <t>Gerente Comercial y Marketing ASENAV</t>
  </si>
  <si>
    <t>Heinz</t>
  </si>
  <si>
    <t>Pearce</t>
  </si>
  <si>
    <t>Board Advisor ASENAV</t>
  </si>
  <si>
    <t>Hederra</t>
  </si>
  <si>
    <t>Pinto</t>
  </si>
  <si>
    <t>Gerente General SISDEF</t>
  </si>
  <si>
    <t>Calvanese</t>
  </si>
  <si>
    <t>Gerente Comercial SISDEF</t>
  </si>
  <si>
    <t>Garín</t>
  </si>
  <si>
    <t>Jefe de Proyecto SISDEF</t>
  </si>
  <si>
    <t>Swett</t>
  </si>
  <si>
    <t>Ejecutivo Comercial SISDEF</t>
  </si>
  <si>
    <t>Katrina</t>
  </si>
  <si>
    <t>Jefe de Marketing SISDEF</t>
  </si>
  <si>
    <t>Tamara</t>
  </si>
  <si>
    <t>Gerente de Soluciones de Seguridad SISDEF</t>
  </si>
  <si>
    <t>Gallaher</t>
  </si>
  <si>
    <t>Hucke</t>
  </si>
  <si>
    <t>Asesor Legal SISDEF</t>
  </si>
  <si>
    <t>Mutschler</t>
  </si>
  <si>
    <t>Castillo</t>
  </si>
  <si>
    <t>Gerente General Sociedad Comercial Equipos Industriales S.A. INDUELECTRO</t>
  </si>
  <si>
    <t>Roberta</t>
  </si>
  <si>
    <t>Subgerente General Sociedad Comercial Equipos Industriales S.A. INDUELECTRO</t>
  </si>
  <si>
    <t>Millan</t>
  </si>
  <si>
    <t>Jefe Sucursal Concepción INDUELECTRO</t>
  </si>
  <si>
    <t>Fauré</t>
  </si>
  <si>
    <t>Cañas</t>
  </si>
  <si>
    <t>Gerente General CODELPA S.A.</t>
  </si>
  <si>
    <t>Iturriaga</t>
  </si>
  <si>
    <t>Gerente General PROINGAS S.A.</t>
  </si>
  <si>
    <t>Atala</t>
  </si>
  <si>
    <t>Gerente Comercial PROINGAS S.A.</t>
  </si>
  <si>
    <t>Director General IBERCISA DECK Machinery S.A.</t>
  </si>
  <si>
    <t>Manuel Ricardo</t>
  </si>
  <si>
    <t>Jefe de Proyecto IBERCISA</t>
  </si>
  <si>
    <t>Sidney</t>
  </si>
  <si>
    <t>Chellew</t>
  </si>
  <si>
    <t>Daydi</t>
  </si>
  <si>
    <t>Gerente General SOCIBER</t>
  </si>
  <si>
    <t>Irribarra</t>
  </si>
  <si>
    <t>Mendoza</t>
  </si>
  <si>
    <t>Jefe de Administración y Venta SOCIBER</t>
  </si>
  <si>
    <t>Veldstra</t>
  </si>
  <si>
    <t>General Manager Project Management Navy Wärtsilä Marine</t>
  </si>
  <si>
    <t>Gise</t>
  </si>
  <si>
    <t>Van Mourik</t>
  </si>
  <si>
    <t>Gerente Ventas, Wärtsilä Marine</t>
  </si>
  <si>
    <t>Adolfo</t>
  </si>
  <si>
    <t>Gerente Sucursal COB Talcahuano (ASMAR)</t>
  </si>
  <si>
    <t>Oliva</t>
  </si>
  <si>
    <t>Barriga</t>
  </si>
  <si>
    <t>Gerente Sucursal COB Valdivia</t>
  </si>
  <si>
    <t>Gerente Operaciones Remolcadores CPT</t>
  </si>
  <si>
    <t>Almendra</t>
  </si>
  <si>
    <t>Gerente Zona Sur B. Bosch</t>
  </si>
  <si>
    <t>Gamundi</t>
  </si>
  <si>
    <t>Presidente FRIZONIA</t>
  </si>
  <si>
    <t>CEO  FRIZONIA Regrigeración, climatización .S.L.</t>
  </si>
  <si>
    <t>Goberna</t>
  </si>
  <si>
    <t>Presidente Industrias Ferri S.A.</t>
  </si>
  <si>
    <t>Marisela</t>
  </si>
  <si>
    <t>Félix</t>
  </si>
  <si>
    <t>Desarrollo de Negocios Industrias Ferri S.A.</t>
  </si>
  <si>
    <t>Vacarezza</t>
  </si>
  <si>
    <t>Gerente de Ventas Empresas CODELPA S.A.</t>
  </si>
  <si>
    <t>Sánchez de Pablo</t>
  </si>
  <si>
    <t>Presidente SP Consultores y Servicios</t>
  </si>
  <si>
    <t>Executive Vicepresident  SP Consultores y Servicios</t>
  </si>
  <si>
    <t>Antonio José</t>
  </si>
  <si>
    <t>Llago</t>
  </si>
  <si>
    <t>Hermida</t>
  </si>
  <si>
    <t>CEO GABADI</t>
  </si>
  <si>
    <t>Salgado</t>
  </si>
  <si>
    <t>COO GABADI</t>
  </si>
  <si>
    <t>Atle</t>
  </si>
  <si>
    <t>Monsen</t>
  </si>
  <si>
    <t>Sales and marketing KONGSBERG MARITIME AS</t>
  </si>
  <si>
    <t>Danchev</t>
  </si>
  <si>
    <t>Ivanov</t>
  </si>
  <si>
    <t>Project Manager KONGSBERG MARITIME AS</t>
  </si>
  <si>
    <t>Benedetto</t>
  </si>
  <si>
    <t>Catanzato</t>
  </si>
  <si>
    <t>CEO MELCAL SpA</t>
  </si>
  <si>
    <t>Daniele</t>
  </si>
  <si>
    <t>Apolo</t>
  </si>
  <si>
    <t>Project Manager MELCAL SpA</t>
  </si>
  <si>
    <t>Björn</t>
  </si>
  <si>
    <t>Ullbro</t>
  </si>
  <si>
    <t>CEO de EVAC Group</t>
  </si>
  <si>
    <t>Li</t>
  </si>
  <si>
    <t>Project Manager de EVAC Group</t>
  </si>
  <si>
    <t>Dirk</t>
  </si>
  <si>
    <t>Lange</t>
  </si>
  <si>
    <t>Senior Project Manager Damen Marine Components</t>
  </si>
  <si>
    <t>Virgilio</t>
  </si>
  <si>
    <t>Zimmmermann</t>
  </si>
  <si>
    <t>Commercial Project Manager KARL DOSE GmbH</t>
  </si>
  <si>
    <t>Tobias</t>
  </si>
  <si>
    <t>Zimmermann</t>
  </si>
  <si>
    <t>Technical Project Manager KARL DOSE GmbH</t>
  </si>
  <si>
    <t>Leif</t>
  </si>
  <si>
    <t>Parker</t>
  </si>
  <si>
    <t>Managing Director KARL DOSE GmbH</t>
  </si>
  <si>
    <t>Esteban</t>
  </si>
  <si>
    <t>Representante Legal  HECARES</t>
  </si>
  <si>
    <t>Fernanda</t>
  </si>
  <si>
    <t>Sarmento</t>
  </si>
  <si>
    <t>DNV Area Manager - Maritime Sputh América</t>
  </si>
  <si>
    <t>Maximinio</t>
  </si>
  <si>
    <t>Ferreira</t>
  </si>
  <si>
    <t>DNV</t>
  </si>
  <si>
    <t>Ekdahl</t>
  </si>
  <si>
    <t>DNV Chile Maritime Station Manager DNV</t>
  </si>
  <si>
    <t>Ernesto</t>
  </si>
  <si>
    <t>Muller</t>
  </si>
  <si>
    <t>Project Manager Expert Surveyor DNV</t>
  </si>
  <si>
    <t>Markus</t>
  </si>
  <si>
    <t>Warnck</t>
  </si>
  <si>
    <t>Head of Competence Center Marine MINIMAX Fire Solutions</t>
  </si>
  <si>
    <t>Kai</t>
  </si>
  <si>
    <t>Hupka</t>
  </si>
  <si>
    <t>Project Manager MINIMAX Fire Solutions</t>
  </si>
  <si>
    <t>Manzoliz</t>
  </si>
  <si>
    <t>Gerente General Astillero SITECNA</t>
  </si>
  <si>
    <t>Gerente División Naval Astillero DETROIT</t>
  </si>
  <si>
    <t>Walter</t>
  </si>
  <si>
    <t>Birr</t>
  </si>
  <si>
    <t>Agente VARD Marine Brasil</t>
  </si>
  <si>
    <t>Saravia</t>
  </si>
  <si>
    <t xml:space="preserve">Representante en Chile VARD Marine </t>
  </si>
  <si>
    <t>Mark</t>
  </si>
  <si>
    <t>Cook</t>
  </si>
  <si>
    <t>Chief Technical Officer VARD Marine</t>
  </si>
  <si>
    <t>Meza</t>
  </si>
  <si>
    <t>Gerente Armatorial, Remolcadores ULTRATUG</t>
  </si>
  <si>
    <t>Rigazzi</t>
  </si>
  <si>
    <t>MCG Hidraúlica SpA</t>
  </si>
  <si>
    <t>Buono-core</t>
  </si>
  <si>
    <t>Gerente General SAAM Towage</t>
  </si>
  <si>
    <t>Capitám de Fragata (R.)</t>
  </si>
  <si>
    <t>Preuss</t>
  </si>
  <si>
    <t>Levancini</t>
  </si>
  <si>
    <t>Gerente de Operaciones SAAM Towage</t>
  </si>
  <si>
    <t>Howard</t>
  </si>
  <si>
    <t>Gerente General HUMBOLDT</t>
  </si>
  <si>
    <t>Mizgier</t>
  </si>
  <si>
    <t>Naviera Canales Australes SpA</t>
  </si>
  <si>
    <t>Juan</t>
  </si>
  <si>
    <t>De La Cueva</t>
  </si>
  <si>
    <t>Director Comercial NAVANTIA</t>
  </si>
  <si>
    <t>Almte.</t>
  </si>
  <si>
    <t>Caramelo</t>
  </si>
  <si>
    <t>Director de Gabinete Presidente- Líder de la Delegacion de NAVANTIA</t>
  </si>
  <si>
    <t>Aaron</t>
  </si>
  <si>
    <t>Ex Country Manager NAVANTIA</t>
  </si>
  <si>
    <t>Presidente NAVANTIA</t>
  </si>
  <si>
    <t>Dobarro</t>
  </si>
  <si>
    <t>Rubido</t>
  </si>
  <si>
    <t>Vicepresidente Negocio de Fragatas y Buques de Intervención NAVANTIA</t>
  </si>
  <si>
    <t>Menéndez</t>
  </si>
  <si>
    <t>Director Comercial América, NAVANTIA</t>
  </si>
  <si>
    <t>Mateo</t>
  </si>
  <si>
    <t>Director NAVANTIA</t>
  </si>
  <si>
    <t>Johnson</t>
  </si>
  <si>
    <t>Aranda</t>
  </si>
  <si>
    <t>Gerente General Consultoria Naval e Industrial</t>
  </si>
  <si>
    <t>Director Corporativo Grupo Fernandez Jove</t>
  </si>
  <si>
    <t>Director Comercial Fernández Jove Comercial e Ingenieria S.L.</t>
  </si>
  <si>
    <t>Ordoñez</t>
  </si>
  <si>
    <t>Gerente Comercial División Marina GHENOVA</t>
  </si>
  <si>
    <t>Campoy</t>
  </si>
  <si>
    <t>Zuasti</t>
  </si>
  <si>
    <t>Director y Dueno de Oficina Técnica ABANCE</t>
  </si>
  <si>
    <t>Juan Ignacio</t>
  </si>
  <si>
    <t>Spikin</t>
  </si>
  <si>
    <t>Gerente Operaciones Astillero CALBUCO</t>
  </si>
  <si>
    <t>Bacigalupo</t>
  </si>
  <si>
    <t>Falcón</t>
  </si>
  <si>
    <t>Gerente General SONAPESCA</t>
  </si>
  <si>
    <t xml:space="preserve">ASMAR </t>
  </si>
  <si>
    <t>Callejas</t>
  </si>
  <si>
    <t>Quiróz</t>
  </si>
  <si>
    <t>Administrador ASMAR(M)</t>
  </si>
  <si>
    <t>Illanes</t>
  </si>
  <si>
    <t>Guerra</t>
  </si>
  <si>
    <t>Administrador ASMAR(V)</t>
  </si>
  <si>
    <t>Admistrador ASMAR (T)</t>
  </si>
  <si>
    <t>ASMAR DIRECCIÓN</t>
  </si>
  <si>
    <t>Makray</t>
  </si>
  <si>
    <t>Baylaucq</t>
  </si>
  <si>
    <t>Subdirector ASMAR</t>
  </si>
  <si>
    <t>Secretario General</t>
  </si>
  <si>
    <t>Niemann</t>
  </si>
  <si>
    <t>Figari</t>
  </si>
  <si>
    <t>Gerente de Asuntos Corporativos</t>
  </si>
  <si>
    <t>Gerente Comercial Corporativo</t>
  </si>
  <si>
    <t>Guido</t>
  </si>
  <si>
    <t>Crespo</t>
  </si>
  <si>
    <t>Auditor Corporativo</t>
  </si>
  <si>
    <t>Kohler</t>
  </si>
  <si>
    <t>Gary</t>
  </si>
  <si>
    <t>Gerente Corp. Operaciones</t>
  </si>
  <si>
    <t>Perez</t>
  </si>
  <si>
    <t>Gerente Corp. Planificación y Desarrollo</t>
  </si>
  <si>
    <t>Gerente Corporativo de Finanzas (S)</t>
  </si>
  <si>
    <t>Giancarlo</t>
  </si>
  <si>
    <t>Stagno</t>
  </si>
  <si>
    <t>Canziani</t>
  </si>
  <si>
    <t>Gerente Corporativo de Personas</t>
  </si>
  <si>
    <t>Sandra</t>
  </si>
  <si>
    <t>Jefe Corporativo RR.PP. Y Comunicaciones</t>
  </si>
  <si>
    <t>Luttges</t>
  </si>
  <si>
    <t>Mathieu</t>
  </si>
  <si>
    <t>Gerente Corporativo  de Construcción Naval</t>
  </si>
  <si>
    <t>Orlando</t>
  </si>
  <si>
    <t>Jefe Corporativo Unidad de SS</t>
  </si>
  <si>
    <t>Carmen</t>
  </si>
  <si>
    <t>Quintanal</t>
  </si>
  <si>
    <t>Quinteros</t>
  </si>
  <si>
    <t>Asistente Ejecutiva Fiscalía</t>
  </si>
  <si>
    <t xml:space="preserve">Londa </t>
  </si>
  <si>
    <t>Salinas</t>
  </si>
  <si>
    <t>Jefa de Adquisiciones y Contratos</t>
  </si>
  <si>
    <t>Verdugo</t>
  </si>
  <si>
    <t>Jefa Corporativo de Unidad de Inversiones y Desarrollo</t>
  </si>
  <si>
    <t xml:space="preserve">Ana </t>
  </si>
  <si>
    <t>Toro</t>
  </si>
  <si>
    <t>Quezada</t>
  </si>
  <si>
    <t>Analista Control de Gestión Finanzas</t>
  </si>
  <si>
    <t xml:space="preserve">Hilda </t>
  </si>
  <si>
    <t>Vicuña</t>
  </si>
  <si>
    <t>Bastías</t>
  </si>
  <si>
    <t>Contador Corporativo Serv. de Bienestar</t>
  </si>
  <si>
    <t>Katya</t>
  </si>
  <si>
    <t>Cordero</t>
  </si>
  <si>
    <t>Pulgar</t>
  </si>
  <si>
    <t xml:space="preserve">Asistente Ejecutiva Gerencia Corp. Planif. Des. </t>
  </si>
  <si>
    <t>Ana María</t>
  </si>
  <si>
    <t>Montenegro</t>
  </si>
  <si>
    <t>Kellet</t>
  </si>
  <si>
    <t>Asistente Ejecutiva Gerencia Corporativa C.N.</t>
  </si>
  <si>
    <t>Encargado Servicios Generales ASMAR (D)</t>
  </si>
  <si>
    <t>Danilo</t>
  </si>
  <si>
    <t xml:space="preserve">Díaz </t>
  </si>
  <si>
    <t>Encargado Secretaría ASMAR (D)</t>
  </si>
  <si>
    <t>Zurita</t>
  </si>
  <si>
    <t>Cisternas</t>
  </si>
  <si>
    <t>Jefe Corporativo de Unidad de Contabilidad y Asuntos Tributarios</t>
  </si>
  <si>
    <t>Cárdenas</t>
  </si>
  <si>
    <t>Velasquez</t>
  </si>
  <si>
    <t>Jefe Departamento Presupuesto Corporativo</t>
  </si>
  <si>
    <t>Jorquera</t>
  </si>
  <si>
    <t>Jefe Unidad Control de Gestión</t>
  </si>
  <si>
    <t>ASMARVALP</t>
  </si>
  <si>
    <t xml:space="preserve">Juan Luis </t>
  </si>
  <si>
    <t>Ansoleaga</t>
  </si>
  <si>
    <t>Bengoechea</t>
  </si>
  <si>
    <t xml:space="preserve">Subgerente Comercial </t>
  </si>
  <si>
    <t>Quintero</t>
  </si>
  <si>
    <t>Jefe Proyecto</t>
  </si>
  <si>
    <t>Adonis</t>
  </si>
  <si>
    <t>Pedreros</t>
  </si>
  <si>
    <t>Asistente Ejecutiva Administrador</t>
  </si>
  <si>
    <t>SPL Estructuras</t>
  </si>
  <si>
    <t>Jefe Depto. Electricidad</t>
  </si>
  <si>
    <t>Christopher</t>
  </si>
  <si>
    <t>Mena</t>
  </si>
  <si>
    <t>Apablaza</t>
  </si>
  <si>
    <t>Preparador Electricidad</t>
  </si>
  <si>
    <t>Benjamín</t>
  </si>
  <si>
    <t>Gaete</t>
  </si>
  <si>
    <t>Mecánico Bombas</t>
  </si>
  <si>
    <t>Evelyn</t>
  </si>
  <si>
    <t>Becerra</t>
  </si>
  <si>
    <t>Astudillo</t>
  </si>
  <si>
    <t>Nancy</t>
  </si>
  <si>
    <t>Suazo</t>
  </si>
  <si>
    <t>Jefe Depto. Personas</t>
  </si>
  <si>
    <t>Pastor Evangélico ASMAR(T)</t>
  </si>
  <si>
    <t>ASMARTALC</t>
  </si>
  <si>
    <t xml:space="preserve">Alejandro </t>
  </si>
  <si>
    <t>König</t>
  </si>
  <si>
    <t>Scheihing</t>
  </si>
  <si>
    <t>Ingeniero Senior Administrador</t>
  </si>
  <si>
    <t>Gerente Ventas Armada</t>
  </si>
  <si>
    <t>Bugueño</t>
  </si>
  <si>
    <t>Nazer</t>
  </si>
  <si>
    <t>Gerente Comercial Buques Mercantes y Pesqueros</t>
  </si>
  <si>
    <t xml:space="preserve">Juan José </t>
  </si>
  <si>
    <t>Munita</t>
  </si>
  <si>
    <t>Greene</t>
  </si>
  <si>
    <t>Gerente Construcción Naval</t>
  </si>
  <si>
    <t>Leon</t>
  </si>
  <si>
    <t>Del Pedregal</t>
  </si>
  <si>
    <t>Gerente de Investigacion, Desarrollo e Inversiones</t>
  </si>
  <si>
    <t xml:space="preserve">Loreto </t>
  </si>
  <si>
    <t>Tirapegui</t>
  </si>
  <si>
    <t>Gerente Gestion</t>
  </si>
  <si>
    <t>Lefian</t>
  </si>
  <si>
    <t>Gerente Logística</t>
  </si>
  <si>
    <t>Ferrada</t>
  </si>
  <si>
    <t>Córdova</t>
  </si>
  <si>
    <t>Gerente Operaciones</t>
  </si>
  <si>
    <t>Llanos</t>
  </si>
  <si>
    <t>Gerente Reparaciones</t>
  </si>
  <si>
    <t>Gerardo</t>
  </si>
  <si>
    <t>Araneda</t>
  </si>
  <si>
    <t>Gerente RRHH</t>
  </si>
  <si>
    <t>Armando</t>
  </si>
  <si>
    <t>Retamal</t>
  </si>
  <si>
    <t>Presidente Sindicato de Funcionarios(as)</t>
  </si>
  <si>
    <t>Rosita</t>
  </si>
  <si>
    <t>Hidalgo</t>
  </si>
  <si>
    <t>Venegas</t>
  </si>
  <si>
    <t>Presidente Sindicato de Profesionales</t>
  </si>
  <si>
    <t xml:space="preserve">Paula </t>
  </si>
  <si>
    <t>Del Pino</t>
  </si>
  <si>
    <t>Gecele</t>
  </si>
  <si>
    <t>Presidente Sindicato de Trabajadores</t>
  </si>
  <si>
    <t>Ringele</t>
  </si>
  <si>
    <t>Presidente Sindicato Inter Empresas de Supervisores</t>
  </si>
  <si>
    <t>Acuña</t>
  </si>
  <si>
    <t>Sindicato de Empleados. Operador de Producción. Taller de aceros y pintura</t>
  </si>
  <si>
    <t>Suarez</t>
  </si>
  <si>
    <t>Condestable Mayor ASMAR T</t>
  </si>
  <si>
    <t>Susana</t>
  </si>
  <si>
    <t>Aguayo</t>
  </si>
  <si>
    <t>Jefe Sección Almacenamiento</t>
  </si>
  <si>
    <t>Hugo</t>
  </si>
  <si>
    <t>Dominguez</t>
  </si>
  <si>
    <t xml:space="preserve">Jefe de Departamento Integración e Ingeniería de Sistemas </t>
  </si>
  <si>
    <t>Obando</t>
  </si>
  <si>
    <t>Jefe de Departamento de Sistemas de Ingeniería</t>
  </si>
  <si>
    <t>Benavente</t>
  </si>
  <si>
    <t>Jefe de Departamento Investigación y Desarrollo</t>
  </si>
  <si>
    <t>Machmar</t>
  </si>
  <si>
    <t>Jefe de Proyecto Senior CN</t>
  </si>
  <si>
    <t xml:space="preserve">Proust </t>
  </si>
  <si>
    <t>Cotton</t>
  </si>
  <si>
    <t>Jefe de Taller de Maquinaria Naval</t>
  </si>
  <si>
    <t>Peralta</t>
  </si>
  <si>
    <t>Jefe de Taller Mecánica de Armamentos</t>
  </si>
  <si>
    <t xml:space="preserve">Santiago </t>
  </si>
  <si>
    <t>Bruna</t>
  </si>
  <si>
    <t>Jefe Depto Servicios</t>
  </si>
  <si>
    <t>Gianfranco</t>
  </si>
  <si>
    <t>De Barbieri</t>
  </si>
  <si>
    <t>Boero</t>
  </si>
  <si>
    <t>Jefe Depto. Abastecimiento</t>
  </si>
  <si>
    <t>Gunther</t>
  </si>
  <si>
    <t>Momberg</t>
  </si>
  <si>
    <t>Jefe Depto. Asesoría Legal</t>
  </si>
  <si>
    <t xml:space="preserve">Flores </t>
  </si>
  <si>
    <t>Jefe Depto. Contabilidad</t>
  </si>
  <si>
    <t>Jhony</t>
  </si>
  <si>
    <t>Jefe Depto. Diseño C.N.</t>
  </si>
  <si>
    <t>Navarrete</t>
  </si>
  <si>
    <t xml:space="preserve">Yáñez </t>
  </si>
  <si>
    <t>Jefe Depto. Mantención</t>
  </si>
  <si>
    <t>Marina</t>
  </si>
  <si>
    <t>Henríquez</t>
  </si>
  <si>
    <t>Moraga</t>
  </si>
  <si>
    <t>Jefe Depto. Planificación de Reparaciones</t>
  </si>
  <si>
    <t>Yagui</t>
  </si>
  <si>
    <t>Jefe Depto. Planificación y Control de Gestión de CN</t>
  </si>
  <si>
    <t>Jefe Depto. Producción C.N.</t>
  </si>
  <si>
    <t xml:space="preserve">Edgardo </t>
  </si>
  <si>
    <t>Huerta</t>
  </si>
  <si>
    <t>Jefe Depto. Seguridad, Salud Ocupacional y Medio Ambiente</t>
  </si>
  <si>
    <t>Edison</t>
  </si>
  <si>
    <t>Jefe Depto. Subcontratos Suplente</t>
  </si>
  <si>
    <t>Jefe Proyecto C.N.</t>
  </si>
  <si>
    <t>Pereira</t>
  </si>
  <si>
    <t>Jefe Taller Aceros C.N.</t>
  </si>
  <si>
    <t>Maldonado</t>
  </si>
  <si>
    <t>Jefe Taller Calderas y Cañerías</t>
  </si>
  <si>
    <t>Víctor</t>
  </si>
  <si>
    <t>Burboa</t>
  </si>
  <si>
    <t>Caamaño</t>
  </si>
  <si>
    <t>Jefe Taller Cañerías y Estructuras Menores</t>
  </si>
  <si>
    <t>Saez</t>
  </si>
  <si>
    <t>Jefe Taller Electricidad</t>
  </si>
  <si>
    <t>Jefe Taller Electrónica</t>
  </si>
  <si>
    <t>Jefe Taller Estructuras</t>
  </si>
  <si>
    <t>Jeffrey</t>
  </si>
  <si>
    <t>Bragg</t>
  </si>
  <si>
    <t>Jefe  de Departamento de Ventas Armada Submarinos</t>
  </si>
  <si>
    <t xml:space="preserve">René </t>
  </si>
  <si>
    <t>Jefe de Departamento Casco y Dique</t>
  </si>
  <si>
    <t>Anibal</t>
  </si>
  <si>
    <t>Mendeleweski</t>
  </si>
  <si>
    <t>Jefe de Departamento de Armamento</t>
  </si>
  <si>
    <t>Jefe de Departamento de Bienestar</t>
  </si>
  <si>
    <t>Jefe de Departamento de Proyectos CN</t>
  </si>
  <si>
    <t>Jefe de Departamento de Relaciones Laborales</t>
  </si>
  <si>
    <t>Ogalde</t>
  </si>
  <si>
    <t>Jefe de Departamento de Ventas Armada Superficie y RR.TT.</t>
  </si>
  <si>
    <t>Ana Marpia</t>
  </si>
  <si>
    <t>Jefe Unidad Corporativa de Desarrollo Software</t>
  </si>
  <si>
    <t xml:space="preserve">Ricardo </t>
  </si>
  <si>
    <t>Jefe Unidad Corporativa de Servicios Tecnología de la Información</t>
  </si>
  <si>
    <t>Subgerente Comercial Buques Mercantes</t>
  </si>
  <si>
    <t>Subgerente Comercial Buques Pesqueros</t>
  </si>
  <si>
    <t>Boris</t>
  </si>
  <si>
    <t>Jefe de Departamento Presupuesto Operación</t>
  </si>
  <si>
    <t>Grant</t>
  </si>
  <si>
    <t>Del Río</t>
  </si>
  <si>
    <t>Jefe de Departamento de Tesorería</t>
  </si>
  <si>
    <t>Mella</t>
  </si>
  <si>
    <t>D'Appollonio</t>
  </si>
  <si>
    <t>Jefe Unidad Corporativa de Auditoría interna</t>
  </si>
  <si>
    <t>Groz</t>
  </si>
  <si>
    <t>Ingeniero Senior C-320</t>
  </si>
  <si>
    <t>Chaparro</t>
  </si>
  <si>
    <t>Fariña</t>
  </si>
  <si>
    <t>Ingeniero Senior CN C-451</t>
  </si>
  <si>
    <t>Samuel</t>
  </si>
  <si>
    <t>Leal</t>
  </si>
  <si>
    <t xml:space="preserve">Manuel </t>
  </si>
  <si>
    <t>Tornel</t>
  </si>
  <si>
    <t>Urcullu</t>
  </si>
  <si>
    <t>Ingeniero Senior CN C-455</t>
  </si>
  <si>
    <t>Avelino</t>
  </si>
  <si>
    <t>Bazán</t>
  </si>
  <si>
    <t>Ingeniero Senior Reparaciones</t>
  </si>
  <si>
    <t>Marco Polo</t>
  </si>
  <si>
    <t>Garcés</t>
  </si>
  <si>
    <t>Jefe Unidad Corporativa de Seguridad de la información</t>
  </si>
  <si>
    <t>Harold</t>
  </si>
  <si>
    <t>Kauer</t>
  </si>
  <si>
    <t>Jefe de Proyecto Corporativo Senior</t>
  </si>
  <si>
    <t>Nuñez</t>
  </si>
  <si>
    <t>Gomez</t>
  </si>
  <si>
    <t>Belmar</t>
  </si>
  <si>
    <t>Jefe Taller de combustión interna</t>
  </si>
  <si>
    <t>Jefe Taller de Diques</t>
  </si>
  <si>
    <t>Karla</t>
  </si>
  <si>
    <t>Caviedes</t>
  </si>
  <si>
    <t>Jefe Proyecto Armada C-420</t>
  </si>
  <si>
    <t>Jefe Taller Habitabilidad y Electricidad</t>
  </si>
  <si>
    <t>ASMARMAG</t>
  </si>
  <si>
    <t>Poblete</t>
  </si>
  <si>
    <t xml:space="preserve">Presidente del Sindicato N°2 </t>
  </si>
  <si>
    <t>Presidente del Sindicato N°1</t>
  </si>
  <si>
    <t>Jessop</t>
  </si>
  <si>
    <t>Subgerente de Logística</t>
  </si>
  <si>
    <t>Subgerente de Personas</t>
  </si>
  <si>
    <t xml:space="preserve">Sebastián </t>
  </si>
  <si>
    <t xml:space="preserve">Garrido </t>
  </si>
  <si>
    <t xml:space="preserve">Gajardo          </t>
  </si>
  <si>
    <t>Mora</t>
  </si>
  <si>
    <t>Jefe Depto. Comercial Armada</t>
  </si>
  <si>
    <t>Jefe Depto. Planificación y Gestión</t>
  </si>
  <si>
    <t>Asignados</t>
  </si>
  <si>
    <t>DISTRIBUCIÓN VIP</t>
  </si>
  <si>
    <t>Criterio: TRIBUNA BASE = VIP y AST. distinto de NO, independiente de la FUENTE. Filas A/B/C centro 23. Fila D con reservas y sin sillas.</t>
  </si>
  <si>
    <t>Total VIP a distribuir</t>
  </si>
  <si>
    <t>Capacidad VIP válida</t>
  </si>
  <si>
    <t>Pendiente por asignar</t>
  </si>
  <si>
    <t>Centro Filas A/B/C</t>
  </si>
  <si>
    <t>23</t>
  </si>
  <si>
    <t>Fila D</t>
  </si>
  <si>
    <t>D11-D17 reservado | D18-D27 sin silla | D28-D35 reservado</t>
  </si>
  <si>
    <t>FILA A</t>
  </si>
  <si>
    <t>A1
Sebastián Keitel Bianchi
Circunscripción 10 Región Biobío</t>
  </si>
  <si>
    <t>A2
Camila Flores Oporto
Comisión de Defensa Nacional</t>
  </si>
  <si>
    <t>A3
Julio Anativia Zamora
Delegado Presidencial Región de Bio Bio</t>
  </si>
  <si>
    <t>A4
Sergio Giacaman García
Gobernador Región Bio Bio</t>
  </si>
  <si>
    <t>A5
Marcela Larrañaga Martin
Madrina</t>
  </si>
  <si>
    <t>A6
Eduardo Cerna Lozano
*Director General de la Policía de Investigaciones de Chile</t>
  </si>
  <si>
    <t>A7
Miguel Stange Muñoz
*Comandante en Jefe de la Fuerza Aérea de Chile (S)</t>
  </si>
  <si>
    <t>A8
Julio Leiva Molina
Ex - Comandante en Jefe de la Armada</t>
  </si>
  <si>
    <t>A9
Sone Kenko
Embajadora de Japón en Chile</t>
  </si>
  <si>
    <t>A10
Lotty Farah Andrade Abdo
Embajadora de Ecuador en Chile</t>
  </si>
  <si>
    <t>A11
Per Pollen Nilsen
Embajador de Noruega en Chile</t>
  </si>
  <si>
    <t>A12
Sebastián Guanumen Parra
Embajador de Colombia en Chile</t>
  </si>
  <si>
    <t>A13
Andrew James Barrit Martin
Embajador de Australia en Chile</t>
  </si>
  <si>
    <t>A14
Johanna Kotkajarvi
Embajadora de Finlandia en Chile</t>
  </si>
  <si>
    <t>A15
Adriana Delpiano Puelma
Ex Ministra de Defensa Nacional</t>
  </si>
  <si>
    <t>A16
Francisco Undurruga Gazitúa
Ministro de las Culturas, las Artes y el Patrimonio</t>
  </si>
  <si>
    <t>A17
Claudio Alvarado Andrade
Biministro del Interior y Secretario General de Gobierno</t>
  </si>
  <si>
    <t>A18
Ricardo Lagos Escobar
Ex Presidente de la República</t>
  </si>
  <si>
    <t>A19
Gabriel Boric Font
Ex Presidente de la República</t>
  </si>
  <si>
    <t>A20
María Cecilia Morel Montes
Ex - Primera Dama</t>
  </si>
  <si>
    <t>A21
Fernando Cabrera Salazar
*Comandante en Jefe de la Armada</t>
  </si>
  <si>
    <t>A22
María Pía Adriasola Barroihet
Esposa del Presidente de la República</t>
  </si>
  <si>
    <t>A23
José Antonio Kast Rist
* Presidente de la República</t>
  </si>
  <si>
    <t>A24
Fernando Barros Tocornal
*Ministro de Defensa Nacional</t>
  </si>
  <si>
    <t>A25
Roxana Mery Casella
Esposa del Comandante en Jefe de la Armada</t>
  </si>
  <si>
    <t>A26
Iván Moreira Barros
*Presidenta del Senado (Representante).</t>
  </si>
  <si>
    <t>A27
Michelle Bachelet Jeria
Ex Presidenta de la República</t>
  </si>
  <si>
    <t>A28
Eduardo Frei Ruiz-tagle
Ex Presidente de la República</t>
  </si>
  <si>
    <t>A29
Catalina Parot Donoso
Ministra de Bienes Nacionales</t>
  </si>
  <si>
    <t>A30
Maya Fernández Allende
Ex Ministra de Defensa Nacional</t>
  </si>
  <si>
    <t>A31
Niu Qingbao
Embajador de la República Popular China en Chile</t>
  </si>
  <si>
    <t>A32
Valeria Biagiotti
Embajadora de Italia en Chile</t>
  </si>
  <si>
    <t>A33
Ahmet Ihsan Kiziltan
Embajadora de Turquia en Chile</t>
  </si>
  <si>
    <t>A34
Karolina Linda Guay Guay
Embajadora de Canadá en Chile</t>
  </si>
  <si>
    <t>A35
Elke Schaapveld E/v Merks
Embajadora de los Países Bajos en Chile</t>
  </si>
  <si>
    <t>A36
Laura Oroz Ulibarri
Embajadora de España en Chile</t>
  </si>
  <si>
    <t>A37
Peleg Lewi
Embajadora de Israel en Chile</t>
  </si>
  <si>
    <t>A38
Pedro Varela Sabando
*Comandante en Jefe del Ejército</t>
  </si>
  <si>
    <t>A39
Marcelo Araya Zapata
*General Director de Carabineros de Chile</t>
  </si>
  <si>
    <t>A40
Rodolfo Codina Díaz
Ex - Comandante en Jefe de la Armada</t>
  </si>
  <si>
    <t>A41
Leonardo Romanini Gutiérrez
Jefe del Estado Mayor Conjunto de las Fuerzas Armadas</t>
  </si>
  <si>
    <t>A42
Jorge Flies Añon
Gobernador Región de Magallanes</t>
  </si>
  <si>
    <t>A43
Pedro Araya Guerrero
Comisión de Defensa Nacional</t>
  </si>
  <si>
    <t>A44
Gastón Saavedra Chandía
Comisión de Defensa Nacional</t>
  </si>
  <si>
    <t>A45
Enrique Van Rysselberghe Herrera
Circunscripción 10 Región Biobío</t>
  </si>
  <si>
    <t>FILA B</t>
  </si>
  <si>
    <t>B1
José Pablo Gómez
Dirección de Presupuesto</t>
  </si>
  <si>
    <t>B2
Carla Coronado
Asesora Ministerio Consejo Directivo de Construcción Naval</t>
  </si>
  <si>
    <t>B3
Elizabeth Zapata González
Directora Desarrollo Tecnológico Corfo y Directora Ejecutiva Comité de Construcción Naval</t>
  </si>
  <si>
    <t>B4
Catalina Ugarte Millán
Jefe Gabinete Precidencial</t>
  </si>
  <si>
    <t>B5
Rafael Araos Bralic
Subsecretaria de Ciencia, Tecnología, Conocimiento e Innovación</t>
  </si>
  <si>
    <t>B6
Rodrigo Álvarez Aguirre
*Subsecretario de Defensa</t>
  </si>
  <si>
    <t>B7
Cristóbal Urruticoechea Ríos
Diputado Distrito 21</t>
  </si>
  <si>
    <t>B8
Joanna Pérez Olea
Diputado Distrito 21</t>
  </si>
  <si>
    <t>B9
José Rivas Villalobos
Diputado Distrito 20</t>
  </si>
  <si>
    <t>B10
Álvaro Ortíz Vera
Diputado Distrito 20</t>
  </si>
  <si>
    <t>B11
Paz Charpentier Rajcevich
Diputado Distrito 20</t>
  </si>
  <si>
    <t>B12
Roberto Arroyo Muñoz
Diputado Distrito 20</t>
  </si>
  <si>
    <t>B13
Consuelo Veloso Ávila
Comisión de Futuro, Ciencia, Tecnología, Conocimiento e Innovación</t>
  </si>
  <si>
    <t>B14
Diego Schalper Sepúlveda
Comisión de Futuro, Ciencia, Tecnología, Conocimiento e Innovación</t>
  </si>
  <si>
    <t>B15
José Montalva Feuerhake
Comisión de Futuro, Ciencia, Tecnología, Conocimiento e Innovación</t>
  </si>
  <si>
    <t>B16
Patricio Briones Moller
Diputado Distrito 20</t>
  </si>
  <si>
    <t>B17
Daniel Valenzuela Salazar
Integrante de la Comisión de Defensa Nacional</t>
  </si>
  <si>
    <t>B18
Omar Sabat Guzmán
Integrante de la Comisión de Defensa Nacional</t>
  </si>
  <si>
    <t>B19
Hans Marowski Cuevas
Integrante de la Comisión de Defensa Nacional</t>
  </si>
  <si>
    <t>B20
Jorge Brito Hasbún
Integrante de la Comisión de Defensa Nacional</t>
  </si>
  <si>
    <t>B21
Álvaro Carter Fernández
Presidente de la Comisión de Defensa Nacional</t>
  </si>
  <si>
    <t>B22
Gustavo Sanhueza Dueñas
Circunsripción Zona Ñuble</t>
  </si>
  <si>
    <t>B23
Alfonso De Urresti Longton
Senador de la República</t>
  </si>
  <si>
    <t>B24
Loreto Carvajal Ambiado
Circunsripción Zona Ñuble</t>
  </si>
  <si>
    <t>B25
Marcos Barraza Gómez
Integrante de la Comisión de Defensa Nacional</t>
  </si>
  <si>
    <t>B26
Carlos Cuadrado Prats
Integrante de la Comisión de Defensa Nacional</t>
  </si>
  <si>
    <t>B27
Javier Olivares Avendaño
Integrante de la Comisión de Defensa Nacional</t>
  </si>
  <si>
    <t>B28
Luis Sánchez Ossa
Integrante de la Comisión de Defensa Nacional</t>
  </si>
  <si>
    <t>B29
Daniel Manouchehri Lobos
Presidente Comisión de Futuro, Ciencia, Tecnología, Conocimiento e Innovación</t>
  </si>
  <si>
    <t>B30
Cristóbal Martínez Ramírez
Comisión de Futuro, Ciencia, Tecnología, Conocimiento e Innovación</t>
  </si>
  <si>
    <t>B31
Cristian Neira Martínez
Comisión de Futuro, Ciencia, Tecnología, Conocimiento e Innovación</t>
  </si>
  <si>
    <t>B32
Daniela Serrano Salazar
Comisión de Futuro, Ciencia, Tecnología, Conocimiento e Innovación</t>
  </si>
  <si>
    <t>B33
Gael Yeomans Araya
Comisión de Futuro, Ciencia, Tecnología, Conocimiento e Innovación</t>
  </si>
  <si>
    <t>B34
Sergio Bobadilla Muñoz
Diputado Distrito 20</t>
  </si>
  <si>
    <t>B35
Francesca Muñoz González
Diputado Distrito 20</t>
  </si>
  <si>
    <t>B36
Marlene Pérez Cartes
Diputado Distrito 20</t>
  </si>
  <si>
    <t>B37
Lilian Betancurt Delgado
Diputado Distrito 21</t>
  </si>
  <si>
    <t>B38
Patricio Pinilla Valencia
Diputado Distrito 21</t>
  </si>
  <si>
    <t>B39
Flor Weisse Novoa
Diputado Distrito 21</t>
  </si>
  <si>
    <t>B40
Christian Bolívar Romero
*Subsecretario de las Fuerzas Armadas</t>
  </si>
  <si>
    <t>B41
Julio Cacho Morán
*Jefe del Estado Mayor de la Armada de Perú</t>
  </si>
  <si>
    <t>B42
José Ignacio Mujica Castro
Vicepresidente Corfo</t>
  </si>
  <si>
    <t>B43
Santiago Browne Hurtado
Gerente de Asuntos Estratégicos (s) de Corfo</t>
  </si>
  <si>
    <t>B44
Fernando Hentzschel
Gerente de Capacidades Tecnológicas Consejo Directivo de Construcción Naval</t>
  </si>
  <si>
    <t>B45
José Ignacio Llodrá Vial
Subdirector de Racionalización y Función Pública</t>
  </si>
  <si>
    <t>FILA C</t>
  </si>
  <si>
    <t>C1
Raúl Zamorano Goñi
Jefe del Estado Mayor General de la Armada</t>
  </si>
  <si>
    <t>C2
Claudia Chamorro Contreras
Jefe VIII Región Policial Bío Bío</t>
  </si>
  <si>
    <t>C3
Oscar Rivera Marin
Director Regional de Obras Portuarias</t>
  </si>
  <si>
    <t>C4
Claudio Andrade Otarola
Director Regional de la Agencia Nacional de Inteligencia</t>
  </si>
  <si>
    <t>C5
Pablo Zavala Fernández
Presidente de la Ilustrísima Corte de Apelaciones de Concepción</t>
  </si>
  <si>
    <t>C6
Claudio Radonich Jiménez
Alcalde de Punta Arenas</t>
  </si>
  <si>
    <t>C7
Carla Amtmann Fecci
Alcaldesa de Valdivia</t>
  </si>
  <si>
    <t>C8
Miguel Rivera Morales
Alcalde Ilustre Municipalidad de Hualpén</t>
  </si>
  <si>
    <t>C9
Rafael Cabrera Osorio
Cmdte. Apoyo a la Fuerza del Ejército</t>
  </si>
  <si>
    <t>C10
Claudio Bunster Weitzmann
Director Centro Estudios Cientificos CECs</t>
  </si>
  <si>
    <t>C11
Jorge Pires
Superintendente del Material Armada de Portugal</t>
  </si>
  <si>
    <t>C12
Henry Cleveland Cartes
Director Ejecutivo ENAER</t>
  </si>
  <si>
    <t>C13
Mario Farren Risopatrón
Presidente Banco Estado</t>
  </si>
  <si>
    <t>C14
Pedro Ramirez Glade
Seremi de Ciencia, Tecnologías, Conocimidento e Innovación</t>
  </si>
  <si>
    <t>C15
Vladimir Recabarren Esparza
Capellán Nacional Evangélico de la Armada</t>
  </si>
  <si>
    <t>C16
Constanza Pérez
Asesora Económica MINDEF</t>
  </si>
  <si>
    <t>C17
Francisco Alcorta
Asesor politico estrategico MINDEF</t>
  </si>
  <si>
    <t>C18
Vicente Leiva Larrañaga
Hijo Madrina</t>
  </si>
  <si>
    <t>C19
Matias Pérez Cruz
Gerenete Perezcruz</t>
  </si>
  <si>
    <t>C20
Constanza Leiva Larrañaga
T2 RNY</t>
  </si>
  <si>
    <t>C21
Pablo Lira
Jefe Gabinete Subsecretario de Defensa</t>
  </si>
  <si>
    <t>C22
Javier Coopman Corral
Jefe Gabinete Ministro de Defensa</t>
  </si>
  <si>
    <t>C23
Andrés López Lara
Director Instituto Antártico Chileno</t>
  </si>
  <si>
    <t>C24
Bárbara Carvajal Madariaga
Jefa de Gabinete Subsecretario para las FF.AA.</t>
  </si>
  <si>
    <t>C25
Alejandro Irarrázabal Alfonso
Jefe Asesor Presidencial</t>
  </si>
  <si>
    <t>C26
Marcela Paz Leiva Larrañaga
Hija Madrina</t>
  </si>
  <si>
    <t>C27
Eugenio Cornejo Locroix
Presidente Mutual de Seguros de Chile</t>
  </si>
  <si>
    <t>C28
Cecy Sirena Quijada Pérez
Esposa del Jefe estado mayor de la Armada de Perú.</t>
  </si>
  <si>
    <t>C29
Sebastian Jerez
Gerente General Farmacia Cruz Verde</t>
  </si>
  <si>
    <t>C30
José Fernando Jarpa Parada
Jefe del Servicio Religioso de la Armada</t>
  </si>
  <si>
    <t>C31
José Eduardo Piña Faúndez
Seremi Obras Públicas</t>
  </si>
  <si>
    <t>C32
Ronald Ruf Wilkomirsky
Seremi de Hacienda</t>
  </si>
  <si>
    <t>C33
Katherine Ampuero Martínez
Directora Regional Aduana de Talcahuano</t>
  </si>
  <si>
    <t>C34
Álvaro Vera Soto
Director FAMAE</t>
  </si>
  <si>
    <t>C35
Joao Costa
Director de los Navios Armada de Portugal</t>
  </si>
  <si>
    <t>C36
Gino Casassa Rogazinski
Director del INACH</t>
  </si>
  <si>
    <t>C37
Héctor Muñoz Uribe
Alcalde Ilustre Municipalidad de Concepción</t>
  </si>
  <si>
    <t>C38
Eduardo Saavedra Bustos
Alcalde Ilustre Municipalidad de Talcahuano</t>
  </si>
  <si>
    <t>C39
Rodrigo Wainraight Galilea
Alcalde de Puerto Montt</t>
  </si>
  <si>
    <t>C40
María Soledad Tapia Almonacid
Director Nacional Servicio Nacional de Pesca y Acuicultura SERNAPESCA</t>
  </si>
  <si>
    <t>C41
Marcela Cartagena Ramos
Fiscal Regional de Concepción</t>
  </si>
  <si>
    <t>C42
Alvaro Ananías Itaim
Presidernte de la Cámara de Producción y Comercio del Bio Bio</t>
  </si>
  <si>
    <t>C43
Carlos Basáez Valdebenito
Contralor Regional Bio Bio</t>
  </si>
  <si>
    <t>C44
Renzo Miccono Villablanca
Jefe VIII Zona de Carabineros BIOBÍO</t>
  </si>
  <si>
    <t>C45
Mauricio Arenas Menares
Directo General del Personal de la Armada</t>
  </si>
  <si>
    <t>FILA D</t>
  </si>
  <si>
    <t>D1
Cristian Lara Valenzuela
Director Universidad Técnica Federico Santa María Sede Concepción</t>
  </si>
  <si>
    <t>D2
Rene Valenzuea Azócar
Secretario General de la Armada</t>
  </si>
  <si>
    <t>D3
Alejandro Torres Horton
SUBMAYOR Consejo Superior ASMAR</t>
  </si>
  <si>
    <t>D4
Claudio Muñoz Cabrera
Contralor de la Armada</t>
  </si>
  <si>
    <t>D5
Daniel Opazo Riquelme
*Comandante General del Cuerpo de Infantería de Marina</t>
  </si>
  <si>
    <t>D6
Federico Saelzer Concha
*Comandante en Jefe de la Fuerza de Submarinos</t>
  </si>
  <si>
    <t>D7
José Agustín Pájaro Márquez
Director de Operaciones del Estado Mayor General de la Armada</t>
  </si>
  <si>
    <t>D8
José Miguel Hernández Jacir
Director de Astilleros y Maestranzas de la Armada</t>
  </si>
  <si>
    <t>D9
Juan Pablo Marín Fernández
Subjefe del Estado Mayor Conjunto</t>
  </si>
  <si>
    <t>D10
César Delgado Boffil
Director General de los Servicios de la Armada</t>
  </si>
  <si>
    <t>D11
RESERVADO</t>
  </si>
  <si>
    <t>D12
RESERVADO</t>
  </si>
  <si>
    <t>D13
RESERVADO</t>
  </si>
  <si>
    <t>D14
RESERVADO</t>
  </si>
  <si>
    <t>D15
RESERVADO</t>
  </si>
  <si>
    <t>D16
RESERVADO</t>
  </si>
  <si>
    <t>D17
RESERVADO</t>
  </si>
  <si>
    <t>D18
SIN SILLA</t>
  </si>
  <si>
    <t>D19
SIN SILLA</t>
  </si>
  <si>
    <t>D20
SIN SILLA</t>
  </si>
  <si>
    <t>D21
SIN SILLA</t>
  </si>
  <si>
    <t>D22
SIN SILLA</t>
  </si>
  <si>
    <t>D23
SIN SILLA</t>
  </si>
  <si>
    <t>D24
SIN SILLA</t>
  </si>
  <si>
    <t>D25
SIN SILLA</t>
  </si>
  <si>
    <t>D26
SIN SILLA</t>
  </si>
  <si>
    <t>D27
SIN SILLA</t>
  </si>
  <si>
    <t>D28
RESERVADO</t>
  </si>
  <si>
    <t>D29
RESERVADO</t>
  </si>
  <si>
    <t>D30
RESERVADO</t>
  </si>
  <si>
    <t>D31
RESERVADO</t>
  </si>
  <si>
    <t>D32
RESERVADO</t>
  </si>
  <si>
    <t>D33
RESERVADO</t>
  </si>
  <si>
    <t>D34
RESERVADO</t>
  </si>
  <si>
    <t>D35
RESERVADO</t>
  </si>
  <si>
    <t>D36
Arturo Oxley Lizana
Director General del Territorio Marítimo y de Marina Mercante</t>
  </si>
  <si>
    <t>D37
Daniel Muñoz Miranda
*Comandante de Operaciones Navales</t>
  </si>
  <si>
    <t>D38
Oscar Manzano Sanguineti
Director de Recuperaciones de Unidades de la Armada</t>
  </si>
  <si>
    <t>D39
Edgardo Acevedo Pérez
*Comandante en Jefe de la Segunda Zona Naval</t>
  </si>
  <si>
    <t>D40
Claudia Arrieta Figueroa
Esposa Comandante en Jefe de la Fuerza de Submarinos</t>
  </si>
  <si>
    <t>D41
Alberto Guerrero García
Director de Programas, Investigación y Desarrollo de la Armada</t>
  </si>
  <si>
    <t>D42
Marcel Fort Santander
Director de finanzaas de la Armada.</t>
  </si>
  <si>
    <t>D43
J. Cristobal Mendez Tapia
DIRISNAV Consejo Superior ASMAR</t>
  </si>
  <si>
    <t>D44
Jorge Vidal Berrocal
DABA Consejo Superior ASMAR</t>
  </si>
  <si>
    <t>D45
Thomas Klischies Nevermann
Director DUOC UC Sede San Andrés de Concepción</t>
  </si>
  <si>
    <t>si</t>
  </si>
  <si>
    <t>Sobrino JLM</t>
  </si>
  <si>
    <t>Vinko</t>
  </si>
  <si>
    <t>Yap</t>
  </si>
  <si>
    <t>Hip</t>
  </si>
  <si>
    <t>Subgerente Operaciones Huachipato</t>
  </si>
  <si>
    <t>Ludwig</t>
  </si>
  <si>
    <t>James</t>
  </si>
  <si>
    <t>Argo</t>
  </si>
  <si>
    <t>Huber</t>
  </si>
  <si>
    <t>Dueño Astillero SITECNA</t>
  </si>
  <si>
    <t>Tavra</t>
  </si>
  <si>
    <t>Chamy</t>
  </si>
  <si>
    <t>R.</t>
  </si>
  <si>
    <t>Director Ejecutivo CORFO BioBio</t>
  </si>
  <si>
    <t>Capitan de Fragata IM</t>
  </si>
  <si>
    <t>GBA (R.)</t>
  </si>
  <si>
    <t>* Ex - Primera Dama</t>
  </si>
  <si>
    <t>Jefe Gabinete Presidencial</t>
  </si>
  <si>
    <t>Capitán de Fragata (R.)</t>
  </si>
  <si>
    <t>A</t>
  </si>
  <si>
    <t>B</t>
  </si>
  <si>
    <t>C</t>
  </si>
  <si>
    <t>D</t>
  </si>
  <si>
    <t>Nelly</t>
  </si>
  <si>
    <t>Directora General Relaciones Institucionales Universidad del Bio Bio</t>
  </si>
  <si>
    <t>E</t>
  </si>
  <si>
    <t>Oficial jefe de ronda Regimiento Chacabuco</t>
  </si>
  <si>
    <t>Worm</t>
  </si>
  <si>
    <t>DRUA</t>
  </si>
  <si>
    <t>Marileo</t>
  </si>
  <si>
    <t>Lavín</t>
  </si>
  <si>
    <t>Delegado Presidencial Provincial de Arauco</t>
  </si>
  <si>
    <t>Pinuer</t>
  </si>
  <si>
    <t>Director Regional de CONAF</t>
  </si>
  <si>
    <t>Seremi de Economía</t>
  </si>
  <si>
    <t>Seremi de Trabajo</t>
  </si>
  <si>
    <t>Seremi de Transporte</t>
  </si>
  <si>
    <t xml:space="preserve">LATERAL </t>
  </si>
  <si>
    <t>Fierro</t>
  </si>
  <si>
    <t>Page</t>
  </si>
  <si>
    <t>Bastias</t>
  </si>
  <si>
    <t>Campos</t>
  </si>
  <si>
    <t>Coa</t>
  </si>
  <si>
    <t>SUBOFICIAL</t>
  </si>
  <si>
    <t>S1</t>
  </si>
  <si>
    <t>Seremi de Gobierno</t>
  </si>
  <si>
    <t>Sra. MINDEF</t>
  </si>
  <si>
    <t>Melkonian</t>
  </si>
  <si>
    <t>Id</t>
  </si>
  <si>
    <t>OFABAS CJA</t>
  </si>
  <si>
    <t>Director General del Personal de la Armada</t>
  </si>
  <si>
    <t>Gerente Perezcruz</t>
  </si>
  <si>
    <t>Cabrero</t>
  </si>
  <si>
    <t>Ponce</t>
  </si>
  <si>
    <t xml:space="preserve">Christian </t>
  </si>
  <si>
    <t xml:space="preserve">Hernán </t>
  </si>
  <si>
    <t>Jefe de Comunicaciones Ministra de  Ciencia, Tecnología, Conocimiento e Innovación</t>
  </si>
  <si>
    <t>Farías</t>
  </si>
  <si>
    <t>Director de la Academia de Historia Naval y Maritima de Chile</t>
  </si>
  <si>
    <t>Téllez</t>
  </si>
  <si>
    <t>Poduje</t>
  </si>
  <si>
    <t>Ministro de Vivienda y Urbanismo</t>
  </si>
  <si>
    <t>Capdeville</t>
  </si>
  <si>
    <t>Delegado Presidencial Región de Magallanes</t>
  </si>
  <si>
    <t>Directora Regional del Bio Bio de SERNAPESCA</t>
  </si>
  <si>
    <t>Faletto</t>
  </si>
  <si>
    <t>Jefe de Gabinete Delegado Presidencial Provincial de Arauco</t>
  </si>
  <si>
    <t>Periodista del Delegado Presidencial Provincial de Arauco</t>
  </si>
  <si>
    <t>Irenia</t>
  </si>
  <si>
    <t>General de Division</t>
  </si>
  <si>
    <t>Solari</t>
  </si>
  <si>
    <t>Váldes</t>
  </si>
  <si>
    <t>Representante Comandante en Jefe del Ejército</t>
  </si>
  <si>
    <t>Sub Gerente Zonal Costa Norte ESSBIO</t>
  </si>
  <si>
    <t>Zepeda</t>
  </si>
  <si>
    <t>Pilar</t>
  </si>
  <si>
    <t>Chávez</t>
  </si>
  <si>
    <t>Esposa SEZONA</t>
  </si>
  <si>
    <t>Capitán de Corbeta RN</t>
  </si>
  <si>
    <t>Ingeniero de diseño</t>
  </si>
  <si>
    <t>Secretario Almirante</t>
  </si>
  <si>
    <t>Aros</t>
  </si>
  <si>
    <t>Representante ASIMET Comité CORFO</t>
  </si>
  <si>
    <t>Ayudor FACH</t>
  </si>
  <si>
    <t>AYUDOR JEMCO</t>
  </si>
  <si>
    <t>JEFA PRENSA MINISTERIO INTERIOR</t>
  </si>
  <si>
    <t>Karelyn</t>
  </si>
  <si>
    <t>Luttecke</t>
  </si>
  <si>
    <t>Daneck</t>
  </si>
  <si>
    <t>FILA</t>
  </si>
  <si>
    <t xml:space="preserve">Subsecretario de Desarrollo Regional y Administrativo </t>
  </si>
  <si>
    <t>Aduanas</t>
  </si>
  <si>
    <t>Natalia</t>
  </si>
  <si>
    <t/>
  </si>
  <si>
    <t>ASTILLERO</t>
  </si>
  <si>
    <t>SEÑOR</t>
  </si>
  <si>
    <t>SEÑORA</t>
  </si>
  <si>
    <t>SEÑORITA</t>
  </si>
  <si>
    <t>CN AB</t>
  </si>
  <si>
    <t>CN</t>
  </si>
  <si>
    <t>MIKEL</t>
  </si>
  <si>
    <t>CAPETILLO</t>
  </si>
  <si>
    <t>CARDENAS,</t>
  </si>
  <si>
    <t>SINDICATO DE ASTILLEROS Y MAESTRANZAS DE LA ARMADA, PLANTA TALCAHUANO</t>
  </si>
  <si>
    <t>JORGE</t>
  </si>
  <si>
    <t>SEPULVEDA</t>
  </si>
  <si>
    <t>CABEZAS,</t>
  </si>
  <si>
    <t>EDGARDO</t>
  </si>
  <si>
    <t>LOPEZ</t>
  </si>
  <si>
    <t>OPORTUS,</t>
  </si>
  <si>
    <t>JULIO</t>
  </si>
  <si>
    <t>EYDE</t>
  </si>
  <si>
    <t>VEGA,</t>
  </si>
  <si>
    <t>ANDREA</t>
  </si>
  <si>
    <t>VALENZUELA</t>
  </si>
  <si>
    <t>GUEVARA,</t>
  </si>
  <si>
    <t xml:space="preserve">SINDICATO DE PROFESIONALES, PLANTA TALCAHUANO </t>
  </si>
  <si>
    <t>IVAN</t>
  </si>
  <si>
    <t>GUTIERREZ</t>
  </si>
  <si>
    <t>PATRICIO</t>
  </si>
  <si>
    <t>ESPINOZA</t>
  </si>
  <si>
    <t>MOREIRA,</t>
  </si>
  <si>
    <t>ESTEBAN</t>
  </si>
  <si>
    <t>RIOSECO</t>
  </si>
  <si>
    <t>CATRIL,</t>
  </si>
  <si>
    <t>ROJAS</t>
  </si>
  <si>
    <t>ACUÑA,</t>
  </si>
  <si>
    <t>SINDICATO DE EMPLEADOS, PLANTA TALCAHUANO</t>
  </si>
  <si>
    <t>VICTOR</t>
  </si>
  <si>
    <t>MONSALVES</t>
  </si>
  <si>
    <t>GAETE,</t>
  </si>
  <si>
    <t>MANUEL</t>
  </si>
  <si>
    <t>VEJAR</t>
  </si>
  <si>
    <t>FERNANDEZ,</t>
  </si>
  <si>
    <t>JUAN</t>
  </si>
  <si>
    <t>ORELLANA</t>
  </si>
  <si>
    <t>CASTILLO,</t>
  </si>
  <si>
    <t>JENNY</t>
  </si>
  <si>
    <t>SOTO</t>
  </si>
  <si>
    <t>CID,</t>
  </si>
  <si>
    <t>SINDICATO DE FUNCIONARIOS, PLANTA TALCAHUANO</t>
  </si>
  <si>
    <t>MIGUEL</t>
  </si>
  <si>
    <t>BUSTOS</t>
  </si>
  <si>
    <t>SAAVEDRA,</t>
  </si>
  <si>
    <t>LEONEL</t>
  </si>
  <si>
    <t>GARCIA</t>
  </si>
  <si>
    <t>MELGAREJO,</t>
  </si>
  <si>
    <t>ARIEL</t>
  </si>
  <si>
    <t>GONZALEZ,</t>
  </si>
  <si>
    <t>MAURICIO</t>
  </si>
  <si>
    <t>HITZEN</t>
  </si>
  <si>
    <t>DANYAU,</t>
  </si>
  <si>
    <t>SINDICATO INTEREMPRESA DE SUPERVISORES, PLANTA TALCAHUANO </t>
  </si>
  <si>
    <t>ALARCON</t>
  </si>
  <si>
    <t>COLOMA,</t>
  </si>
  <si>
    <t>LUIS</t>
  </si>
  <si>
    <t>RIQUELME</t>
  </si>
  <si>
    <t>VERGARA,</t>
  </si>
  <si>
    <t>SINDICATO INTEREMPRESA DE SUPERVISORES, PLANTA TALCAHUANO    </t>
  </si>
  <si>
    <t>CRISTOBAL</t>
  </si>
  <si>
    <t>GARAY</t>
  </si>
  <si>
    <t>SALAZAR,</t>
  </si>
  <si>
    <t>CAROLINA</t>
  </si>
  <si>
    <t>EPUÑÁN</t>
  </si>
  <si>
    <t>ESPOSA SEÑOR SUBJEFE</t>
  </si>
  <si>
    <t>NATALIA</t>
  </si>
  <si>
    <t>ESCOBAR</t>
  </si>
  <si>
    <t>PACHECO</t>
  </si>
  <si>
    <t>ESPOSA GERENTE DE LOGÍSTICA</t>
  </si>
  <si>
    <t>GABRIELA</t>
  </si>
  <si>
    <t>ERRÁZURIZ</t>
  </si>
  <si>
    <t>CARDOEN</t>
  </si>
  <si>
    <t>ESPOSA GERENTE DE CONSTRUCCIÓN NAVAL</t>
  </si>
  <si>
    <t>JAVIERA</t>
  </si>
  <si>
    <t>PAREDES</t>
  </si>
  <si>
    <t>SILVA</t>
  </si>
  <si>
    <t>ESPOSA GERENTE COMERCIAL</t>
  </si>
  <si>
    <t>JOCELYN</t>
  </si>
  <si>
    <t>AROS</t>
  </si>
  <si>
    <t>MATURANA</t>
  </si>
  <si>
    <t>ESPOSA GERENTE REPARACIONES</t>
  </si>
  <si>
    <t>DANITZA</t>
  </si>
  <si>
    <t>LASTRA</t>
  </si>
  <si>
    <t>ESPOSA JEFE DEL TALLER DE INGENRIERÍA MECANICA</t>
  </si>
  <si>
    <t>MICHEL</t>
  </si>
  <si>
    <t>SÁEZ</t>
  </si>
  <si>
    <t>ESPOSA DEL JEFE DE PROYECTO CONSTRUCCIÓN NAVAL</t>
  </si>
  <si>
    <t>CLAUDIA</t>
  </si>
  <si>
    <t>VALDERRAMA</t>
  </si>
  <si>
    <t>CARTES</t>
  </si>
  <si>
    <t>ESPOSA DEL JEFE DEL DEPARTAMENTO DE INGENIERÍA NAVAL</t>
  </si>
  <si>
    <t>CARVALLO</t>
  </si>
  <si>
    <t>JARA</t>
  </si>
  <si>
    <t>ESPOSA JEFE DEL TALLER DE ARMAMENTOS.</t>
  </si>
  <si>
    <t>PAMELA</t>
  </si>
  <si>
    <t>DIAZ</t>
  </si>
  <si>
    <t>MALDONADO</t>
  </si>
  <si>
    <t>ESPOSA CONDESTABLE MAYOR</t>
  </si>
  <si>
    <t>ELISA</t>
  </si>
  <si>
    <t>CASTILLO</t>
  </si>
  <si>
    <t>KLAHN</t>
  </si>
  <si>
    <t>HIJA SR ADMINISTRADOR</t>
  </si>
  <si>
    <t>CRISTINA</t>
  </si>
  <si>
    <t>CARRASCO</t>
  </si>
  <si>
    <t>INVTADA POR RECOMOCIMIENTO AL SR. OSCAR RIQUELME GALAZ</t>
  </si>
  <si>
    <t>JANET</t>
  </si>
  <si>
    <t>CIFUENTES</t>
  </si>
  <si>
    <t>INVITADA POR RECOCIMENTO AL SR. FRANCISCO SOLARI GALLARDO.</t>
  </si>
  <si>
    <t>KAREN</t>
  </si>
  <si>
    <t>NÚÑEZ</t>
  </si>
  <si>
    <t>INVITADA POR RECOCIMENTO AL SR. JOSÉ REYES LÓPEZ</t>
  </si>
  <si>
    <t>ADRIANA</t>
  </si>
  <si>
    <t>GONZALEZ</t>
  </si>
  <si>
    <t>FONSECA</t>
  </si>
  <si>
    <t>INVITADA POR RECOCIMENTO AL SR. JAIME ARAVENA OBREQUE</t>
  </si>
  <si>
    <t>PILAR</t>
  </si>
  <si>
    <t>INVITADO POR RECOCIMENTO AL SR. IVAN GUTIERREZ VEGA</t>
  </si>
  <si>
    <t>CINTHIA</t>
  </si>
  <si>
    <t>PAVEZ</t>
  </si>
  <si>
    <t>SALAZAR</t>
  </si>
  <si>
    <t>INVITADA POR RECOCIMENTO AL SR. JOHN LEIGTON PALMA</t>
  </si>
  <si>
    <t>SOFÍA</t>
  </si>
  <si>
    <t>MONJES</t>
  </si>
  <si>
    <t>PÉREZ</t>
  </si>
  <si>
    <t>INVITADA POR RECOCIMENTO AL SR. MARIO MONJES PARRA</t>
  </si>
  <si>
    <t>MUÑOZ</t>
  </si>
  <si>
    <t>INVITADO POR RECOCIMENTO A LA SRTA. FRANCISCA ALARCÓN SEGURA</t>
  </si>
  <si>
    <t>FELIPE</t>
  </si>
  <si>
    <t>SCHLACK</t>
  </si>
  <si>
    <t>DIRECTOR ZONA SUR Y CONSEJERO NACIONAL CCHC CONCEPCIÓN</t>
  </si>
  <si>
    <t>ZARALLO</t>
  </si>
  <si>
    <t>VALDÉS</t>
  </si>
  <si>
    <t>RAESNATALC</t>
  </si>
  <si>
    <t>MARTIN</t>
  </si>
  <si>
    <t>ALVAREZ</t>
  </si>
  <si>
    <t>RIBERA</t>
  </si>
  <si>
    <t>HIJO DRUA</t>
  </si>
  <si>
    <t>FUENTALBA</t>
  </si>
  <si>
    <t>GEPRO</t>
  </si>
  <si>
    <t>MACARENA</t>
  </si>
  <si>
    <t>VERA</t>
  </si>
  <si>
    <t>MESSER</t>
  </si>
  <si>
    <t>GERENTE DESARROLLA BIOBIO</t>
  </si>
  <si>
    <t>ACEVEDO</t>
  </si>
  <si>
    <t>MONDACA</t>
  </si>
  <si>
    <t>CONTRALORÍA</t>
  </si>
  <si>
    <t>RODRIGO</t>
  </si>
  <si>
    <t>DANECK</t>
  </si>
  <si>
    <t>GUERRA</t>
  </si>
  <si>
    <t>SECRETGEN</t>
  </si>
  <si>
    <t>BENJAMÍN</t>
  </si>
  <si>
    <t>GERMANY</t>
  </si>
  <si>
    <t>MORRISON</t>
  </si>
  <si>
    <t>UNIVERDIDAD DE CONCEPCIÓN</t>
  </si>
  <si>
    <t>DISPONIBLE</t>
  </si>
  <si>
    <t>Etiquetas de fila</t>
  </si>
  <si>
    <t>(en blanco)</t>
  </si>
  <si>
    <t>Total general</t>
  </si>
  <si>
    <t>Etiquetas de columna</t>
  </si>
  <si>
    <t>Cuenta de AST.</t>
  </si>
  <si>
    <t>(Todas)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</si>
</sst>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"/>
    </font>
    <font>
      <sz val="11"/>
      <color theme="10"/>
      <name val="Calibri"/>
      <family val="2"/>
    </font>
    <font>
      <sz val="11"/>
      <color theme="1"/>
      <name val="Calibri"/>
      <family val="2"/>
    </font>
    <font>
      <sz val="13"/>
      <color theme="1"/>
      <name val="Calibri"/>
      <family val="2"/>
    </font>
    <font>
      <b/>
      <sz val="13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8"/>
      <name val="Calibri"/>
      <family val="2"/>
    </font>
    <font>
      <b/>
      <sz val="15"/>
      <name val="Calibri"/>
      <family val="2"/>
    </font>
    <font>
      <b/>
      <sz val="10"/>
      <color rgb="FFFFFFFF"/>
      <name val="Calibri"/>
      <family val="2"/>
    </font>
    <font>
      <b/>
      <sz val="11"/>
      <color rgb="FF000000"/>
      <name val="Calibr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</fonts>
  <fills count="29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D9EAD3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F9F3E3"/>
      </patternFill>
    </fill>
    <fill>
      <patternFill patternType="solid">
        <fgColor theme="8" tint="0.79979857783745845"/>
        <bgColor indexed="65"/>
      </patternFill>
    </fill>
    <fill>
      <patternFill patternType="solid">
        <fgColor rgb="FFCCCCFF"/>
      </patternFill>
    </fill>
    <fill>
      <patternFill patternType="solid">
        <fgColor rgb="FFE8F3EA"/>
      </patternFill>
    </fill>
    <fill>
      <patternFill patternType="solid">
        <fgColor rgb="FFCCFF33"/>
      </patternFill>
    </fill>
    <fill>
      <patternFill patternType="solid">
        <fgColor rgb="FFFFFFCC"/>
      </patternFill>
    </fill>
    <fill>
      <patternFill patternType="solid">
        <fgColor rgb="FFEAF3F8"/>
      </patternFill>
    </fill>
    <fill>
      <patternFill patternType="solid">
        <fgColor rgb="FFF3EFE6"/>
      </patternFill>
    </fill>
    <fill>
      <patternFill patternType="solid">
        <fgColor rgb="FFE7F0E2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D9EAD3"/>
      </patternFill>
    </fill>
    <fill>
      <patternFill patternType="solid">
        <fgColor rgb="FFD9D9D9"/>
      </patternFill>
    </fill>
    <fill>
      <patternFill patternType="solid">
        <fgColor rgb="FFEE6D58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3">
    <xf numFmtId="0" fontId="0" fillId="0" borderId="0" xfId="0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3" xfId="0" applyFont="1" applyBorder="1" applyAlignment="1">
      <alignment horizontal="left"/>
    </xf>
    <xf numFmtId="1" fontId="6" fillId="2" borderId="2" xfId="0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1" fontId="6" fillId="4" borderId="2" xfId="0" applyNumberFormat="1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left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8" borderId="2" xfId="0" applyFont="1" applyFill="1" applyBorder="1" applyAlignment="1">
      <alignment horizontal="left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left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left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2" borderId="2" xfId="0" applyFont="1" applyFill="1" applyBorder="1" applyAlignment="1">
      <alignment horizontal="left" vertical="center" wrapText="1"/>
    </xf>
    <xf numFmtId="0" fontId="6" fillId="12" borderId="2" xfId="0" applyFont="1" applyFill="1" applyBorder="1" applyAlignment="1">
      <alignment horizontal="center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6" fillId="13" borderId="2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left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5" borderId="2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0" fillId="18" borderId="4" xfId="0" applyFont="1" applyFill="1" applyBorder="1" applyAlignment="1">
      <alignment horizontal="center" vertical="center" wrapText="1"/>
    </xf>
    <xf numFmtId="0" fontId="10" fillId="19" borderId="4" xfId="0" applyFont="1" applyFill="1" applyBorder="1" applyAlignment="1">
      <alignment horizontal="center" vertical="center" wrapText="1"/>
    </xf>
    <xf numFmtId="0" fontId="10" fillId="20" borderId="4" xfId="0" applyFont="1" applyFill="1" applyBorder="1" applyAlignment="1">
      <alignment horizontal="center" vertical="center" wrapText="1"/>
    </xf>
    <xf numFmtId="0" fontId="11" fillId="0" borderId="0" xfId="0" applyFont="1"/>
    <xf numFmtId="0" fontId="9" fillId="0" borderId="0" xfId="0" applyFont="1"/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17" borderId="0" xfId="0" applyFill="1"/>
    <xf numFmtId="0" fontId="12" fillId="17" borderId="4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3" fillId="3" borderId="2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13" fillId="21" borderId="2" xfId="0" applyFont="1" applyFill="1" applyBorder="1" applyAlignment="1">
      <alignment horizontal="center" vertical="center" wrapText="1"/>
    </xf>
    <xf numFmtId="0" fontId="6" fillId="21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center"/>
    </xf>
    <xf numFmtId="0" fontId="3" fillId="0" borderId="2" xfId="0" applyFont="1" applyBorder="1"/>
    <xf numFmtId="0" fontId="0" fillId="0" borderId="2" xfId="0" applyBorder="1"/>
    <xf numFmtId="0" fontId="4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" fontId="6" fillId="4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6" fillId="4" borderId="0" xfId="0" applyFont="1" applyFill="1" applyAlignment="1">
      <alignment horizontal="left" vertical="center" wrapText="1"/>
    </xf>
    <xf numFmtId="0" fontId="13" fillId="3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horizontal="left" vertical="center" wrapText="1"/>
    </xf>
    <xf numFmtId="0" fontId="14" fillId="22" borderId="0" xfId="0" applyFont="1" applyFill="1" applyAlignment="1">
      <alignment vertical="center"/>
    </xf>
    <xf numFmtId="0" fontId="15" fillId="22" borderId="0" xfId="0" applyFont="1" applyFill="1" applyAlignment="1">
      <alignment horizontal="center" vertical="center"/>
    </xf>
    <xf numFmtId="0" fontId="14" fillId="22" borderId="0" xfId="0" applyFont="1" applyFill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4" fillId="23" borderId="0" xfId="0" applyFont="1" applyFill="1" applyAlignment="1">
      <alignment vertical="center" wrapText="1"/>
    </xf>
    <xf numFmtId="0" fontId="15" fillId="23" borderId="0" xfId="0" applyFont="1" applyFill="1" applyAlignment="1">
      <alignment horizontal="center" vertical="center" wrapText="1"/>
    </xf>
    <xf numFmtId="0" fontId="14" fillId="24" borderId="0" xfId="0" applyFont="1" applyFill="1" applyAlignment="1">
      <alignment vertical="center" wrapText="1"/>
    </xf>
    <xf numFmtId="0" fontId="15" fillId="24" borderId="0" xfId="0" applyFont="1" applyFill="1" applyAlignment="1">
      <alignment horizontal="center" vertical="center" wrapText="1"/>
    </xf>
    <xf numFmtId="0" fontId="14" fillId="25" borderId="0" xfId="0" applyFont="1" applyFill="1" applyAlignment="1">
      <alignment vertical="center" wrapText="1"/>
    </xf>
    <xf numFmtId="0" fontId="15" fillId="25" borderId="0" xfId="0" applyFont="1" applyFill="1" applyAlignment="1">
      <alignment horizontal="center" vertical="center" wrapText="1"/>
    </xf>
    <xf numFmtId="0" fontId="16" fillId="26" borderId="0" xfId="0" applyFont="1" applyFill="1" applyAlignment="1">
      <alignment vertical="center" wrapText="1"/>
    </xf>
    <xf numFmtId="0" fontId="17" fillId="26" borderId="0" xfId="0" applyFont="1" applyFill="1" applyAlignment="1">
      <alignment horizontal="center" vertical="center" wrapText="1"/>
    </xf>
    <xf numFmtId="0" fontId="6" fillId="27" borderId="2" xfId="0" applyFont="1" applyFill="1" applyBorder="1" applyAlignment="1">
      <alignment horizontal="left" vertical="center" wrapText="1"/>
    </xf>
    <xf numFmtId="0" fontId="7" fillId="27" borderId="0" xfId="0" applyFont="1" applyFill="1" applyAlignment="1">
      <alignment horizontal="center" vertical="center" wrapText="1"/>
    </xf>
    <xf numFmtId="0" fontId="16" fillId="27" borderId="0" xfId="0" applyFont="1" applyFill="1" applyAlignment="1">
      <alignment vertical="center" wrapText="1"/>
    </xf>
    <xf numFmtId="0" fontId="13" fillId="19" borderId="2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28" borderId="0" xfId="0" applyFill="1"/>
  </cellXfs>
  <cellStyles count="3">
    <cellStyle name="Hipervínculo" xfId="1" xr:uid="{00000000-0005-0000-0000-000001000000}"/>
    <cellStyle name="Normal" xfId="0" builtinId="0"/>
    <cellStyle name="Normal 2" xfId="2" xr:uid="{00000000-0005-0000-0000-000002000000}"/>
  </cellStyles>
  <dxfs count="53"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9EAD3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9C0006"/>
        <name val="Calibri"/>
      </font>
      <fill>
        <patternFill patternType="solid">
          <bgColor rgb="FFFFC7CE"/>
        </patternFill>
      </fill>
    </dxf>
    <dxf>
      <font>
        <sz val="11"/>
        <color rgb="FF9C6500"/>
        <name val="Calibri"/>
      </font>
      <fill>
        <patternFill patternType="solid"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theme="0"/>
        </patternFill>
      </fill>
    </dxf>
    <dxf>
      <border>
        <left/>
        <right/>
        <top/>
        <bottom/>
        <vertical/>
        <horizontal/>
      </border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F7F7F"/>
      <rgbColor rgb="FFD9EAD3"/>
      <rgbColor rgb="FF993366"/>
      <rgbColor rgb="FFFFFFCC"/>
      <rgbColor rgb="FFDBEEF4"/>
      <rgbColor rgb="FF660066"/>
      <rgbColor rgb="FFF3EFE6"/>
      <rgbColor rgb="FF0066CC"/>
      <rgbColor rgb="FFCCCCFF"/>
      <rgbColor rgb="FF000080"/>
      <rgbColor rgb="FFFF00FF"/>
      <rgbColor rgb="FFCCFF33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FF2CC"/>
      <rgbColor rgb="FFD9D9D9"/>
      <rgbColor rgb="FFFFC7CE"/>
      <rgbColor rgb="FFDDEBF7"/>
      <rgbColor rgb="FFF4CCCC"/>
      <rgbColor rgb="FF3366FF"/>
      <rgbColor rgb="FFEAF2F8"/>
      <rgbColor rgb="FFF9F3E3"/>
      <rgbColor rgb="FFE7F0E2"/>
      <rgbColor rgb="FFEAF3F8"/>
      <rgbColor rgb="FFFF6600"/>
      <rgbColor rgb="FF666666"/>
      <rgbColor rgb="FFE8F3EA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E6D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-240 Benavente Ringele Juan" refreshedDate="46190.980020486109" createdVersion="8" refreshedVersion="8" minRefreshableVersion="3" recordCount="837" xr:uid="{2AA05572-2E78-4449-A396-187646110577}">
  <cacheSource type="worksheet">
    <worksheetSource ref="A1:K838" sheet="MAESTRO"/>
  </cacheSource>
  <cacheFields count="11">
    <cacheField name="N°" numFmtId="0">
      <sharedItems containsString="0" containsBlank="1" containsNumber="1" containsInteger="1" minValue="1" maxValue="837"/>
    </cacheField>
    <cacheField name="FUENTE" numFmtId="0">
      <sharedItems containsBlank="1"/>
    </cacheField>
    <cacheField name="TRATAMIENTO" numFmtId="0">
      <sharedItems containsBlank="1"/>
    </cacheField>
    <cacheField name="TRIBUNA" numFmtId="0">
      <sharedItems containsBlank="1" count="6">
        <s v="VIP"/>
        <s v=""/>
        <s v="LATERAL "/>
        <s v="LATERAL"/>
        <m/>
        <s v="ASMARTALC"/>
      </sharedItems>
    </cacheField>
    <cacheField name="NOMBRE" numFmtId="0">
      <sharedItems containsBlank="1"/>
    </cacheField>
    <cacheField name="APE. P." numFmtId="0">
      <sharedItems containsBlank="1"/>
    </cacheField>
    <cacheField name="APE. M." numFmtId="0">
      <sharedItems containsBlank="1"/>
    </cacheField>
    <cacheField name="AST." numFmtId="0">
      <sharedItems containsBlank="1" count="4">
        <s v="SI"/>
        <s v="NO"/>
        <s v="PENDIENTE"/>
        <m/>
      </sharedItems>
    </cacheField>
    <cacheField name="CARGO" numFmtId="0">
      <sharedItems containsBlank="1"/>
    </cacheField>
    <cacheField name="FILA" numFmtId="0">
      <sharedItems containsBlank="1" count="6">
        <s v="A"/>
        <m/>
        <s v="B"/>
        <s v="D"/>
        <s v="C"/>
        <s v="E"/>
      </sharedItems>
    </cacheField>
    <cacheField name="ASIENTO" numFmtId="0">
      <sharedItems containsString="0" containsBlank="1" containsNumber="1" containsInteger="1" minValue="1" maxValue="64" count="65">
        <n v="21"/>
        <n v="22"/>
        <n v="23"/>
        <n v="24"/>
        <n v="20"/>
        <n v="19"/>
        <m/>
        <n v="27"/>
        <n v="25"/>
        <n v="26"/>
        <n v="18"/>
        <n v="1"/>
        <n v="17"/>
        <n v="30"/>
        <n v="16"/>
        <n v="31"/>
        <n v="15"/>
        <n v="32"/>
        <n v="14"/>
        <n v="33"/>
        <n v="13"/>
        <n v="29"/>
        <n v="12"/>
        <n v="28"/>
        <n v="34"/>
        <n v="11"/>
        <n v="10"/>
        <n v="35"/>
        <n v="36"/>
        <n v="38"/>
        <n v="8"/>
        <n v="9"/>
        <n v="37"/>
        <n v="7"/>
        <n v="41"/>
        <n v="4"/>
        <n v="40"/>
        <n v="39"/>
        <n v="6"/>
        <n v="42"/>
        <n v="5"/>
        <n v="43"/>
        <n v="45"/>
        <n v="3"/>
        <n v="44"/>
        <n v="2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7">
  <r>
    <n v="1"/>
    <s v="OPA"/>
    <s v="Su Excelencia"/>
    <x v="0"/>
    <s v="José Antonio"/>
    <s v="Kast"/>
    <s v="Rist"/>
    <x v="0"/>
    <s v="* Presidente de la República"/>
    <x v="0"/>
    <x v="0"/>
  </r>
  <r>
    <n v="2"/>
    <s v="OPA"/>
    <s v="Primera Dama"/>
    <x v="0"/>
    <s v="María Pía"/>
    <s v="Adriasola"/>
    <s v="Barroihet"/>
    <x v="0"/>
    <s v="Esposa del Presidente de la República"/>
    <x v="0"/>
    <x v="1"/>
  </r>
  <r>
    <n v="3"/>
    <s v="OPA"/>
    <s v="Ministro"/>
    <x v="0"/>
    <s v="Fernando"/>
    <s v="Barros"/>
    <s v="Tocornal"/>
    <x v="0"/>
    <s v="*Ministro de Defensa Nacional"/>
    <x v="0"/>
    <x v="2"/>
  </r>
  <r>
    <m/>
    <m/>
    <m/>
    <x v="0"/>
    <s v="Natalia"/>
    <s v="Vial"/>
    <m/>
    <x v="0"/>
    <s v="Sra. MINDEF"/>
    <x v="0"/>
    <x v="3"/>
  </r>
  <r>
    <n v="5"/>
    <s v="OPA"/>
    <s v="Almirante"/>
    <x v="0"/>
    <s v="Fernando"/>
    <s v="Cabrera"/>
    <s v="Salazar"/>
    <x v="0"/>
    <s v="*Comandante en Jefe de la Armada"/>
    <x v="0"/>
    <x v="4"/>
  </r>
  <r>
    <n v="6"/>
    <s v="OPA"/>
    <s v="Señora"/>
    <x v="0"/>
    <s v="Roxana"/>
    <s v="Mery"/>
    <s v="Casella"/>
    <x v="0"/>
    <s v="Esposa del Comandante en Jefe de la Armada"/>
    <x v="0"/>
    <x v="5"/>
  </r>
  <r>
    <n v="7"/>
    <s v="OPA"/>
    <s v="Señora"/>
    <x v="1"/>
    <s v="María Cecilia"/>
    <s v="Morel"/>
    <s v="Montes"/>
    <x v="1"/>
    <s v="* Ex - Primera Dama"/>
    <x v="1"/>
    <x v="6"/>
  </r>
  <r>
    <n v="8"/>
    <s v="OPA"/>
    <s v="Honorable Senador"/>
    <x v="0"/>
    <s v="Iván "/>
    <s v="Moreira"/>
    <s v="Barros"/>
    <x v="0"/>
    <s v="*Presidenta del Senado (Representante)."/>
    <x v="0"/>
    <x v="7"/>
  </r>
  <r>
    <n v="9"/>
    <s v="OPA"/>
    <s v="Honorable Diputado"/>
    <x v="1"/>
    <s v="Jorge"/>
    <s v="Alessandri"/>
    <s v="Vergara"/>
    <x v="1"/>
    <s v="Presidente de la Cámara de Diputados"/>
    <x v="1"/>
    <x v="6"/>
  </r>
  <r>
    <n v="10"/>
    <s v="OPA"/>
    <s v="Su Excelencia"/>
    <x v="1"/>
    <s v="Gabriel"/>
    <s v="Boric"/>
    <s v="Font"/>
    <x v="1"/>
    <s v="Ex Presidente de la República"/>
    <x v="1"/>
    <x v="6"/>
  </r>
  <r>
    <n v="11"/>
    <s v="OPA"/>
    <s v="Su Excelencia"/>
    <x v="1"/>
    <s v="Michelle"/>
    <s v="Bachelet"/>
    <s v="Jeria"/>
    <x v="1"/>
    <s v="Ex Presidenta de la República"/>
    <x v="1"/>
    <x v="6"/>
  </r>
  <r>
    <n v="12"/>
    <s v="OPA"/>
    <s v="Su Excelencia"/>
    <x v="1"/>
    <s v="Ricardo"/>
    <s v="Lagos"/>
    <s v="Escobar"/>
    <x v="1"/>
    <s v="Ex Presidente de la República"/>
    <x v="1"/>
    <x v="6"/>
  </r>
  <r>
    <n v="13"/>
    <s v="OPA"/>
    <s v="Su Excelencia"/>
    <x v="1"/>
    <s v="Eduardo"/>
    <s v="Frei"/>
    <s v="Ruiz-tagle"/>
    <x v="1"/>
    <s v="Ex Presidente de la República"/>
    <x v="1"/>
    <x v="6"/>
  </r>
  <r>
    <n v="14"/>
    <s v="OPA"/>
    <s v="Presidente"/>
    <x v="1"/>
    <s v="Daniela"/>
    <s v="Marzi"/>
    <s v="Muñoz"/>
    <x v="1"/>
    <s v="Presidente del Tribunal Constitucional"/>
    <x v="1"/>
    <x v="6"/>
  </r>
  <r>
    <n v="15"/>
    <s v="OPA"/>
    <s v="Contralora"/>
    <x v="1"/>
    <s v="Dorothy"/>
    <s v="Pérez"/>
    <s v="Gutiérrez"/>
    <x v="1"/>
    <s v="Contralora General de la República"/>
    <x v="1"/>
    <x v="6"/>
  </r>
  <r>
    <n v="16"/>
    <s v="OPA"/>
    <s v="Fiscal"/>
    <x v="1"/>
    <s v="Ángel"/>
    <s v="Valencia"/>
    <s v="Vásquez"/>
    <x v="1"/>
    <s v="Fiscal Nacional del Ministerio Público"/>
    <x v="1"/>
    <x v="6"/>
  </r>
  <r>
    <n v="17"/>
    <s v="OPA"/>
    <s v="Ministro"/>
    <x v="0"/>
    <s v="Claudio"/>
    <s v="Alvarado"/>
    <s v="Andrade"/>
    <x v="0"/>
    <s v="Biministro del Interior y Secretario General de Gobierno"/>
    <x v="0"/>
    <x v="8"/>
  </r>
  <r>
    <n v="18"/>
    <s v="OPA"/>
    <s v="Ministro"/>
    <x v="1"/>
    <s v="Francisco"/>
    <s v="Pérez"/>
    <s v="Mackenna"/>
    <x v="1"/>
    <s v="Ministro de Relaciones Exteriores"/>
    <x v="1"/>
    <x v="6"/>
  </r>
  <r>
    <n v="19"/>
    <s v="OPA"/>
    <s v="Ministro"/>
    <x v="1"/>
    <s v="Jorge"/>
    <s v="Quiroz"/>
    <s v="Castro"/>
    <x v="1"/>
    <s v="Ministro de Hacienda"/>
    <x v="1"/>
    <x v="6"/>
  </r>
  <r>
    <n v="20"/>
    <s v="OPA"/>
    <s v="Ministro"/>
    <x v="1"/>
    <s v="Daniel"/>
    <s v="Mas"/>
    <s v="Valdés"/>
    <x v="1"/>
    <s v="Biministro de Minería, Economía y Turismo"/>
    <x v="1"/>
    <x v="6"/>
  </r>
  <r>
    <n v="21"/>
    <s v="OPA"/>
    <s v="Ministro"/>
    <x v="1"/>
    <s v="María Paz"/>
    <s v="Arzola"/>
    <s v="González"/>
    <x v="1"/>
    <s v="Ministra de Educación"/>
    <x v="1"/>
    <x v="6"/>
  </r>
  <r>
    <n v="22"/>
    <s v="OPA"/>
    <s v="Ministro"/>
    <x v="1"/>
    <s v="Louis"/>
    <s v="De Grange"/>
    <s v="Concha"/>
    <x v="1"/>
    <s v="Biministro de Obras Publicas, Transporte y Telecomunicaciones"/>
    <x v="1"/>
    <x v="6"/>
  </r>
  <r>
    <n v="23"/>
    <s v="OPA"/>
    <s v="Ministro"/>
    <x v="1"/>
    <s v="Catalina"/>
    <s v="Parot"/>
    <s v="Donoso"/>
    <x v="1"/>
    <s v="Ministra de Bienes Nacionales"/>
    <x v="1"/>
    <x v="6"/>
  </r>
  <r>
    <m/>
    <s v="OPA"/>
    <s v="Ministro"/>
    <x v="0"/>
    <s v="Iván "/>
    <s v="Poduje"/>
    <s v="Capdeville"/>
    <x v="0"/>
    <s v="Ministro de Vivienda y Urbanismo"/>
    <x v="0"/>
    <x v="9"/>
  </r>
  <r>
    <n v="25"/>
    <s v="OPA"/>
    <s v="Ministro"/>
    <x v="1"/>
    <s v="Ximena"/>
    <s v="Rincón"/>
    <s v="González"/>
    <x v="1"/>
    <s v="Ministra de Energía"/>
    <x v="1"/>
    <x v="6"/>
  </r>
  <r>
    <n v="26"/>
    <s v="OPA"/>
    <s v="Ministro"/>
    <x v="1"/>
    <s v="Francisca"/>
    <s v="Toledo"/>
    <s v="Echegaray"/>
    <x v="1"/>
    <s v="Ministra del Medio Ambiente"/>
    <x v="1"/>
    <x v="6"/>
  </r>
  <r>
    <n v="27"/>
    <s v="OPA"/>
    <s v="Ministro"/>
    <x v="1"/>
    <s v="Francisco"/>
    <s v="Undurruga"/>
    <s v="Gazitúa"/>
    <x v="1"/>
    <s v="Ministro de las Culturas, las Artes y el Patrimonio"/>
    <x v="1"/>
    <x v="6"/>
  </r>
  <r>
    <n v="28"/>
    <s v="OPA"/>
    <s v="Ministro"/>
    <x v="0"/>
    <s v="Ximena"/>
    <s v="Lincolao"/>
    <s v="Gates"/>
    <x v="0"/>
    <s v="Ministra de Ciencia, Tecnología, Conocimiento e Innovación"/>
    <x v="0"/>
    <x v="10"/>
  </r>
  <r>
    <n v="29"/>
    <s v="OPA/ASMAR"/>
    <s v="Capitán de Navío RL"/>
    <x v="2"/>
    <s v="José Fernando"/>
    <s v="Jarpa"/>
    <s v="Parada"/>
    <x v="0"/>
    <s v="Jefe del Servicio Religioso de la Armada"/>
    <x v="0"/>
    <x v="11"/>
  </r>
  <r>
    <n v="30"/>
    <s v="OPA"/>
    <s v="Ministro"/>
    <x v="1"/>
    <s v="Jorge"/>
    <s v="Burgos"/>
    <s v="Varela"/>
    <x v="1"/>
    <s v="Ex Ministro de Defensa Nacional"/>
    <x v="1"/>
    <x v="6"/>
  </r>
  <r>
    <n v="31"/>
    <s v="OPA"/>
    <s v="Ministro"/>
    <x v="1"/>
    <s v="Maya"/>
    <s v="Fernández"/>
    <s v="Allende"/>
    <x v="1"/>
    <s v="Ex Ministra de Defensa Nacional"/>
    <x v="1"/>
    <x v="6"/>
  </r>
  <r>
    <n v="32"/>
    <s v="OPA"/>
    <s v="Ministro"/>
    <x v="1"/>
    <s v="Adriana"/>
    <s v="Delpiano"/>
    <s v="Puelma"/>
    <x v="1"/>
    <s v="Ex Ministra de Defensa Nacional"/>
    <x v="1"/>
    <x v="6"/>
  </r>
  <r>
    <n v="33"/>
    <s v="OPA"/>
    <s v="Excelentísima"/>
    <x v="1"/>
    <s v="Kenza"/>
    <s v="El Ghali"/>
    <m/>
    <x v="1"/>
    <s v="Embajador de Marruecos"/>
    <x v="1"/>
    <x v="6"/>
  </r>
  <r>
    <n v="34"/>
    <s v="OPA"/>
    <s v="Excelentísima"/>
    <x v="1"/>
    <s v="Paulo"/>
    <s v="Soares"/>
    <s v="Pacheco"/>
    <x v="1"/>
    <s v="Embajador de Brasil en Chile"/>
    <x v="1"/>
    <x v="6"/>
  </r>
  <r>
    <n v="35"/>
    <s v="OPA"/>
    <s v="Excelentísima"/>
    <x v="1"/>
    <s v="Niu"/>
    <s v="Qingbao"/>
    <m/>
    <x v="1"/>
    <s v="Embajador de la República Popular China en Chile"/>
    <x v="1"/>
    <x v="6"/>
  </r>
  <r>
    <n v="36"/>
    <s v="OPA"/>
    <s v="Excelentísima"/>
    <x v="0"/>
    <s v="Johanna"/>
    <s v="Kotkajarvi"/>
    <m/>
    <x v="0"/>
    <s v="Embajadora de Finlandia en Chile"/>
    <x v="0"/>
    <x v="12"/>
  </r>
  <r>
    <n v="37"/>
    <s v="OPA"/>
    <s v="Excelentísima"/>
    <x v="1"/>
    <s v="Valeria"/>
    <s v="Biagiotti"/>
    <m/>
    <x v="1"/>
    <s v="Embajadora de Italia en Chile"/>
    <x v="1"/>
    <x v="6"/>
  </r>
  <r>
    <n v="38"/>
    <s v="OPA"/>
    <s v="Excelentísima"/>
    <x v="1"/>
    <s v="Hak"/>
    <s v="Jae Kim"/>
    <m/>
    <x v="1"/>
    <s v="Embajadora de Corea en Chile"/>
    <x v="1"/>
    <x v="6"/>
  </r>
  <r>
    <n v="39"/>
    <s v="OPA"/>
    <s v="Excelentísima"/>
    <x v="1"/>
    <s v="Laura"/>
    <s v="Moreno"/>
    <s v="Rodriguez"/>
    <x v="1"/>
    <s v="Embajadora de Mexico en Chile"/>
    <x v="1"/>
    <x v="6"/>
  </r>
  <r>
    <n v="40"/>
    <s v="OPA"/>
    <s v="Excelentísima"/>
    <x v="1"/>
    <s v="Jorge"/>
    <s v="Faurie"/>
    <m/>
    <x v="1"/>
    <s v="Embajador de Argentina en Chile"/>
    <x v="1"/>
    <x v="6"/>
  </r>
  <r>
    <n v="41"/>
    <s v="OPA"/>
    <s v="Excelentísima"/>
    <x v="1"/>
    <s v="Andrew James"/>
    <s v="Barrit"/>
    <s v="Martin"/>
    <x v="1"/>
    <s v="Embajador de Australia en Chile"/>
    <x v="1"/>
    <x v="6"/>
  </r>
  <r>
    <n v="42"/>
    <s v="OPA"/>
    <s v="Excelentísima"/>
    <x v="1"/>
    <s v="Cyrille"/>
    <s v="Rogeau"/>
    <m/>
    <x v="1"/>
    <s v="Embajador de Francia en Chile"/>
    <x v="1"/>
    <x v="6"/>
  </r>
  <r>
    <n v="43"/>
    <s v="OPA"/>
    <s v="Excelentísima"/>
    <x v="1"/>
    <s v="Daniela"/>
    <s v="Rigoli"/>
    <m/>
    <x v="1"/>
    <s v="Embajador de Nueva Zelandia en Chile"/>
    <x v="1"/>
    <x v="6"/>
  </r>
  <r>
    <n v="44"/>
    <s v="OPA"/>
    <s v="Excelentísima"/>
    <x v="0"/>
    <s v="Ahmet"/>
    <s v="Ihsan"/>
    <s v="Kiziltan"/>
    <x v="0"/>
    <s v="Embajadora de Turquia en Chile"/>
    <x v="0"/>
    <x v="13"/>
  </r>
  <r>
    <n v="45"/>
    <s v="OPA"/>
    <s v="Excelentísima"/>
    <x v="1"/>
    <s v="Susanne"/>
    <s v="Fries-gaier"/>
    <m/>
    <x v="1"/>
    <s v="Embajadora de Alemania en Chile"/>
    <x v="1"/>
    <x v="6"/>
  </r>
  <r>
    <n v="46"/>
    <s v="OPA"/>
    <s v="Excelentísima"/>
    <x v="0"/>
    <s v="Sebastián"/>
    <s v="Guanumen"/>
    <s v="Parra"/>
    <x v="0"/>
    <s v="Embajador de Colombia en Chile"/>
    <x v="0"/>
    <x v="14"/>
  </r>
  <r>
    <n v="47"/>
    <s v="OPA"/>
    <s v="Excelentísima"/>
    <x v="0"/>
    <s v="Karolina Linda"/>
    <s v="Guay"/>
    <s v="Guay"/>
    <x v="0"/>
    <s v="Embajadora de Canadá en Chile"/>
    <x v="0"/>
    <x v="15"/>
  </r>
  <r>
    <n v="48"/>
    <s v="OPA"/>
    <s v="Excelentísima"/>
    <x v="0"/>
    <s v="Per"/>
    <s v="Pollen"/>
    <s v="Nilsen"/>
    <x v="0"/>
    <s v="Embajador de Noruega en Chile"/>
    <x v="0"/>
    <x v="16"/>
  </r>
  <r>
    <n v="49"/>
    <s v="OPA"/>
    <s v="Excelentísima"/>
    <x v="1"/>
    <s v="Ana Inés"/>
    <s v="Rocanova"/>
    <s v="Rodríguez"/>
    <x v="1"/>
    <s v="Embajadora de la República Oriental del Uruguay en Chile"/>
    <x v="1"/>
    <x v="6"/>
  </r>
  <r>
    <n v="50"/>
    <s v="OPA"/>
    <s v="Excelentísima"/>
    <x v="0"/>
    <s v="Elke"/>
    <s v="Schaapveld"/>
    <s v="E/v Merks"/>
    <x v="0"/>
    <s v="Embajadora de los Países Bajos en Chile"/>
    <x v="0"/>
    <x v="17"/>
  </r>
  <r>
    <n v="51"/>
    <s v="OPA"/>
    <s v="Excelentísima"/>
    <x v="1"/>
    <s v="Lotty Farah"/>
    <s v="Andrade"/>
    <s v="Abdo"/>
    <x v="1"/>
    <s v="Embajadora de Ecuador en Chile"/>
    <x v="1"/>
    <x v="6"/>
  </r>
  <r>
    <n v="52"/>
    <s v="OPA"/>
    <s v="Excelentísima"/>
    <x v="1"/>
    <s v="Peter"/>
    <s v="Camino"/>
    <s v="Cannock"/>
    <x v="1"/>
    <s v="Embajador de Perú en Chile"/>
    <x v="1"/>
    <x v="6"/>
  </r>
  <r>
    <n v="53"/>
    <s v="OPA"/>
    <s v="Excelentísima"/>
    <x v="0"/>
    <s v="Laura"/>
    <s v="Oroz"/>
    <s v="Ulibarri"/>
    <x v="0"/>
    <s v="Embajadora de España en Chile"/>
    <x v="0"/>
    <x v="18"/>
  </r>
  <r>
    <n v="54"/>
    <s v="OPA"/>
    <s v="Excelentísima"/>
    <x v="0"/>
    <s v="Sone"/>
    <s v="Kenko"/>
    <m/>
    <x v="0"/>
    <s v="Embajadora de Japón en Chile"/>
    <x v="0"/>
    <x v="19"/>
  </r>
  <r>
    <n v="55"/>
    <s v="OPA"/>
    <s v="Excelentísima"/>
    <x v="1"/>
    <s v="Eva Sofia"/>
    <s v="Karlberg"/>
    <m/>
    <x v="1"/>
    <s v="Embajador del Reino de Suecia en Chile"/>
    <x v="1"/>
    <x v="6"/>
  </r>
  <r>
    <n v="56"/>
    <s v="OPA"/>
    <s v="Excelentísima"/>
    <x v="1"/>
    <s v="Brandon"/>
    <s v="Judd"/>
    <m/>
    <x v="1"/>
    <s v="Embajador de Estados Unidos de América en Chile"/>
    <x v="1"/>
    <x v="6"/>
  </r>
  <r>
    <n v="57"/>
    <s v="OPA"/>
    <s v="Excelentísima"/>
    <x v="0"/>
    <s v="Peleg"/>
    <s v="Lewi"/>
    <m/>
    <x v="0"/>
    <s v="Embajadora de Israel en Chile"/>
    <x v="0"/>
    <x v="20"/>
  </r>
  <r>
    <n v="58"/>
    <s v="OPA"/>
    <s v="Excelentísima"/>
    <x v="1"/>
    <s v="David"/>
    <s v="Concar"/>
    <m/>
    <x v="1"/>
    <s v="Embajador del Reino Unido de Gran Bretaña e Irlanda del Norte en Chile"/>
    <x v="1"/>
    <x v="6"/>
  </r>
  <r>
    <n v="59"/>
    <s v="OPA"/>
    <s v="Almirante"/>
    <x v="1"/>
    <s v="Enrique"/>
    <s v="Larrañaga"/>
    <s v="Martin"/>
    <x v="1"/>
    <s v="Ex - Comandante en Jefe de la Armada"/>
    <x v="1"/>
    <x v="6"/>
  </r>
  <r>
    <n v="60"/>
    <s v="OPA"/>
    <s v="Almirante"/>
    <x v="0"/>
    <s v="Julio"/>
    <s v="Leiva"/>
    <s v="Molina"/>
    <x v="0"/>
    <s v="Ex - Comandante en Jefe de la Armada"/>
    <x v="0"/>
    <x v="21"/>
  </r>
  <r>
    <n v="61"/>
    <s v="OPA"/>
    <s v="General"/>
    <x v="1"/>
    <s v="Pedro"/>
    <s v="Varela"/>
    <s v="Sabando"/>
    <x v="1"/>
    <s v="*Comandante en Jefe del Ejército"/>
    <x v="1"/>
    <x v="6"/>
  </r>
  <r>
    <n v="62"/>
    <s v="OPA"/>
    <s v="General"/>
    <x v="0"/>
    <s v="Miguel"/>
    <s v="Stange"/>
    <s v="Muñoz"/>
    <x v="0"/>
    <s v="*Comandante en Jefe de la Fuerza Aérea de Chile (S)"/>
    <x v="0"/>
    <x v="22"/>
  </r>
  <r>
    <n v="63"/>
    <s v="OPA"/>
    <s v="General Director"/>
    <x v="1"/>
    <s v="Marcelo"/>
    <s v="Araya"/>
    <s v="Zapata"/>
    <x v="1"/>
    <s v="*General Director de Carabineros de Chile"/>
    <x v="1"/>
    <x v="6"/>
  </r>
  <r>
    <n v="64"/>
    <s v="OPA"/>
    <s v="Director General"/>
    <x v="1"/>
    <s v="Eduardo"/>
    <s v="Cerna"/>
    <s v="Lozano"/>
    <x v="1"/>
    <s v="*Director General de la Policía de Investigaciones de Chile"/>
    <x v="1"/>
    <x v="6"/>
  </r>
  <r>
    <m/>
    <m/>
    <m/>
    <x v="0"/>
    <m/>
    <m/>
    <m/>
    <x v="0"/>
    <s v="Ayudor FACH"/>
    <x v="2"/>
    <x v="22"/>
  </r>
  <r>
    <m/>
    <m/>
    <s v="General de Division"/>
    <x v="0"/>
    <s v="Juan"/>
    <s v="Solari"/>
    <s v="Váldes"/>
    <x v="0"/>
    <s v="Representante Comandante en Jefe del Ejército"/>
    <x v="2"/>
    <x v="19"/>
  </r>
  <r>
    <n v="67"/>
    <s v="OPA"/>
    <s v="Almirante"/>
    <x v="1"/>
    <s v="Jorge Patricio"/>
    <s v="Arancibia"/>
    <s v="Reyes"/>
    <x v="1"/>
    <s v="Ex - Comandante en Jefe de la Armada"/>
    <x v="1"/>
    <x v="6"/>
  </r>
  <r>
    <n v="68"/>
    <s v="OPA"/>
    <s v="Almirante"/>
    <x v="1"/>
    <s v="Miguel Ángel"/>
    <s v="Vergara"/>
    <s v="Villalobos"/>
    <x v="1"/>
    <s v="Ex - Comandante en Jefe de la Armada"/>
    <x v="1"/>
    <x v="6"/>
  </r>
  <r>
    <n v="69"/>
    <s v="OPA"/>
    <s v="Almirante"/>
    <x v="1"/>
    <s v="Rodolfo"/>
    <s v="Codina"/>
    <s v="Díaz"/>
    <x v="1"/>
    <s v="Ex - Comandante en Jefe de la Armada"/>
    <x v="1"/>
    <x v="6"/>
  </r>
  <r>
    <n v="70"/>
    <s v="OPA"/>
    <s v="Almirante"/>
    <x v="1"/>
    <s v="Edmundo"/>
    <s v="González"/>
    <s v="Robles"/>
    <x v="1"/>
    <s v="Ex - Comandante en Jefe de la Armada"/>
    <x v="1"/>
    <x v="6"/>
  </r>
  <r>
    <n v="71"/>
    <s v="OPA"/>
    <s v="Señora"/>
    <x v="0"/>
    <s v="Marcela"/>
    <s v="Larrañaga"/>
    <s v="Martin"/>
    <x v="0"/>
    <s v="Madrina"/>
    <x v="0"/>
    <x v="23"/>
  </r>
  <r>
    <n v="72"/>
    <s v="OPA"/>
    <s v="Almirante"/>
    <x v="1"/>
    <s v="Juan Andrés"/>
    <s v="De la Maza"/>
    <s v="Larraín"/>
    <x v="1"/>
    <s v="Ex - Comandante en Jefe de la Armada"/>
    <x v="1"/>
    <x v="6"/>
  </r>
  <r>
    <n v="73"/>
    <s v="OPA"/>
    <s v="General"/>
    <x v="0"/>
    <s v="Leonardo"/>
    <s v="Romanini"/>
    <s v="Gutiérrez"/>
    <x v="0"/>
    <s v="Jefe del Estado Mayor Conjunto de las Fuerzas Armadas"/>
    <x v="0"/>
    <x v="24"/>
  </r>
  <r>
    <n v="74"/>
    <s v="OPA"/>
    <s v="Gobernador"/>
    <x v="0"/>
    <s v="Sergio"/>
    <s v="Giacaman"/>
    <s v="García"/>
    <x v="0"/>
    <s v="Gobernador Región Bio Bio"/>
    <x v="0"/>
    <x v="25"/>
  </r>
  <r>
    <n v="75"/>
    <s v="OPA"/>
    <s v="Gobernador"/>
    <x v="0"/>
    <s v="Jorge"/>
    <s v="Flies"/>
    <s v="Añon"/>
    <x v="0"/>
    <s v="Gobernador Región de Magallanes"/>
    <x v="0"/>
    <x v="26"/>
  </r>
  <r>
    <n v="76"/>
    <s v="OPA"/>
    <s v="Delegado Presidencial"/>
    <x v="0"/>
    <s v="Julio"/>
    <s v="Anativia"/>
    <s v="Zamora"/>
    <x v="0"/>
    <s v="Delegado Presidencial Región de Bio Bio"/>
    <x v="0"/>
    <x v="27"/>
  </r>
  <r>
    <m/>
    <m/>
    <s v="Delegado Presidencial"/>
    <x v="0"/>
    <s v="Erika"/>
    <s v="Farías"/>
    <m/>
    <x v="0"/>
    <s v="Delegado Presidencial Región de Magallanes"/>
    <x v="0"/>
    <x v="28"/>
  </r>
  <r>
    <n v="78"/>
    <s v="OPA"/>
    <s v="Honorable Senador"/>
    <x v="1"/>
    <s v="Francisco"/>
    <s v="Huenchumilla"/>
    <s v="Jaramillo"/>
    <x v="1"/>
    <s v="Presidente Comisión de Defensa Nacional Cir. 11"/>
    <x v="1"/>
    <x v="6"/>
  </r>
  <r>
    <n v="79"/>
    <s v="OPA"/>
    <s v="Honorable Senador"/>
    <x v="1"/>
    <s v="Pedro"/>
    <s v="Araya"/>
    <s v="Guerrero"/>
    <x v="1"/>
    <s v="Comisión de Defensa Nacional"/>
    <x v="1"/>
    <x v="6"/>
  </r>
  <r>
    <n v="80"/>
    <s v="OPA"/>
    <s v="Honorable Senador"/>
    <x v="1"/>
    <s v="Camila"/>
    <s v="Flores"/>
    <s v="Oporto"/>
    <x v="1"/>
    <s v="Comisión de Defensa Nacional"/>
    <x v="1"/>
    <x v="6"/>
  </r>
  <r>
    <n v="81"/>
    <s v="OPA"/>
    <s v="Honorable Senador"/>
    <x v="0"/>
    <s v="Gastón"/>
    <s v="Saavedra"/>
    <s v="Chandía"/>
    <x v="0"/>
    <s v="Comisión de Defensa Nacional"/>
    <x v="0"/>
    <x v="29"/>
  </r>
  <r>
    <n v="82"/>
    <s v="OPA"/>
    <s v="Honorable Senador"/>
    <x v="1"/>
    <s v="Cristián"/>
    <s v="Vial"/>
    <s v="Maceratta"/>
    <x v="1"/>
    <s v="Comisión de Defensa Nacional"/>
    <x v="1"/>
    <x v="6"/>
  </r>
  <r>
    <n v="83"/>
    <s v="OPA"/>
    <s v="Honorable Senador"/>
    <x v="1"/>
    <s v="Rojo"/>
    <s v="Edwards"/>
    <s v="Silva"/>
    <x v="1"/>
    <s v="Presidente de la Comisión de Desafíos del Futuro, Ciencia, Tecnología e Innovación"/>
    <x v="1"/>
    <x v="6"/>
  </r>
  <r>
    <n v="84"/>
    <s v="OPA"/>
    <s v="Honorable Senador"/>
    <x v="1"/>
    <s v="Ricardo"/>
    <s v="Celis"/>
    <s v="Araya"/>
    <x v="1"/>
    <s v="Comisión de Desafíos del Futuro, Ciencia, Tecnología e Innovación"/>
    <x v="1"/>
    <x v="6"/>
  </r>
  <r>
    <n v="85"/>
    <s v="OPA"/>
    <s v="Honorable Senador"/>
    <x v="1"/>
    <s v="Daniella"/>
    <s v="Cicardini"/>
    <s v="Milla"/>
    <x v="1"/>
    <s v="Comisión de Desafíos del Futuro, Ciencia, Tecnología e Innovación"/>
    <x v="1"/>
    <x v="6"/>
  </r>
  <r>
    <n v="86"/>
    <s v="OPA"/>
    <s v="Honorable Senador"/>
    <x v="1"/>
    <s v="Luciano"/>
    <s v="Cruz-coke"/>
    <s v="Carvallo"/>
    <x v="1"/>
    <s v="Comisión de Desafíos del Futuro, Ciencia, Tecnología e Innovación"/>
    <x v="1"/>
    <x v="6"/>
  </r>
  <r>
    <n v="87"/>
    <s v="OPA"/>
    <s v="Honorable Senador"/>
    <x v="1"/>
    <s v="Manuel José"/>
    <s v="Ossandón"/>
    <s v="Irarrázabal"/>
    <x v="1"/>
    <s v="Comisión de Desafíos del Futuro, Ciencia, Tecnología e Innovación"/>
    <x v="1"/>
    <x v="6"/>
  </r>
  <r>
    <n v="88"/>
    <s v="OPA"/>
    <s v="Honorable Senador"/>
    <x v="1"/>
    <s v="Sebastián"/>
    <s v="Keitel"/>
    <s v="Bianchi"/>
    <x v="1"/>
    <s v="Circunscripción 10 Región Biobío"/>
    <x v="1"/>
    <x v="6"/>
  </r>
  <r>
    <n v="89"/>
    <s v="OPA"/>
    <s v="Honorable Senador"/>
    <x v="0"/>
    <s v="Enrique"/>
    <s v="Van Rysselberghe"/>
    <s v="Herrera"/>
    <x v="0"/>
    <s v="Circunscripción 10 Región Biobío"/>
    <x v="0"/>
    <x v="30"/>
  </r>
  <r>
    <n v="90"/>
    <s v="OPA"/>
    <s v="Honorable Senador"/>
    <x v="0"/>
    <s v="Alfonso"/>
    <s v="De Urresti"/>
    <s v="Longton"/>
    <x v="0"/>
    <s v="Senador de la República"/>
    <x v="0"/>
    <x v="31"/>
  </r>
  <r>
    <n v="91"/>
    <s v="OPA"/>
    <s v="Honorable Senador"/>
    <x v="1"/>
    <s v="Gustavo"/>
    <s v="Sanhueza"/>
    <s v="Dueñas"/>
    <x v="1"/>
    <s v="Circunsripción Zona Ñuble"/>
    <x v="1"/>
    <x v="6"/>
  </r>
  <r>
    <n v="92"/>
    <s v="OPA"/>
    <s v="Honorable Senador"/>
    <x v="0"/>
    <s v="Loreto"/>
    <s v="Carvajal"/>
    <s v="Ambiado"/>
    <x v="0"/>
    <s v="Circunsripción Zona Ñuble"/>
    <x v="0"/>
    <x v="32"/>
  </r>
  <r>
    <n v="93"/>
    <s v="OPA"/>
    <s v="Honorable Diputado"/>
    <x v="0"/>
    <s v="Álvaro"/>
    <s v="Carter"/>
    <s v="Fernández"/>
    <x v="0"/>
    <s v="Presidente de la Comisión de Defensa Nacional"/>
    <x v="0"/>
    <x v="33"/>
  </r>
  <r>
    <n v="94"/>
    <s v="OPA"/>
    <s v="Honorable Diputado"/>
    <x v="1"/>
    <s v="Marcos"/>
    <s v="Barraza"/>
    <s v="Gómez"/>
    <x v="1"/>
    <s v="Integrante de la Comisión de Defensa Nacional"/>
    <x v="1"/>
    <x v="6"/>
  </r>
  <r>
    <n v="95"/>
    <s v="OPA"/>
    <s v="Honorable Diputado"/>
    <x v="1"/>
    <s v="Jaime"/>
    <s v="Bassa"/>
    <s v="Mercado"/>
    <x v="1"/>
    <s v="Integrante de la Comisión de Defensa Nacional"/>
    <x v="1"/>
    <x v="6"/>
  </r>
  <r>
    <n v="96"/>
    <s v="OPA"/>
    <s v="Honorable Diputado"/>
    <x v="1"/>
    <s v="Jorge"/>
    <s v="Brito"/>
    <s v="Hasbún"/>
    <x v="1"/>
    <s v="Integrante de la Comisión de Defensa Nacional"/>
    <x v="1"/>
    <x v="6"/>
  </r>
  <r>
    <n v="97"/>
    <s v="OPA"/>
    <s v="Honorable Diputado"/>
    <x v="0"/>
    <s v="Carlos"/>
    <s v="Cuadrado"/>
    <s v="Prats"/>
    <x v="0"/>
    <s v="Integrante de la Comisión de Defensa Nacional"/>
    <x v="0"/>
    <x v="34"/>
  </r>
  <r>
    <n v="98"/>
    <s v="OPA"/>
    <s v="Honorable Diputado"/>
    <x v="1"/>
    <s v="Tomás"/>
    <s v="Kast"/>
    <s v="Sommerhoff"/>
    <x v="1"/>
    <s v="Integrante de la Comisión de Defensa Nacional"/>
    <x v="1"/>
    <x v="6"/>
  </r>
  <r>
    <n v="99"/>
    <s v="OPA"/>
    <s v="Honorable Diputado"/>
    <x v="1"/>
    <s v="Raúl"/>
    <s v="Leiva"/>
    <s v="Carvajal"/>
    <x v="1"/>
    <s v="Integrante de la Comisión de Defensa Nacional"/>
    <x v="1"/>
    <x v="6"/>
  </r>
  <r>
    <n v="100"/>
    <s v="OPA"/>
    <s v="Honorable Diputado"/>
    <x v="1"/>
    <s v="Hans"/>
    <s v="Marowski"/>
    <s v="Cuevas"/>
    <x v="1"/>
    <s v="Integrante de la Comisión de Defensa Nacional"/>
    <x v="1"/>
    <x v="6"/>
  </r>
  <r>
    <n v="101"/>
    <s v="OPA"/>
    <s v="Honorable Diputado"/>
    <x v="1"/>
    <s v="Javier"/>
    <s v="Olivares"/>
    <s v="Avendaño"/>
    <x v="1"/>
    <s v="Integrante de la Comisión de Defensa Nacional"/>
    <x v="1"/>
    <x v="6"/>
  </r>
  <r>
    <n v="102"/>
    <s v="OPA"/>
    <s v="Honorable Diputado"/>
    <x v="1"/>
    <s v="Omar"/>
    <s v="Sabat"/>
    <s v="Guzmán"/>
    <x v="1"/>
    <s v="Integrante de la Comisión de Defensa Nacional"/>
    <x v="1"/>
    <x v="6"/>
  </r>
  <r>
    <n v="103"/>
    <s v="OPA"/>
    <s v="Honorable Diputado"/>
    <x v="1"/>
    <s v="Luis"/>
    <s v="Sánchez"/>
    <s v="Ossa"/>
    <x v="1"/>
    <s v="Integrante de la Comisión de Defensa Nacional"/>
    <x v="1"/>
    <x v="6"/>
  </r>
  <r>
    <n v="104"/>
    <s v="OPA"/>
    <s v="Honorable Diputado"/>
    <x v="0"/>
    <s v="Daniel"/>
    <s v="Valenzuela"/>
    <s v="Salazar"/>
    <x v="0"/>
    <s v="Integrante de la Comisión de Defensa Nacional"/>
    <x v="0"/>
    <x v="35"/>
  </r>
  <r>
    <n v="105"/>
    <s v="OPA"/>
    <s v="Honorable Diputado"/>
    <x v="1"/>
    <s v="Sebastián"/>
    <s v="Zamora"/>
    <s v="Soto"/>
    <x v="1"/>
    <s v="Integrante de la Comisión de Defensa Nacional"/>
    <x v="1"/>
    <x v="6"/>
  </r>
  <r>
    <n v="106"/>
    <s v="OPA"/>
    <s v="Honorable Diputado"/>
    <x v="1"/>
    <s v="Daniel"/>
    <s v="Manouchehri"/>
    <s v="Lobos"/>
    <x v="1"/>
    <s v="Presidente Comisión de Futuro, Ciencia, Tecnología, Conocimiento e Innovación"/>
    <x v="1"/>
    <x v="6"/>
  </r>
  <r>
    <n v="107"/>
    <s v="OPA"/>
    <s v="Honorable Diputado"/>
    <x v="0"/>
    <s v="Patricio"/>
    <s v="Briones"/>
    <s v="Moller"/>
    <x v="0"/>
    <s v="Diputado Distrito 20"/>
    <x v="0"/>
    <x v="36"/>
  </r>
  <r>
    <n v="108"/>
    <s v="OPA"/>
    <s v="Honorable Diputado"/>
    <x v="1"/>
    <s v="Andrés"/>
    <s v="Celis"/>
    <s v="Montt"/>
    <x v="1"/>
    <s v="Comisión de Futuro, Ciencia, Tecnología, Conocimiento e Innovación"/>
    <x v="1"/>
    <x v="6"/>
  </r>
  <r>
    <n v="109"/>
    <s v="OPA"/>
    <s v="Honorable Diputado"/>
    <x v="1"/>
    <s v="Cristóbal"/>
    <s v="Martínez"/>
    <s v="Ramírez"/>
    <x v="1"/>
    <s v="Comisión de Futuro, Ciencia, Tecnología, Conocimiento e Innovación"/>
    <x v="1"/>
    <x v="6"/>
  </r>
  <r>
    <n v="110"/>
    <s v="OPA"/>
    <s v="Honorable Diputado"/>
    <x v="1"/>
    <s v="José"/>
    <s v="Montalva"/>
    <s v="Feuerhake"/>
    <x v="1"/>
    <s v="Comisión de Futuro, Ciencia, Tecnología, Conocimiento e Innovación"/>
    <x v="1"/>
    <x v="6"/>
  </r>
  <r>
    <n v="111"/>
    <s v="OPA"/>
    <s v="Honorable Diputado"/>
    <x v="1"/>
    <s v="Cristian"/>
    <s v="Neira"/>
    <s v="Martínez"/>
    <x v="1"/>
    <s v="Comisión de Futuro, Ciencia, Tecnología, Conocimiento e Innovación"/>
    <x v="1"/>
    <x v="6"/>
  </r>
  <r>
    <n v="112"/>
    <s v="OPA"/>
    <s v="Honorable Diputado"/>
    <x v="1"/>
    <s v="Felipe"/>
    <s v="Ross"/>
    <s v="Correa"/>
    <x v="1"/>
    <s v="Comisión de Futuro, Ciencia, Tecnología, Conocimiento e Innovación"/>
    <x v="1"/>
    <x v="6"/>
  </r>
  <r>
    <n v="113"/>
    <s v="OPA"/>
    <s v="Honorable Diputado"/>
    <x v="1"/>
    <s v="Diego"/>
    <s v="Schalper"/>
    <s v="Sepúlveda"/>
    <x v="1"/>
    <s v="Comisión de Futuro, Ciencia, Tecnología, Conocimiento e Innovación"/>
    <x v="1"/>
    <x v="6"/>
  </r>
  <r>
    <n v="114"/>
    <s v="OPA"/>
    <s v="Honorable Diputado"/>
    <x v="1"/>
    <s v="Daniela"/>
    <s v="Serrano"/>
    <s v="Salazar"/>
    <x v="1"/>
    <s v="Comisión de Futuro, Ciencia, Tecnología, Conocimiento e Innovación"/>
    <x v="1"/>
    <x v="6"/>
  </r>
  <r>
    <n v="115"/>
    <s v="OPA"/>
    <s v="Honorable Diputado"/>
    <x v="1"/>
    <s v="Consuelo"/>
    <s v="Veloso"/>
    <s v="Ávila"/>
    <x v="1"/>
    <s v="Comisión de Futuro, Ciencia, Tecnología, Conocimiento e Innovación"/>
    <x v="1"/>
    <x v="6"/>
  </r>
  <r>
    <n v="116"/>
    <s v="OPA"/>
    <s v="Honorable Diputado"/>
    <x v="1"/>
    <s v="Gonzalo"/>
    <s v="Winter"/>
    <s v="Etcheberry"/>
    <x v="1"/>
    <s v="Comisión de Futuro, Ciencia, Tecnología, Conocimiento e Innovación"/>
    <x v="1"/>
    <x v="6"/>
  </r>
  <r>
    <n v="117"/>
    <s v="OPA"/>
    <s v="Honorable Diputado"/>
    <x v="1"/>
    <s v="Gael"/>
    <s v="Yeomans"/>
    <s v="Araya"/>
    <x v="1"/>
    <s v="Comisión de Futuro, Ciencia, Tecnología, Conocimiento e Innovación"/>
    <x v="1"/>
    <x v="6"/>
  </r>
  <r>
    <n v="118"/>
    <s v="OPA"/>
    <s v="Honorable Diputado"/>
    <x v="0"/>
    <s v="Roberto"/>
    <s v="Arroyo"/>
    <s v="Muñoz"/>
    <x v="0"/>
    <s v="Diputado Distrito 20"/>
    <x v="0"/>
    <x v="37"/>
  </r>
  <r>
    <n v="119"/>
    <s v="OPA"/>
    <s v="Honorable Diputado"/>
    <x v="0"/>
    <s v="Sergio"/>
    <s v="Bobadilla"/>
    <s v="Muñoz"/>
    <x v="0"/>
    <s v="Diputado Distrito 20"/>
    <x v="0"/>
    <x v="38"/>
  </r>
  <r>
    <n v="120"/>
    <s v="OPA"/>
    <s v="Honorable Diputado"/>
    <x v="0"/>
    <s v="Paz"/>
    <s v="Charpentier"/>
    <s v="Rajcevich"/>
    <x v="0"/>
    <s v="Diputado Distrito 20"/>
    <x v="0"/>
    <x v="39"/>
  </r>
  <r>
    <n v="121"/>
    <s v="OPA"/>
    <s v="Honorable Diputado"/>
    <x v="0"/>
    <s v="Francesca"/>
    <s v="Muñoz"/>
    <s v="González"/>
    <x v="0"/>
    <s v="Diputado Distrito 20"/>
    <x v="0"/>
    <x v="40"/>
  </r>
  <r>
    <n v="122"/>
    <s v="OPA"/>
    <s v="Honorable Diputado"/>
    <x v="1"/>
    <s v="Álvaro"/>
    <s v="Ortíz"/>
    <s v="Vera"/>
    <x v="1"/>
    <s v="Diputado Distrito 20"/>
    <x v="1"/>
    <x v="6"/>
  </r>
  <r>
    <n v="123"/>
    <s v="OPA"/>
    <s v="Honorable Diputado"/>
    <x v="0"/>
    <s v="Marlene"/>
    <s v="Pérez"/>
    <s v="Cartes"/>
    <x v="0"/>
    <s v="Diputado Distrito 20"/>
    <x v="0"/>
    <x v="41"/>
  </r>
  <r>
    <n v="124"/>
    <s v="OPA"/>
    <s v="Honorable Diputado"/>
    <x v="0"/>
    <s v="José"/>
    <s v="Rivas"/>
    <s v="Villalobos"/>
    <x v="0"/>
    <s v="Diputado Distrito 20"/>
    <x v="0"/>
    <x v="42"/>
  </r>
  <r>
    <n v="125"/>
    <s v="OPA"/>
    <s v="Honorable Diputado"/>
    <x v="1"/>
    <s v="Lilian"/>
    <s v="Betancurt"/>
    <s v="Delgado"/>
    <x v="1"/>
    <s v="Diputado Distrito 21"/>
    <x v="1"/>
    <x v="6"/>
  </r>
  <r>
    <n v="126"/>
    <s v="OPA"/>
    <s v="Honorable Diputado"/>
    <x v="0"/>
    <s v="Joanna"/>
    <s v="Pérez"/>
    <s v="Olea"/>
    <x v="0"/>
    <s v="Diputado Distrito 21"/>
    <x v="0"/>
    <x v="43"/>
  </r>
  <r>
    <n v="127"/>
    <s v="OPA"/>
    <s v="Honorable Diputado"/>
    <x v="0"/>
    <s v="Patricio"/>
    <s v="Pinilla"/>
    <s v="Valencia"/>
    <x v="0"/>
    <s v="Diputado Distrito 21"/>
    <x v="0"/>
    <x v="44"/>
  </r>
  <r>
    <n v="128"/>
    <s v="OPA"/>
    <s v="Honorable Diputado"/>
    <x v="1"/>
    <s v="Cristóbal"/>
    <s v="Urruticoechea"/>
    <s v="Ríos"/>
    <x v="1"/>
    <s v="Diputado Distrito 21"/>
    <x v="1"/>
    <x v="6"/>
  </r>
  <r>
    <n v="129"/>
    <s v="OPA"/>
    <s v="Honorable Diputado"/>
    <x v="0"/>
    <s v="Flor"/>
    <s v="Weisse"/>
    <s v="Novoa"/>
    <x v="2"/>
    <s v="Diputado Distrito 21"/>
    <x v="1"/>
    <x v="6"/>
  </r>
  <r>
    <n v="130"/>
    <s v="OPA"/>
    <s v="Subsecretario"/>
    <x v="1"/>
    <s v="Patricio"/>
    <s v="Torres"/>
    <s v="Espinosa"/>
    <x v="1"/>
    <s v="Subsecretario de Relaciones Exteriores"/>
    <x v="1"/>
    <x v="6"/>
  </r>
  <r>
    <n v="131"/>
    <s v="OPA"/>
    <s v="Subsecretario"/>
    <x v="0"/>
    <s v="Rodrigo"/>
    <s v="Álvarez"/>
    <s v="Aguirre"/>
    <x v="0"/>
    <s v="*Subsecretario de Defensa"/>
    <x v="2"/>
    <x v="2"/>
  </r>
  <r>
    <n v="132"/>
    <s v="OPA"/>
    <s v="Subsecretario"/>
    <x v="0"/>
    <s v="Christian"/>
    <s v="Bolívar"/>
    <s v="Romero"/>
    <x v="0"/>
    <s v="*Subsecretario de las Fuerzas Armadas"/>
    <x v="2"/>
    <x v="5"/>
  </r>
  <r>
    <n v="133"/>
    <s v="OPA"/>
    <s v="Subsecretario"/>
    <x v="1"/>
    <s v="Juan Pablo"/>
    <s v="Rodríguez"/>
    <s v="Oyarzún"/>
    <x v="1"/>
    <s v="Subsecretario de Hacienda"/>
    <x v="1"/>
    <x v="6"/>
  </r>
  <r>
    <n v="134"/>
    <s v="OPA"/>
    <s v="Subsecretario"/>
    <x v="1"/>
    <s v="Karlfrans"/>
    <s v="Koehler"/>
    <s v="Dunkler"/>
    <x v="1"/>
    <s v="Subsecretario de Economía y Empresas de Menor Tamaño"/>
    <x v="1"/>
    <x v="6"/>
  </r>
  <r>
    <n v="135"/>
    <s v="OPA"/>
    <s v="Subsecretario"/>
    <x v="1"/>
    <s v="Osvaldo"/>
    <s v="Urrutia"/>
    <s v="Silva"/>
    <x v="1"/>
    <s v="Subsecretario de Pesca y Acuicultura"/>
    <x v="1"/>
    <x v="6"/>
  </r>
  <r>
    <n v="136"/>
    <s v="OPA"/>
    <s v="Subsecretario"/>
    <x v="0"/>
    <s v="Rafael"/>
    <s v="Araos"/>
    <s v="Bralic"/>
    <x v="0"/>
    <s v="Subsecretaria de Ciencia, Tecnología, Conocimiento e Innovación"/>
    <x v="2"/>
    <x v="3"/>
  </r>
  <r>
    <n v="137"/>
    <s v="OPA"/>
    <s v="Vicealmirante"/>
    <x v="0"/>
    <s v="Julio"/>
    <s v="Cacho"/>
    <s v="Morán"/>
    <x v="0"/>
    <s v="*Jefe del Estado Mayor de la Armada de Perú"/>
    <x v="2"/>
    <x v="31"/>
  </r>
  <r>
    <n v="138"/>
    <s v="OPA"/>
    <s v="Subsecretario"/>
    <x v="1"/>
    <s v="Cristián"/>
    <s v="De la Maza"/>
    <s v="Riquelme"/>
    <x v="1"/>
    <s v="Ex Subsecretario de Defensa"/>
    <x v="1"/>
    <x v="6"/>
  </r>
  <r>
    <n v="139"/>
    <s v="OPA/ASMAR"/>
    <s v="Capellán Evangélico"/>
    <x v="2"/>
    <s v="Vladimir"/>
    <s v="Recabarren"/>
    <s v="Esparza"/>
    <x v="0"/>
    <s v="Capellán Nacional Evangélico de la Armada"/>
    <x v="0"/>
    <x v="45"/>
  </r>
  <r>
    <n v="140"/>
    <s v="OPA"/>
    <m/>
    <x v="1"/>
    <s v="Catalina"/>
    <s v="Ugarte"/>
    <s v="Millán"/>
    <x v="1"/>
    <s v="Jefe Gabinete Presidencial"/>
    <x v="1"/>
    <x v="6"/>
  </r>
  <r>
    <n v="141"/>
    <s v="OPA"/>
    <s v="Presidente"/>
    <x v="0"/>
    <s v="José Ignacio"/>
    <s v="Mujica"/>
    <s v="Castro"/>
    <x v="0"/>
    <s v="Vicepresidente Corfo"/>
    <x v="2"/>
    <x v="7"/>
  </r>
  <r>
    <n v="142"/>
    <s v="OPA"/>
    <s v="Señor"/>
    <x v="0"/>
    <s v="Elizabeth"/>
    <s v="Zapata"/>
    <s v="González"/>
    <x v="0"/>
    <s v="Directora Desarrollo Tecnológico Corfo y Directora Ejecutiva Comité de Construcción Naval"/>
    <x v="2"/>
    <x v="29"/>
  </r>
  <r>
    <n v="143"/>
    <s v="OPA"/>
    <m/>
    <x v="0"/>
    <s v="Santiago"/>
    <s v="Browne"/>
    <s v="Hurtado"/>
    <x v="0"/>
    <s v="Gerente de Asuntos Estratégicos (s) de Corfo"/>
    <x v="2"/>
    <x v="37"/>
  </r>
  <r>
    <n v="144"/>
    <s v="OPA"/>
    <m/>
    <x v="1"/>
    <s v="Óscar"/>
    <s v="Bustos"/>
    <m/>
    <x v="1"/>
    <s v="Jefe División de Desarrollo Tecnológico e Industria Consejo Directivo de Construcción Naval"/>
    <x v="1"/>
    <x v="6"/>
  </r>
  <r>
    <n v="145"/>
    <s v="OPA"/>
    <m/>
    <x v="1"/>
    <s v="Patricio"/>
    <s v="Carrasco"/>
    <s v="Alvarez"/>
    <x v="1"/>
    <s v="Jefe Depto. de Investigación Desarrollo e Innovación Consejo Directivo de Construcción Naval"/>
    <x v="1"/>
    <x v="6"/>
  </r>
  <r>
    <n v="146"/>
    <s v="OPA"/>
    <m/>
    <x v="1"/>
    <s v="Carla"/>
    <s v="Coronado"/>
    <m/>
    <x v="1"/>
    <s v="Asesora Ministerio Consejo Directivo de Construcción Naval"/>
    <x v="1"/>
    <x v="6"/>
  </r>
  <r>
    <n v="147"/>
    <s v="OPA"/>
    <m/>
    <x v="1"/>
    <s v="Fernando"/>
    <s v="Hentzschel"/>
    <m/>
    <x v="1"/>
    <s v="Gerente de Capacidades Tecnológicas Consejo Directivo de Construcción Naval"/>
    <x v="1"/>
    <x v="6"/>
  </r>
  <r>
    <n v="148"/>
    <s v="OPA"/>
    <s v="Presidente"/>
    <x v="1"/>
    <s v="Richard"/>
    <s v="Von Appen"/>
    <s v="Lahres"/>
    <x v="1"/>
    <s v="Presidente Ultramar"/>
    <x v="1"/>
    <x v="6"/>
  </r>
  <r>
    <n v="149"/>
    <s v="OPA"/>
    <m/>
    <x v="1"/>
    <s v="Ignacio"/>
    <s v="Fernández"/>
    <s v="Ruiz"/>
    <x v="1"/>
    <s v="Directror General de Prochile"/>
    <x v="1"/>
    <x v="6"/>
  </r>
  <r>
    <n v="150"/>
    <s v="OPA"/>
    <s v="Señor"/>
    <x v="1"/>
    <s v="Carlos"/>
    <s v="Dettloff"/>
    <s v="Beros"/>
    <x v="1"/>
    <s v="Director de Fronteras y Límites"/>
    <x v="1"/>
    <x v="6"/>
  </r>
  <r>
    <n v="151"/>
    <s v="OPA"/>
    <m/>
    <x v="1"/>
    <s v="José Pablo"/>
    <s v="Gómez"/>
    <m/>
    <x v="1"/>
    <s v="Dirección de Presupuesto"/>
    <x v="1"/>
    <x v="6"/>
  </r>
  <r>
    <n v="152"/>
    <s v="OPA"/>
    <s v="Señor"/>
    <x v="1"/>
    <s v="José Ignacio"/>
    <s v="Llodrá"/>
    <s v="Vial"/>
    <x v="1"/>
    <s v="Subdirector de Racionalización y Función Pública"/>
    <x v="1"/>
    <x v="6"/>
  </r>
  <r>
    <n v="153"/>
    <s v="OPA"/>
    <m/>
    <x v="1"/>
    <s v="Pablo"/>
    <s v="Granifo"/>
    <m/>
    <x v="1"/>
    <s v="Banco Chile"/>
    <x v="1"/>
    <x v="6"/>
  </r>
  <r>
    <n v="154"/>
    <s v="OPA"/>
    <m/>
    <x v="1"/>
    <s v="Eduardo"/>
    <s v="Ebensberger"/>
    <m/>
    <x v="1"/>
    <s v="Banco Chile"/>
    <x v="1"/>
    <x v="6"/>
  </r>
  <r>
    <n v="155"/>
    <s v="OPA"/>
    <m/>
    <x v="1"/>
    <s v="Francisco"/>
    <s v="Brancoli"/>
    <m/>
    <x v="1"/>
    <s v="Banco Chile"/>
    <x v="1"/>
    <x v="6"/>
  </r>
  <r>
    <n v="156"/>
    <s v="OPA"/>
    <m/>
    <x v="1"/>
    <s v="Ignacio"/>
    <s v="Yarur"/>
    <m/>
    <x v="1"/>
    <s v="Banco BCI"/>
    <x v="1"/>
    <x v="6"/>
  </r>
  <r>
    <n v="157"/>
    <s v="OPA"/>
    <m/>
    <x v="1"/>
    <s v="Andrés"/>
    <s v="Trautmann"/>
    <m/>
    <x v="1"/>
    <s v="Banco Santander"/>
    <x v="1"/>
    <x v="6"/>
  </r>
  <r>
    <n v="158"/>
    <s v="OPA"/>
    <m/>
    <x v="1"/>
    <s v="Javier"/>
    <s v="Coopman"/>
    <s v="Corral"/>
    <x v="1"/>
    <s v="Jefe Gabinete Ministro de Defensa"/>
    <x v="1"/>
    <x v="6"/>
  </r>
  <r>
    <n v="159"/>
    <s v="OPA"/>
    <m/>
    <x v="1"/>
    <s v="Bárbara"/>
    <s v="Carvajal"/>
    <s v="Madariaga"/>
    <x v="1"/>
    <s v="Jefa de Gabinete Subsecretario para las FF.AA."/>
    <x v="1"/>
    <x v="6"/>
  </r>
  <r>
    <n v="160"/>
    <s v="OPA"/>
    <m/>
    <x v="1"/>
    <s v="Pablo"/>
    <s v="Lira"/>
    <m/>
    <x v="1"/>
    <s v="Jefe Gabinete Subsecretario de Defensa"/>
    <x v="1"/>
    <x v="6"/>
  </r>
  <r>
    <n v="161"/>
    <s v="OPA"/>
    <s v="Rector"/>
    <x v="1"/>
    <s v="Juan Carlos"/>
    <s v="De la Llera"/>
    <s v="Martin"/>
    <x v="1"/>
    <s v="Rector Puc"/>
    <x v="1"/>
    <x v="6"/>
  </r>
  <r>
    <n v="162"/>
    <s v="OPA"/>
    <m/>
    <x v="1"/>
    <s v="Alejandro"/>
    <s v="Irarrázabal"/>
    <s v="Alfonso"/>
    <x v="1"/>
    <s v="Jefe Asesor Presidencial"/>
    <x v="1"/>
    <x v="6"/>
  </r>
  <r>
    <n v="163"/>
    <s v="OPA"/>
    <m/>
    <x v="0"/>
    <s v="Constanza"/>
    <s v="Leiva"/>
    <s v="Larrañaga"/>
    <x v="0"/>
    <s v="T2 RNY"/>
    <x v="3"/>
    <x v="44"/>
  </r>
  <r>
    <n v="164"/>
    <s v="OPA"/>
    <m/>
    <x v="0"/>
    <s v="Marcela Paz"/>
    <s v="Leiva"/>
    <s v="Larrañaga"/>
    <x v="0"/>
    <s v="Hija Madrina"/>
    <x v="3"/>
    <x v="39"/>
  </r>
  <r>
    <n v="165"/>
    <s v="OPA"/>
    <m/>
    <x v="0"/>
    <s v="Matias"/>
    <s v="Pérez"/>
    <s v="Cruz"/>
    <x v="0"/>
    <s v="Gerente Perezcruz"/>
    <x v="3"/>
    <x v="17"/>
  </r>
  <r>
    <n v="166"/>
    <s v="OPA"/>
    <s v="Señora"/>
    <x v="1"/>
    <s v="Siria"/>
    <s v="Jeldes"/>
    <m/>
    <x v="1"/>
    <s v="Presidenta COOPEUCH"/>
    <x v="1"/>
    <x v="6"/>
  </r>
  <r>
    <n v="167"/>
    <s v="OPA"/>
    <s v="Señor"/>
    <x v="1"/>
    <s v="Andrés"/>
    <s v="Arriagada"/>
    <m/>
    <x v="1"/>
    <s v="Presidente Caja Los Andes"/>
    <x v="1"/>
    <x v="6"/>
  </r>
  <r>
    <n v="168"/>
    <s v="OPA"/>
    <s v="Señor"/>
    <x v="0"/>
    <s v="Eugenio"/>
    <s v="Cornejo"/>
    <s v="Locroix"/>
    <x v="0"/>
    <s v="Presidente Mutual de Seguros de Chile"/>
    <x v="4"/>
    <x v="20"/>
  </r>
  <r>
    <n v="169"/>
    <s v="OPA"/>
    <s v="Señor"/>
    <x v="0"/>
    <s v="Vicente"/>
    <s v="Leiva"/>
    <s v="Larrañaga"/>
    <x v="0"/>
    <s v="Hijo Madrina"/>
    <x v="3"/>
    <x v="41"/>
  </r>
  <r>
    <n v="170"/>
    <s v="PREMIADOS"/>
    <m/>
    <x v="3"/>
    <s v="Oscar"/>
    <s v=" Riquelme "/>
    <s v="Galaz"/>
    <x v="0"/>
    <s v="Jefe de Buque"/>
    <x v="0"/>
    <x v="43"/>
  </r>
  <r>
    <n v="171"/>
    <s v="PREMIADOS"/>
    <m/>
    <x v="3"/>
    <s v="Francisco "/>
    <s v="Solari  "/>
    <s v="Gallardo"/>
    <x v="0"/>
    <s v="Carenador "/>
    <x v="0"/>
    <x v="35"/>
  </r>
  <r>
    <n v="172"/>
    <s v="OPA"/>
    <s v="Señora"/>
    <x v="0"/>
    <s v="Cecy Sirena"/>
    <s v="Quijada"/>
    <s v="Pérez"/>
    <x v="0"/>
    <s v="Esposa del Jefe estado mayor de la Armada de Perú."/>
    <x v="2"/>
    <x v="26"/>
  </r>
  <r>
    <n v="173"/>
    <s v="OPA"/>
    <s v="Señor"/>
    <x v="0"/>
    <s v="Francisco"/>
    <s v="Alcorta"/>
    <m/>
    <x v="0"/>
    <s v="Asesor politico estrategico MINDEF"/>
    <x v="3"/>
    <x v="37"/>
  </r>
  <r>
    <n v="174"/>
    <s v="PREMIADOS"/>
    <m/>
    <x v="3"/>
    <s v="José "/>
    <s v="Reyes "/>
    <s v="López"/>
    <x v="0"/>
    <s v="Mecánico de Sistemas de Cañerías"/>
    <x v="0"/>
    <x v="40"/>
  </r>
  <r>
    <n v="175"/>
    <s v="OPA"/>
    <s v="Señor"/>
    <x v="0"/>
    <s v="Sebastian"/>
    <s v="Jerez"/>
    <m/>
    <x v="0"/>
    <s v="Gerente General Farmacia Cruz Verde"/>
    <x v="4"/>
    <x v="24"/>
  </r>
  <r>
    <n v="176"/>
    <s v="PREMIADOS"/>
    <m/>
    <x v="3"/>
    <s v="Jaime "/>
    <s v="Aravena  "/>
    <s v="Obreque"/>
    <x v="0"/>
    <s v="Electricista Generación y Distribución "/>
    <x v="0"/>
    <x v="38"/>
  </r>
  <r>
    <n v="177"/>
    <s v="MANDOS SEZONA"/>
    <s v="Capitán de Fragata RL"/>
    <x v="2"/>
    <s v="Juan Carlos "/>
    <s v="Molina "/>
    <s v="González"/>
    <x v="0"/>
    <s v="Jefe del Servicio Religioso de la Segunda Zona Naval "/>
    <x v="2"/>
    <x v="11"/>
  </r>
  <r>
    <n v="178"/>
    <s v="ASMARVALP"/>
    <m/>
    <x v="2"/>
    <s v="René"/>
    <s v="Díaz"/>
    <s v="Seguel"/>
    <x v="0"/>
    <s v="Pastor Evangélico ASMAR(T)"/>
    <x v="2"/>
    <x v="45"/>
  </r>
  <r>
    <n v="179"/>
    <s v="INVITADOS ASMAR "/>
    <m/>
    <x v="3"/>
    <s v="Alejandro"/>
    <s v="Florás"/>
    <s v="Guerraty"/>
    <x v="0"/>
    <s v="Gerente Regional Camanchaca Pesca Sur S.A."/>
    <x v="2"/>
    <x v="43"/>
  </r>
  <r>
    <n v="180"/>
    <s v="PREMIADOS"/>
    <m/>
    <x v="3"/>
    <s v="Iván "/>
    <s v="Gutiérrez "/>
    <s v="Vega"/>
    <x v="0"/>
    <s v="Ingeniero de diseño"/>
    <x v="0"/>
    <x v="33"/>
  </r>
  <r>
    <n v="181"/>
    <s v="PREMIADOS"/>
    <m/>
    <x v="3"/>
    <s v="John "/>
    <s v="Leigton  "/>
    <s v="Palma"/>
    <x v="0"/>
    <s v="Supervisor Primera Línea"/>
    <x v="0"/>
    <x v="30"/>
  </r>
  <r>
    <n v="182"/>
    <s v="OPA"/>
    <s v="Señora"/>
    <x v="1"/>
    <s v="Constanza"/>
    <s v="Pérez"/>
    <m/>
    <x v="1"/>
    <s v="Asesora Económica MINDEF"/>
    <x v="1"/>
    <x v="6"/>
  </r>
  <r>
    <n v="183"/>
    <s v="PREMIADOS"/>
    <m/>
    <x v="3"/>
    <s v="Mario "/>
    <s v="Monjes "/>
    <s v="Parra"/>
    <x v="0"/>
    <s v="Supervisor Primera Línea"/>
    <x v="0"/>
    <x v="31"/>
  </r>
  <r>
    <n v="184"/>
    <s v="PREMIADOS"/>
    <m/>
    <x v="3"/>
    <s v="Francisca"/>
    <s v=" Alarcón "/>
    <s v="Segura"/>
    <x v="0"/>
    <s v="Comprador Internacional"/>
    <x v="0"/>
    <x v="26"/>
  </r>
  <r>
    <n v="185"/>
    <s v="OPA/ASMAR"/>
    <s v="Vicealmirante"/>
    <x v="1"/>
    <s v="Kurt"/>
    <s v="Hartung"/>
    <s v="Sabugo"/>
    <x v="1"/>
    <s v="Presidente del Cuerpo de Almirantes en Retiro"/>
    <x v="1"/>
    <x v="6"/>
  </r>
  <r>
    <n v="186"/>
    <s v="OPA/ASMAR"/>
    <s v="Seremi"/>
    <x v="1"/>
    <s v="José Eduardo"/>
    <s v="Piña"/>
    <s v="Faúndez"/>
    <x v="1"/>
    <s v="Seremi Obras Públicas"/>
    <x v="1"/>
    <x v="6"/>
  </r>
  <r>
    <n v="187"/>
    <s v="OPA/ASMAR"/>
    <s v="Seremi"/>
    <x v="0"/>
    <s v="Pedro"/>
    <s v="Ramirez"/>
    <s v="Glade"/>
    <x v="0"/>
    <s v="Seremi de Ciencia, Tecnologías, Conocimidento e Innovación"/>
    <x v="2"/>
    <x v="16"/>
  </r>
  <r>
    <n v="188"/>
    <s v="OPA/ASMAR"/>
    <s v="Seremi"/>
    <x v="1"/>
    <s v="Mario"/>
    <s v="Delannays"/>
    <s v="Araya"/>
    <x v="1"/>
    <s v="Seremi de Medio Ambiente"/>
    <x v="1"/>
    <x v="6"/>
  </r>
  <r>
    <n v="189"/>
    <s v="OPA/ASMAR"/>
    <s v="Seremi"/>
    <x v="0"/>
    <s v="Ronald"/>
    <s v="Ruf"/>
    <s v="Wilkomirsky"/>
    <x v="0"/>
    <s v="Seremi de Hacienda"/>
    <x v="2"/>
    <x v="23"/>
  </r>
  <r>
    <m/>
    <m/>
    <m/>
    <x v="0"/>
    <s v="Christian "/>
    <s v="Cifuentes"/>
    <s v="Bastias"/>
    <x v="0"/>
    <s v="Seremi de Economía"/>
    <x v="2"/>
    <x v="21"/>
  </r>
  <r>
    <m/>
    <m/>
    <m/>
    <x v="0"/>
    <s v="Camila"/>
    <s v="Alvarez"/>
    <s v="Sanhueza"/>
    <x v="0"/>
    <s v="Seremi de Trabajo"/>
    <x v="2"/>
    <x v="13"/>
  </r>
  <r>
    <m/>
    <m/>
    <m/>
    <x v="4"/>
    <s v="Henry"/>
    <s v="Campos"/>
    <s v="Coa"/>
    <x v="1"/>
    <s v="Seremi de Transporte"/>
    <x v="1"/>
    <x v="6"/>
  </r>
  <r>
    <m/>
    <m/>
    <m/>
    <x v="0"/>
    <s v="Daniel"/>
    <s v="Pacheco"/>
    <s v="Ponce"/>
    <x v="0"/>
    <s v="Seremi de Gobierno"/>
    <x v="2"/>
    <x v="17"/>
  </r>
  <r>
    <n v="194"/>
    <s v="OPA/ASMAR"/>
    <s v="BANCOS"/>
    <x v="1"/>
    <s v="Mario"/>
    <s v="Farren"/>
    <s v="Risopatrón"/>
    <x v="1"/>
    <s v="Presidente Banco Estado"/>
    <x v="1"/>
    <x v="6"/>
  </r>
  <r>
    <n v="195"/>
    <s v="OPA/ASMAR"/>
    <s v="Finanzas"/>
    <x v="0"/>
    <s v="Katherine"/>
    <s v="Ampuero"/>
    <s v="Martínez"/>
    <x v="0"/>
    <s v="Directora Regional Aduana de Talcahuano"/>
    <x v="2"/>
    <x v="34"/>
  </r>
  <r>
    <n v="196"/>
    <s v="OPA/ASMAR"/>
    <s v="Rector"/>
    <x v="1"/>
    <s v="Henry"/>
    <s v="Cleveland"/>
    <s v="Cartes"/>
    <x v="1"/>
    <s v="Director Ejecutivo ENAER"/>
    <x v="1"/>
    <x v="6"/>
  </r>
  <r>
    <n v="197"/>
    <s v="OPA/ASMAR"/>
    <s v="General de Brigada"/>
    <x v="1"/>
    <s v="Álvaro"/>
    <s v="Vera"/>
    <s v="Soto"/>
    <x v="1"/>
    <s v="Director FAMAE"/>
    <x v="1"/>
    <x v="6"/>
  </r>
  <r>
    <n v="198"/>
    <s v="OPA/DGSA"/>
    <s v="Vicealmirante"/>
    <x v="0"/>
    <s v="Jorge"/>
    <s v="Pires"/>
    <m/>
    <x v="0"/>
    <s v="Superintendente del Material Armada de Portugal"/>
    <x v="2"/>
    <x v="28"/>
  </r>
  <r>
    <n v="199"/>
    <s v="OPA/DGSA"/>
    <s v="Contraalmirante"/>
    <x v="0"/>
    <s v="Joao"/>
    <s v="Costa"/>
    <m/>
    <x v="0"/>
    <s v="Director de los Navios Armada de Portugal"/>
    <x v="4"/>
    <x v="2"/>
  </r>
  <r>
    <n v="200"/>
    <s v="OPA/DGSA"/>
    <s v="Rector"/>
    <x v="0"/>
    <s v="Claudio"/>
    <s v="Bunster"/>
    <s v="Weitzmann"/>
    <x v="2"/>
    <s v="Director Centro Estudios Cientificos CECs"/>
    <x v="1"/>
    <x v="6"/>
  </r>
  <r>
    <n v="201"/>
    <s v="OPA/DGSA"/>
    <s v="Rector"/>
    <x v="0"/>
    <s v="Gino"/>
    <s v="Casassa"/>
    <s v="Rogazinski"/>
    <x v="0"/>
    <s v="Director del INACH"/>
    <x v="2"/>
    <x v="33"/>
  </r>
  <r>
    <n v="202"/>
    <s v="OPA/DGSA"/>
    <s v="General de División"/>
    <x v="1"/>
    <s v="Rafael"/>
    <s v="Cabrera"/>
    <s v="Osorio"/>
    <x v="1"/>
    <s v="Cmdte. Apoyo a la Fuerza del Ejército"/>
    <x v="1"/>
    <x v="6"/>
  </r>
  <r>
    <n v="203"/>
    <s v="OPA/DGSA"/>
    <s v="General de Brigada"/>
    <x v="1"/>
    <s v="Eduardo"/>
    <s v="Candia"/>
    <s v="Ogaz"/>
    <x v="1"/>
    <s v="Director de Logistica del Ejército"/>
    <x v="1"/>
    <x v="6"/>
  </r>
  <r>
    <n v="204"/>
    <s v="OPA/DGSA"/>
    <s v="Rector"/>
    <x v="1"/>
    <s v="Jeannette"/>
    <s v="Reveco"/>
    <s v="Gómez"/>
    <x v="1"/>
    <s v="Directora Nacional (s) de la Dirección Nacional de Obras Portuarias"/>
    <x v="1"/>
    <x v="6"/>
  </r>
  <r>
    <n v="205"/>
    <s v="OPA/CIVILES"/>
    <s v="Alcalde"/>
    <x v="0"/>
    <s v="Héctor"/>
    <s v="Muñoz"/>
    <s v="Uribe"/>
    <x v="0"/>
    <s v="Alcalde Ilustre Municipalidad de Concepción"/>
    <x v="2"/>
    <x v="18"/>
  </r>
  <r>
    <n v="206"/>
    <s v="OPA/CIVILES"/>
    <s v="Alcalde"/>
    <x v="0"/>
    <s v="Miguel"/>
    <s v="Rivera"/>
    <s v="Morales"/>
    <x v="0"/>
    <s v="Alcalde Ilustre Municipalidad de Hualpén"/>
    <x v="2"/>
    <x v="27"/>
  </r>
  <r>
    <n v="207"/>
    <s v="OPA/CIVILES"/>
    <s v="Alcalde"/>
    <x v="0"/>
    <s v="Eduardo"/>
    <s v="Saavedra"/>
    <s v="Bustos"/>
    <x v="0"/>
    <s v="Alcalde Ilustre Municipalidad de Talcahuano"/>
    <x v="2"/>
    <x v="15"/>
  </r>
  <r>
    <n v="208"/>
    <s v="OPA/CIVILES"/>
    <s v="Alcalde"/>
    <x v="0"/>
    <s v="Carla"/>
    <s v="Amtmann"/>
    <s v="Fecci"/>
    <x v="0"/>
    <s v="Alcaldesa de Valdivia"/>
    <x v="2"/>
    <x v="20"/>
  </r>
  <r>
    <n v="209"/>
    <s v="OPA/CIVILES"/>
    <s v="Alcalde"/>
    <x v="0"/>
    <s v="Rodrigo"/>
    <s v="Wainraight"/>
    <s v="Galilea"/>
    <x v="2"/>
    <s v="Alcalde de Puerto Montt"/>
    <x v="1"/>
    <x v="6"/>
  </r>
  <r>
    <n v="210"/>
    <s v="OPA/CIVILES"/>
    <s v="Alcalde"/>
    <x v="1"/>
    <s v="Camila"/>
    <s v="Nieto"/>
    <s v="Hernández"/>
    <x v="1"/>
    <s v="Alcaldesa de Valparaíso"/>
    <x v="1"/>
    <x v="6"/>
  </r>
  <r>
    <n v="211"/>
    <s v="OPA/CIVILES"/>
    <s v="Alcalde"/>
    <x v="1"/>
    <s v="Claudio"/>
    <s v="Radonich"/>
    <s v="Jiménez"/>
    <x v="1"/>
    <s v="Alcalde de Punta Arenas"/>
    <x v="1"/>
    <x v="6"/>
  </r>
  <r>
    <n v="212"/>
    <s v="OPA/CIVILES"/>
    <s v="Rector"/>
    <x v="0"/>
    <s v="María Soledad"/>
    <s v="Tapia"/>
    <s v="Almonacid"/>
    <x v="0"/>
    <s v="Director Nacional Servicio Nacional de Pesca y Acuicultura SERNAPESCA"/>
    <x v="2"/>
    <x v="40"/>
  </r>
  <r>
    <n v="213"/>
    <s v="OPA/CIVILES"/>
    <s v="Presidente"/>
    <x v="0"/>
    <s v="Pablo"/>
    <s v="Zavala"/>
    <s v="Fernández"/>
    <x v="0"/>
    <s v="Presidente de la Ilustrísima Corte de Apelaciones de Concepción"/>
    <x v="2"/>
    <x v="12"/>
  </r>
  <r>
    <n v="214"/>
    <s v="OPA/CIVILES"/>
    <m/>
    <x v="0"/>
    <s v="Marcela"/>
    <s v="Cartagena"/>
    <s v="Ramos"/>
    <x v="0"/>
    <s v="Fiscal Regional de Concepción"/>
    <x v="2"/>
    <x v="14"/>
  </r>
  <r>
    <n v="215"/>
    <s v="OPA/CIVILES"/>
    <m/>
    <x v="0"/>
    <s v="Claudio"/>
    <s v="Andrade"/>
    <s v="Otarola"/>
    <x v="0"/>
    <s v="Director Regional de la Agencia Nacional de Inteligencia"/>
    <x v="4"/>
    <x v="21"/>
  </r>
  <r>
    <n v="216"/>
    <s v="OPA/CIVILES"/>
    <m/>
    <x v="0"/>
    <s v="Alvaro"/>
    <s v="Ananías"/>
    <s v="Itaim"/>
    <x v="0"/>
    <s v="Presidernte de la Cámara de Producción y Comercio del Bio Bio"/>
    <x v="2"/>
    <x v="36"/>
  </r>
  <r>
    <n v="217"/>
    <s v="OPA/CIVILES"/>
    <m/>
    <x v="0"/>
    <s v="Oscar"/>
    <s v="Rivera"/>
    <s v="Marin"/>
    <x v="0"/>
    <s v="Director Regional de Obras Portuarias"/>
    <x v="2"/>
    <x v="35"/>
  </r>
  <r>
    <n v="218"/>
    <s v="OPA/CIVILES"/>
    <m/>
    <x v="1"/>
    <s v="Carlos"/>
    <s v="Basáez"/>
    <s v="Valdebenito"/>
    <x v="1"/>
    <s v="Contralor Regional Bio Bio"/>
    <x v="1"/>
    <x v="6"/>
  </r>
  <r>
    <n v="219"/>
    <s v="OPA/CIVILES"/>
    <m/>
    <x v="0"/>
    <s v="Claudia"/>
    <s v="Chamorro"/>
    <s v="Contreras"/>
    <x v="0"/>
    <s v="Jefe VIII Región Policial Bío Bío"/>
    <x v="4"/>
    <x v="8"/>
  </r>
  <r>
    <n v="220"/>
    <s v="OPA/MILITAR"/>
    <s v="General"/>
    <x v="0"/>
    <s v="Renzo"/>
    <s v="Miccono"/>
    <s v="Villablanca"/>
    <x v="0"/>
    <s v="Jefe VIII Zona de Carabineros BIOBÍO"/>
    <x v="4"/>
    <x v="4"/>
  </r>
  <r>
    <n v="221"/>
    <s v="OPA/MILITAR"/>
    <s v="General de División"/>
    <x v="1"/>
    <s v="Carlos"/>
    <s v="Muñoz"/>
    <s v="De la Puente"/>
    <x v="1"/>
    <s v="Comandante de Operaciones Terrestres (COT Ejército)"/>
    <x v="1"/>
    <x v="6"/>
  </r>
  <r>
    <n v="222"/>
    <s v="OPA/MILITAR"/>
    <s v="Vicealmirante"/>
    <x v="0"/>
    <s v="Raúl"/>
    <s v="Zamorano"/>
    <s v="Goñi"/>
    <x v="0"/>
    <s v="Jefe del Estado Mayor General de la Armada"/>
    <x v="2"/>
    <x v="10"/>
  </r>
  <r>
    <n v="223"/>
    <s v="OPA/MILITAR"/>
    <s v="Vicealmirante"/>
    <x v="0"/>
    <s v="Mauricio"/>
    <s v="Arenas"/>
    <s v="Menares"/>
    <x v="0"/>
    <s v="Director General del Personal de la Armada"/>
    <x v="2"/>
    <x v="25"/>
  </r>
  <r>
    <n v="224"/>
    <s v="OPA/MILITAR"/>
    <s v="Vicealmirante"/>
    <x v="0"/>
    <s v="César"/>
    <s v="Delgado"/>
    <s v="Boffil"/>
    <x v="0"/>
    <s v="Director General de los Servicios de la Armada"/>
    <x v="0"/>
    <x v="45"/>
  </r>
  <r>
    <n v="225"/>
    <s v="OPA/MILITAR"/>
    <s v="Vicealmirante"/>
    <x v="0"/>
    <s v="Arturo"/>
    <s v="Oxley"/>
    <s v="Lizana"/>
    <x v="0"/>
    <s v="Director General del Territorio Marítimo y de Marina Mercante"/>
    <x v="2"/>
    <x v="30"/>
  </r>
  <r>
    <n v="226"/>
    <s v="OPA/MILITAR"/>
    <s v="Vicealmirante"/>
    <x v="0"/>
    <s v="Juan Pablo"/>
    <s v="Marín"/>
    <s v="Fernández"/>
    <x v="0"/>
    <s v="Subjefe del Estado Mayor Conjunto"/>
    <x v="2"/>
    <x v="32"/>
  </r>
  <r>
    <n v="227"/>
    <s v="OPA/MILITAR"/>
    <s v="Vicealmirante"/>
    <x v="0"/>
    <s v="Daniel"/>
    <s v="Muñoz"/>
    <s v="Miranda"/>
    <x v="0"/>
    <s v="*Comandante de Operaciones Navales"/>
    <x v="2"/>
    <x v="38"/>
  </r>
  <r>
    <n v="228"/>
    <s v="OPA/MILITAR"/>
    <s v="Contraalmirante"/>
    <x v="0"/>
    <s v="José Miguel"/>
    <s v="Hernández"/>
    <s v="Jacir"/>
    <x v="0"/>
    <s v="Director de Astilleros y Maestranzas de la Armada"/>
    <x v="0"/>
    <x v="11"/>
  </r>
  <r>
    <n v="229"/>
    <s v="OPA/MILITAR"/>
    <s v="Contraalmirante"/>
    <x v="0"/>
    <s v="Oscar"/>
    <s v="Manzano"/>
    <s v="Sanguineti"/>
    <x v="0"/>
    <s v="Director de Recuperaciones de Unidades de la Armada"/>
    <x v="4"/>
    <x v="3"/>
  </r>
  <r>
    <n v="230"/>
    <s v="OPA/MILITAR"/>
    <s v="Contraalmirante"/>
    <x v="0"/>
    <s v="José Agustín"/>
    <s v="Pájaro"/>
    <s v="Márquez"/>
    <x v="0"/>
    <s v="Director de Operaciones del Estado Mayor General de la Armada"/>
    <x v="4"/>
    <x v="23"/>
  </r>
  <r>
    <n v="231"/>
    <s v="OPA/MILITAR"/>
    <s v="Contraalmirante"/>
    <x v="0"/>
    <s v="Edgardo"/>
    <s v="Acevedo"/>
    <s v="Pérez"/>
    <x v="0"/>
    <s v="*Comandante en Jefe de la Segunda Zona Naval"/>
    <x v="4"/>
    <x v="10"/>
  </r>
  <r>
    <m/>
    <m/>
    <m/>
    <x v="0"/>
    <s v="Pilar"/>
    <s v="Chávez"/>
    <s v="Contreras"/>
    <x v="0"/>
    <s v="Esposa SEZONA"/>
    <x v="4"/>
    <x v="5"/>
  </r>
  <r>
    <n v="233"/>
    <s v="OPA/MILITAR"/>
    <s v="Contraalmirante"/>
    <x v="0"/>
    <s v="Federico"/>
    <s v="Saelzer"/>
    <s v="Concha"/>
    <x v="0"/>
    <s v="*Comandante en Jefe de la Fuerza de Submarinos"/>
    <x v="4"/>
    <x v="14"/>
  </r>
  <r>
    <n v="234"/>
    <s v="OPA/MILITAR"/>
    <s v="Señora"/>
    <x v="0"/>
    <s v="Claudia "/>
    <s v="Arrieta"/>
    <s v="Figueroa"/>
    <x v="0"/>
    <s v="Esposa Comandante en Jefe de la Fuerza de Submarinos"/>
    <x v="4"/>
    <x v="12"/>
  </r>
  <r>
    <n v="235"/>
    <s v="OPA/MILITAR"/>
    <s v="Contraalmirante IM"/>
    <x v="0"/>
    <s v="Daniel"/>
    <s v="Opazo"/>
    <s v="Riquelme"/>
    <x v="0"/>
    <s v="*Comandante General del Cuerpo de Infantería de Marina"/>
    <x v="4"/>
    <x v="25"/>
  </r>
  <r>
    <n v="236"/>
    <s v="OPA/MILITAR"/>
    <s v="Contraalmirante"/>
    <x v="0"/>
    <s v="Alberto"/>
    <s v="Guerrero"/>
    <s v="García"/>
    <x v="0"/>
    <s v="Director de Programas, Investigación y Desarrollo de la Armada"/>
    <x v="4"/>
    <x v="27"/>
  </r>
  <r>
    <n v="237"/>
    <s v="OPA/MILITAR"/>
    <s v="Contraalmirante"/>
    <x v="0"/>
    <s v="Claudio"/>
    <s v="Muñoz"/>
    <s v="Cabrera"/>
    <x v="0"/>
    <s v="Contralor de la Armada"/>
    <x v="4"/>
    <x v="26"/>
  </r>
  <r>
    <n v="238"/>
    <s v="OPA/MILITAR"/>
    <s v="Contraalmirante AB"/>
    <x v="0"/>
    <s v="Marcel"/>
    <s v="Fort"/>
    <s v="Santander"/>
    <x v="0"/>
    <s v="Director de finanzaas de la Armada."/>
    <x v="4"/>
    <x v="37"/>
  </r>
  <r>
    <n v="239"/>
    <s v="OPA/MILITAR"/>
    <s v="Contraalmirante"/>
    <x v="0"/>
    <s v="Alejandro"/>
    <s v="Torres"/>
    <s v="Horton"/>
    <x v="0"/>
    <s v="SUBMAYOR Consejo Superior ASMAR"/>
    <x v="2"/>
    <x v="43"/>
  </r>
  <r>
    <n v="240"/>
    <s v="OPA/MILITAR"/>
    <s v="Contraalmirante"/>
    <x v="0"/>
    <s v="J. Cristobal"/>
    <s v="Mendez"/>
    <s v="Tapia"/>
    <x v="0"/>
    <s v="DIRISNAV Consejo Superior ASMAR"/>
    <x v="4"/>
    <x v="15"/>
  </r>
  <r>
    <n v="241"/>
    <s v="OPA/MILITAR"/>
    <s v="Comodoro"/>
    <x v="0"/>
    <s v="Rene"/>
    <s v="Valenzuela"/>
    <s v="Azócar"/>
    <x v="0"/>
    <s v="Secretario General de la Armada"/>
    <x v="3"/>
    <x v="16"/>
  </r>
  <r>
    <n v="242"/>
    <s v="OPA/MILITAR"/>
    <s v="Comodoro AB"/>
    <x v="0"/>
    <s v="Jorge"/>
    <s v="Vidal"/>
    <s v="Berrocal"/>
    <x v="0"/>
    <s v="DABA Consejo Superior ASMAR"/>
    <x v="3"/>
    <x v="15"/>
  </r>
  <r>
    <n v="243"/>
    <s v="OPA/MILITAR"/>
    <s v="General de Brigada"/>
    <x v="1"/>
    <s v="Luis"/>
    <s v="Espinoza"/>
    <s v="Villalobos"/>
    <x v="1"/>
    <s v="Representante Ejército Consejo Superior ASMAR"/>
    <x v="1"/>
    <x v="6"/>
  </r>
  <r>
    <n v="244"/>
    <s v="OPA/MILITAR"/>
    <s v="General de Brigada Aérea"/>
    <x v="0"/>
    <s v="Alan"/>
    <s v="Cárcamo"/>
    <s v="Barrientos"/>
    <x v="0"/>
    <s v="Representante FACH Consejo Superior ASMAR"/>
    <x v="4"/>
    <x v="16"/>
  </r>
  <r>
    <n v="245"/>
    <s v="INVITADOS ASMAR "/>
    <m/>
    <x v="3"/>
    <s v="Freddy"/>
    <s v="Fernández"/>
    <m/>
    <x v="0"/>
    <s v="Gerente General PacificBlu"/>
    <x v="2"/>
    <x v="35"/>
  </r>
  <r>
    <n v="246"/>
    <s v="ACADÉMICOS"/>
    <s v="Señor"/>
    <x v="0"/>
    <s v="Cristian "/>
    <s v="Lara"/>
    <s v="Valenzuela"/>
    <x v="0"/>
    <s v="Director Universidad Técnica Federico Santa María Sede Concepción"/>
    <x v="3"/>
    <x v="24"/>
  </r>
  <r>
    <n v="247"/>
    <s v="MILITARES"/>
    <s v="Contraalmirante"/>
    <x v="4"/>
    <s v="Rodrigo"/>
    <s v="Peñaranda"/>
    <s v="Pedemonte"/>
    <x v="1"/>
    <s v="Ex DIPRIDA"/>
    <x v="1"/>
    <x v="6"/>
  </r>
  <r>
    <n v="248"/>
    <s v="ACADÉMICOS"/>
    <s v="Rector"/>
    <x v="0"/>
    <s v="Thomas"/>
    <s v="Klischies"/>
    <s v="Nevermann"/>
    <x v="0"/>
    <s v="Director DUOC UC Sede San Andrés de Concepción"/>
    <x v="3"/>
    <x v="26"/>
  </r>
  <r>
    <n v="249"/>
    <s v="ACADÉMICOS"/>
    <s v="Rector"/>
    <x v="1"/>
    <s v="Egon"/>
    <s v="Montecinos"/>
    <s v="Montecinos"/>
    <x v="1"/>
    <s v="Rector Universidad Austral"/>
    <x v="1"/>
    <x v="6"/>
  </r>
  <r>
    <n v="250"/>
    <s v="MILITARES"/>
    <s v="Capitán de Navío"/>
    <x v="3"/>
    <s v="Christian"/>
    <s v="Marambio"/>
    <s v="Taylor"/>
    <x v="0"/>
    <s v="Edecan Presidente del Senado"/>
    <x v="0"/>
    <x v="25"/>
  </r>
  <r>
    <n v="251"/>
    <s v="INVITADOS ASMAR "/>
    <m/>
    <x v="3"/>
    <s v="Andrés"/>
    <s v="Daroch"/>
    <s v="Coelo"/>
    <x v="0"/>
    <s v="Gerente General Foodcorp Chile S.A."/>
    <x v="2"/>
    <x v="40"/>
  </r>
  <r>
    <n v="252"/>
    <s v="ACADÉMICOS"/>
    <s v="Rector"/>
    <x v="0"/>
    <s v="Jacqueline"/>
    <s v="Sepúlveda"/>
    <s v="Carreño"/>
    <x v="0"/>
    <s v="Rector Universidad de Concepción"/>
    <x v="4"/>
    <x v="34"/>
  </r>
  <r>
    <n v="253"/>
    <s v="ACADÉMICOS"/>
    <s v="Rector"/>
    <x v="1"/>
    <s v="Andrea"/>
    <s v="Rodríguez"/>
    <s v="Tastest"/>
    <x v="1"/>
    <s v="Vicerrectora Investigación y Desarrollo Universidad de Concepción"/>
    <x v="1"/>
    <x v="6"/>
  </r>
  <r>
    <n v="254"/>
    <s v="ACADÉMICOS"/>
    <s v="Rector"/>
    <x v="1"/>
    <s v="Benito"/>
    <s v="Umaña"/>
    <s v="Hermosilla"/>
    <x v="1"/>
    <s v="Rector Universidad del Bío-Bío"/>
    <x v="1"/>
    <x v="6"/>
  </r>
  <r>
    <m/>
    <m/>
    <m/>
    <x v="3"/>
    <s v="Gabriel"/>
    <s v="Guerrero"/>
    <m/>
    <x v="0"/>
    <s v="Jefe de Gabinete Delegado Presidencial Provincial de Arauco"/>
    <x v="0"/>
    <x v="22"/>
  </r>
  <r>
    <n v="256"/>
    <s v="INVITADOS ASMAR "/>
    <s v="AUDITORIA"/>
    <x v="3"/>
    <s v="María Paz"/>
    <s v="Osorio"/>
    <s v="Rodriguez"/>
    <x v="0"/>
    <s v="Senior Manager Deloitte Concepción"/>
    <x v="0"/>
    <x v="20"/>
  </r>
  <r>
    <n v="257"/>
    <s v="INVITADOS ASMAR "/>
    <m/>
    <x v="3"/>
    <s v="Carolina"/>
    <s v="Hurtado"/>
    <s v="Z."/>
    <x v="0"/>
    <s v="Gerente Comercial Unidad FISA Concepción"/>
    <x v="2"/>
    <x v="38"/>
  </r>
  <r>
    <n v="258"/>
    <s v="ACADÉMICOS"/>
    <s v="Rector"/>
    <x v="1"/>
    <s v="Roger"/>
    <s v="Sepulveda"/>
    <s v="Carrasco"/>
    <x v="1"/>
    <s v="Rector Universidad Santo Tomás"/>
    <x v="1"/>
    <x v="6"/>
  </r>
  <r>
    <n v="259"/>
    <s v="ACADÉMICOS"/>
    <s v="Rector"/>
    <x v="1"/>
    <s v="Federico"/>
    <s v="Valdés"/>
    <s v="Lafontaine"/>
    <x v="1"/>
    <s v="Rector U.D.D. Sede Concepción"/>
    <x v="1"/>
    <x v="6"/>
  </r>
  <r>
    <n v="260"/>
    <s v="ACADÉMICOS"/>
    <s v="Rector"/>
    <x v="1"/>
    <s v="Florencia"/>
    <s v="Jofré"/>
    <s v="Manieu"/>
    <x v="1"/>
    <s v="Vicerrectora Académica U.D.D."/>
    <x v="1"/>
    <x v="6"/>
  </r>
  <r>
    <n v="261"/>
    <s v="INVITADOS ASMAR "/>
    <s v="AUDITORIA"/>
    <x v="3"/>
    <s v="René"/>
    <s v="González"/>
    <s v="López"/>
    <x v="0"/>
    <s v="Socio Lider Oficinas Regionales en Deloitte Chile"/>
    <x v="0"/>
    <x v="18"/>
  </r>
  <r>
    <n v="262"/>
    <s v="ACADÉMICOS"/>
    <s v="Rector"/>
    <x v="0"/>
    <s v="Cristhian"/>
    <s v="Mellado"/>
    <s v="Cid"/>
    <x v="0"/>
    <s v="Rector Universidad Católica de la Santísima Concepción"/>
    <x v="4"/>
    <x v="36"/>
  </r>
  <r>
    <n v="263"/>
    <s v="ACADÉMICOS"/>
    <s v="Rector"/>
    <x v="0"/>
    <s v="Claudio"/>
    <s v="Concha"/>
    <s v="Navalón"/>
    <x v="0"/>
    <s v="Vicerrector Universidad San Sebastián"/>
    <x v="3"/>
    <x v="32"/>
  </r>
  <r>
    <n v="264"/>
    <s v="MANDOS SEZONA"/>
    <s v="Capitán de Navío"/>
    <x v="3"/>
    <s v="Osvaldo "/>
    <s v="Benavente "/>
    <s v="Zamorano"/>
    <x v="0"/>
    <s v="Jefe de la Inspectoría de la Dirección Ingeniería de Sistemas Navales en Talcahuano"/>
    <x v="2"/>
    <x v="33"/>
  </r>
  <r>
    <n v="265"/>
    <s v="ACADÉMICOS"/>
    <s v="Rector"/>
    <x v="0"/>
    <s v="Henry"/>
    <s v="Monks"/>
    <s v="Ruiz"/>
    <x v="0"/>
    <s v="Vicerrector Inacap"/>
    <x v="4"/>
    <x v="39"/>
  </r>
  <r>
    <n v="266"/>
    <s v="ACADÉMICOS"/>
    <s v="Rector"/>
    <x v="0"/>
    <s v="Carlos"/>
    <s v="Gonzälez"/>
    <s v="Correa"/>
    <x v="2"/>
    <s v="Vicerrector Universidad Andrés Bello"/>
    <x v="1"/>
    <x v="6"/>
  </r>
  <r>
    <n v="267"/>
    <s v="ASMAR DIRECCIÓN"/>
    <s v="Señora"/>
    <x v="3"/>
    <s v="Sandra"/>
    <s v="Gonzalez"/>
    <s v="Bustos"/>
    <x v="0"/>
    <s v="Jefe Corporativo RR.PP. Y Comunicaciones"/>
    <x v="1"/>
    <x v="6"/>
  </r>
  <r>
    <n v="268"/>
    <s v="ACADÉMICOS"/>
    <s v="Señora"/>
    <x v="0"/>
    <s v="Paz"/>
    <s v="Hormazábal"/>
    <s v="Poblete "/>
    <x v="0"/>
    <s v="Vicerrectora Universidad de Las Américas sede Concepción - Vicepresidenta CIDERE Biobio"/>
    <x v="3"/>
    <x v="36"/>
  </r>
  <r>
    <n v="269"/>
    <s v="INVITADOS ASMAR "/>
    <s v="BANCOS"/>
    <x v="0"/>
    <s v="Hernán"/>
    <s v="Arellano"/>
    <s v="Salas"/>
    <x v="0"/>
    <s v="Gerente División Corporativa Banco Chile"/>
    <x v="3"/>
    <x v="19"/>
  </r>
  <r>
    <n v="270"/>
    <s v="MANDOS SEZONA"/>
    <s v="Capitán de Fragata"/>
    <x v="3"/>
    <s v="Jonathan "/>
    <s v="Cabrera  "/>
    <s v="Erwenne"/>
    <x v="0"/>
    <s v="Director de la Escuela de Submarinos &quot;Almirante Allard&quot;"/>
    <x v="4"/>
    <x v="11"/>
  </r>
  <r>
    <n v="271"/>
    <s v="INVITADOS ASMAR "/>
    <m/>
    <x v="1"/>
    <s v="Oscar"/>
    <s v="Roa"/>
    <m/>
    <x v="1"/>
    <s v="COOPEUCH"/>
    <x v="1"/>
    <x v="6"/>
  </r>
  <r>
    <n v="272"/>
    <s v="MADRINA"/>
    <s v="Presidente"/>
    <x v="1"/>
    <s v="Holger"/>
    <s v="Paulmann"/>
    <m/>
    <x v="1"/>
    <s v="Presidente ICARE"/>
    <x v="1"/>
    <x v="6"/>
  </r>
  <r>
    <n v="273"/>
    <s v="MADRINA"/>
    <m/>
    <x v="1"/>
    <s v="Mónica"/>
    <s v="Álvarez"/>
    <s v="P."/>
    <x v="1"/>
    <s v="Vicepresidenta ICARE"/>
    <x v="1"/>
    <x v="6"/>
  </r>
  <r>
    <n v="274"/>
    <s v="MADRINA"/>
    <s v="Rector"/>
    <x v="1"/>
    <s v="Renzo"/>
    <s v="Corona"/>
    <s v="S."/>
    <x v="1"/>
    <s v="Director Tesorero ICARE"/>
    <x v="1"/>
    <x v="6"/>
  </r>
  <r>
    <n v="275"/>
    <s v="MADRINA"/>
    <m/>
    <x v="1"/>
    <s v="Claudio"/>
    <s v="Muñoz"/>
    <m/>
    <x v="1"/>
    <s v="Ex Pdte ICARE"/>
    <x v="1"/>
    <x v="6"/>
  </r>
  <r>
    <n v="276"/>
    <s v="CIVILES"/>
    <s v="Subprefecto"/>
    <x v="3"/>
    <s v="Bernardo"/>
    <s v="Troncoso"/>
    <s v="Fonseca"/>
    <x v="0"/>
    <s v="Jefe Cuartel Investigaciones Talcahuano"/>
    <x v="0"/>
    <x v="16"/>
  </r>
  <r>
    <n v="277"/>
    <s v="MADRINA"/>
    <s v="Presidente"/>
    <x v="1"/>
    <s v="Richard"/>
    <s v="Kouyoumdjian"/>
    <m/>
    <x v="1"/>
    <s v="Vicepresidente ATHENALAB"/>
    <x v="1"/>
    <x v="6"/>
  </r>
  <r>
    <n v="278"/>
    <s v="MADRINA"/>
    <m/>
    <x v="1"/>
    <s v="Marcelo"/>
    <s v="Masalleras"/>
    <m/>
    <x v="1"/>
    <s v="Investigador ATHENALAB"/>
    <x v="1"/>
    <x v="6"/>
  </r>
  <r>
    <n v="279"/>
    <s v="PROVEEDORES"/>
    <m/>
    <x v="3"/>
    <s v="Carlos"/>
    <s v="Figueroa"/>
    <s v="Ortiz"/>
    <x v="0"/>
    <s v="Gerente Sucursal COB Talcahuano (ASMAR)"/>
    <x v="4"/>
    <x v="45"/>
  </r>
  <r>
    <n v="280"/>
    <s v="MADRINA"/>
    <s v="Rector"/>
    <x v="1"/>
    <s v="John"/>
    <s v="Griffiths"/>
    <m/>
    <x v="1"/>
    <s v="Director Ejecutivo ATHENALAB"/>
    <x v="1"/>
    <x v="6"/>
  </r>
  <r>
    <n v="281"/>
    <s v="MADRINA"/>
    <s v="Rector"/>
    <x v="1"/>
    <s v="Nicolás"/>
    <s v="Ibáñez"/>
    <m/>
    <x v="1"/>
    <s v="Pdte Directorio ATHENALAB"/>
    <x v="1"/>
    <x v="6"/>
  </r>
  <r>
    <n v="282"/>
    <s v="MANDOS SEZONA"/>
    <s v="Capitán de Navío"/>
    <x v="3"/>
    <s v="Francisco "/>
    <s v="Abarca "/>
    <s v="Mackay"/>
    <x v="0"/>
    <s v="Comandante del LSDH &quot;Sargento Aldea&quot;"/>
    <x v="2"/>
    <x v="30"/>
  </r>
  <r>
    <n v="283"/>
    <s v="INVITADOS ASMAR "/>
    <m/>
    <x v="3"/>
    <s v="Miguel"/>
    <s v="Urzúa"/>
    <m/>
    <x v="0"/>
    <s v="Gerente de Infraestructura EFE"/>
    <x v="0"/>
    <x v="14"/>
  </r>
  <r>
    <n v="284"/>
    <s v="MANDOS SEZONA"/>
    <s v="Capitán de Navío"/>
    <x v="3"/>
    <s v="Rodrigo "/>
    <s v="Agüero "/>
    <s v="Miranda"/>
    <x v="0"/>
    <s v="Comandante de la FF-07 &quot;Almirante Lynch&quot;"/>
    <x v="2"/>
    <x v="31"/>
  </r>
  <r>
    <n v="285"/>
    <s v="PROVEEDORES"/>
    <m/>
    <x v="3"/>
    <s v="César"/>
    <s v="Oliva"/>
    <s v="Barriga"/>
    <x v="0"/>
    <s v="Gerente Sucursal COB Valdivia"/>
    <x v="4"/>
    <x v="43"/>
  </r>
  <r>
    <n v="286"/>
    <s v="INVITADOS ASMAR "/>
    <s v="BANCOS"/>
    <x v="3"/>
    <s v="Carlos"/>
    <s v="Bau"/>
    <s v="Díaz"/>
    <x v="0"/>
    <s v="Sub Gerente Negocios Moneda Extranjera Banco de Chile"/>
    <x v="0"/>
    <x v="12"/>
  </r>
  <r>
    <n v="287"/>
    <s v="MADRINA"/>
    <m/>
    <x v="1"/>
    <s v="Claudio"/>
    <s v="Hohmann"/>
    <m/>
    <x v="1"/>
    <s v="Pdte Consejo Asesor CLAPES UC"/>
    <x v="1"/>
    <x v="6"/>
  </r>
  <r>
    <n v="288"/>
    <s v="MADRINA"/>
    <s v="Rector"/>
    <x v="1"/>
    <s v="Felipe"/>
    <s v="Larraín"/>
    <m/>
    <x v="1"/>
    <s v="Director Ejecutivo CLAPES UC"/>
    <x v="1"/>
    <x v="6"/>
  </r>
  <r>
    <n v="289"/>
    <s v="MADRINA"/>
    <m/>
    <x v="1"/>
    <s v="Eduardo"/>
    <s v="Escaffi"/>
    <m/>
    <x v="1"/>
    <s v="Empresario"/>
    <x v="1"/>
    <x v="6"/>
  </r>
  <r>
    <n v="290"/>
    <s v="PROVEEDORES"/>
    <m/>
    <x v="3"/>
    <s v="Gonzalo"/>
    <s v="Mercado"/>
    <m/>
    <x v="0"/>
    <s v="Gerente Operaciones Remolcadores CPT"/>
    <x v="4"/>
    <x v="35"/>
  </r>
  <r>
    <n v="291"/>
    <s v="INVITADOS ASMAR "/>
    <s v="BANCOS"/>
    <x v="3"/>
    <s v="Alberto "/>
    <s v="Dalmazzo"/>
    <s v="Bonet"/>
    <x v="0"/>
    <s v="Gerente Negocios Moneda Extranjera Banco de Chile"/>
    <x v="0"/>
    <x v="10"/>
  </r>
  <r>
    <n v="292"/>
    <s v="INVITADOS ASMAR "/>
    <s v="BANCOS"/>
    <x v="3"/>
    <s v="Julio"/>
    <s v="Lagos"/>
    <s v="Olavarrieta"/>
    <x v="0"/>
    <s v="Gerente Area Banca Privada y Red Edwards"/>
    <x v="0"/>
    <x v="5"/>
  </r>
  <r>
    <n v="293"/>
    <s v="MANDOS SEZONA"/>
    <s v="Capitán de Navío"/>
    <x v="3"/>
    <s v="Leonardo"/>
    <s v=" González  "/>
    <s v="Toloza"/>
    <x v="0"/>
    <s v="Jefe del Estado Mayor de la Comandancia en Jefe de la Fuerza de Submarinos"/>
    <x v="2"/>
    <x v="26"/>
  </r>
  <r>
    <n v="294"/>
    <s v="MANDOS SEZONA"/>
    <s v="Capitán de Navío"/>
    <x v="3"/>
    <s v="Daniel "/>
    <s v="Álvarez  "/>
    <s v="Saavedra"/>
    <x v="0"/>
    <s v="Jefe Militar y Jefe Departamento de la Dirección de Recuperación de Unidades de la Armada en Talcahuano"/>
    <x v="2"/>
    <x v="25"/>
  </r>
  <r>
    <n v="295"/>
    <s v="PROVEEDORES"/>
    <m/>
    <x v="3"/>
    <s v="Pedro"/>
    <s v="Vacarezza"/>
    <s v="Salas"/>
    <x v="0"/>
    <s v="Gerente de Ventas Empresas CODELPA S.A."/>
    <x v="4"/>
    <x v="40"/>
  </r>
  <r>
    <n v="296"/>
    <s v="PROVEEDORES"/>
    <m/>
    <x v="3"/>
    <s v="Esteban"/>
    <s v="Muñoz"/>
    <s v="Cabrera"/>
    <x v="0"/>
    <s v="Representante Legal  HECARES"/>
    <x v="3"/>
    <x v="11"/>
  </r>
  <r>
    <m/>
    <m/>
    <s v="Capitán de Fragata"/>
    <x v="3"/>
    <s v="Matias"/>
    <s v="Melkonian"/>
    <s v="Id"/>
    <x v="0"/>
    <s v="OFABAS CJA"/>
    <x v="5"/>
    <x v="11"/>
  </r>
  <r>
    <n v="298"/>
    <s v="INVITADOS ASMAR "/>
    <s v="BANCOS"/>
    <x v="3"/>
    <s v="Camilo"/>
    <s v="Donoso"/>
    <s v="Smith"/>
    <x v="0"/>
    <s v="Gerente Sucursal Las Salinas de Banco Edwards"/>
    <x v="0"/>
    <x v="4"/>
  </r>
  <r>
    <n v="299"/>
    <s v="MADRINA"/>
    <m/>
    <x v="1"/>
    <s v="Pablo"/>
    <s v="Correa"/>
    <s v="G."/>
    <x v="1"/>
    <s v="Tte2 RNY"/>
    <x v="1"/>
    <x v="6"/>
  </r>
  <r>
    <n v="300"/>
    <s v="MILITARES"/>
    <s v="Teniente Primero"/>
    <x v="3"/>
    <s v="Nicolás"/>
    <s v="Ganga"/>
    <s v="Marcadé"/>
    <x v="0"/>
    <s v="Ayudor SEZONA"/>
    <x v="3"/>
    <x v="45"/>
  </r>
  <r>
    <n v="301"/>
    <s v="INVITADOS DGSA"/>
    <s v="Rector"/>
    <x v="1"/>
    <s v="Joaquin"/>
    <s v="Dagá"/>
    <s v="Kunze"/>
    <x v="1"/>
    <s v="Director General de Obras Públicas"/>
    <x v="1"/>
    <x v="6"/>
  </r>
  <r>
    <n v="302"/>
    <s v="ACADÉMICOS"/>
    <m/>
    <x v="3"/>
    <s v="José"/>
    <s v="Rodríguez"/>
    <s v="Pérez"/>
    <x v="1"/>
    <s v="Universidad San Sebastían"/>
    <x v="1"/>
    <x v="6"/>
  </r>
  <r>
    <n v="303"/>
    <s v="INVITADOS ASMAR "/>
    <m/>
    <x v="3"/>
    <s v="James"/>
    <s v="Argo"/>
    <m/>
    <x v="0"/>
    <s v="Director Ejecutivo CORFO BioBio"/>
    <x v="0"/>
    <x v="0"/>
  </r>
  <r>
    <n v="304"/>
    <s v="MILITARES"/>
    <s v="Teniente Primero"/>
    <x v="3"/>
    <s v="Ignacio"/>
    <s v="Jimenez"/>
    <s v="San Martín"/>
    <x v="0"/>
    <s v="Ayudor SUBSECDEF"/>
    <x v="3"/>
    <x v="43"/>
  </r>
  <r>
    <n v="305"/>
    <s v="INVITADOS DGSA"/>
    <s v="Ministro"/>
    <x v="1"/>
    <s v="Raul"/>
    <s v="Irarrazaval"/>
    <m/>
    <x v="1"/>
    <s v="Asesor Ministro de Obras Públicas"/>
    <x v="1"/>
    <x v="6"/>
  </r>
  <r>
    <n v="306"/>
    <s v="MILITARES"/>
    <s v="Teniente Segundo"/>
    <x v="3"/>
    <s v="Daniela"/>
    <s v="Severino"/>
    <s v="Salamanca"/>
    <x v="0"/>
    <s v="Ayudor FUERSUB"/>
    <x v="3"/>
    <x v="35"/>
  </r>
  <r>
    <n v="307"/>
    <s v="INVITADOS DGSA"/>
    <m/>
    <x v="1"/>
    <s v="Rodrigo"/>
    <s v="Zamora"/>
    <s v="Maric"/>
    <x v="1"/>
    <s v="Investigador Centro Estudios Cientificos"/>
    <x v="1"/>
    <x v="6"/>
  </r>
  <r>
    <n v="308"/>
    <s v="INVITADOS DGSA"/>
    <m/>
    <x v="1"/>
    <s v="Manuel"/>
    <s v="Quiñones"/>
    <s v="Sigala"/>
    <x v="1"/>
    <s v="Jefe Div. Evaluación de Proyectos SUBSECDEF"/>
    <x v="1"/>
    <x v="6"/>
  </r>
  <r>
    <n v="309"/>
    <s v="INVITADOS DGSA"/>
    <m/>
    <x v="1"/>
    <s v="Isabel"/>
    <s v="Horta"/>
    <s v="Genskowsky"/>
    <x v="1"/>
    <s v="Jefe Depto. Evaluación de Proyectos SUBSECDEF"/>
    <x v="1"/>
    <x v="6"/>
  </r>
  <r>
    <n v="310"/>
    <s v="INVITADOS DGSA"/>
    <m/>
    <x v="1"/>
    <s v="Cristian"/>
    <s v="Ruminao"/>
    <s v="Ortega"/>
    <x v="1"/>
    <s v="Jefe Depto. de Seguimiento de Proyectos SUBSECDEF"/>
    <x v="1"/>
    <x v="6"/>
  </r>
  <r>
    <n v="311"/>
    <s v="INVITADOS DGSA"/>
    <m/>
    <x v="1"/>
    <s v="Mardoqueo"/>
    <s v="Gonzalez"/>
    <s v="Avendaño"/>
    <x v="1"/>
    <s v="Ingeniero Analista Depto. de Evaluación de Proyectos SUBSECDEF"/>
    <x v="1"/>
    <x v="6"/>
  </r>
  <r>
    <n v="312"/>
    <s v="MANDOS SEZONA"/>
    <s v="Capitán de Navío SN"/>
    <x v="3"/>
    <s v="Cristián "/>
    <s v="González   "/>
    <s v="Garfias"/>
    <x v="0"/>
    <s v="Director del Hospital Naval &quot;Almirante Adriazola&quot; de Talcahuano"/>
    <x v="2"/>
    <x v="22"/>
  </r>
  <r>
    <n v="313"/>
    <s v="INVITADOS DGSA"/>
    <m/>
    <x v="0"/>
    <s v="David"/>
    <s v="Gonzalez"/>
    <s v="Lorenzo"/>
    <x v="0"/>
    <s v="Gerente General Puerto Huachipato"/>
    <x v="4"/>
    <x v="29"/>
  </r>
  <r>
    <n v="314"/>
    <s v="MILITARES"/>
    <s v="Capitán de Navío"/>
    <x v="3"/>
    <s v="José Miguel"/>
    <s v="Oxley"/>
    <s v="Lizana"/>
    <x v="0"/>
    <s v="Jefe Estado Mayor de la Segunda Zona Naval y Comandante de la Base Naval Talcahuano"/>
    <x v="2"/>
    <x v="20"/>
  </r>
  <r>
    <n v="315"/>
    <s v="MILITARES"/>
    <s v="Capitán de Navío"/>
    <x v="3"/>
    <s v="Roberto"/>
    <s v="Pereyra "/>
    <s v="Barbieri"/>
    <x v="0"/>
    <s v="Comandante del Comando Anfibio y de Transportes Navales"/>
    <x v="2"/>
    <x v="18"/>
  </r>
  <r>
    <n v="316"/>
    <s v="INVITADOS DGSA"/>
    <m/>
    <x v="1"/>
    <s v="Miguel "/>
    <s v="Flores"/>
    <s v="Cabrales"/>
    <x v="1"/>
    <s v="Jefe Unidad Administración de Capacidades Estratégicas de la Defensa dela SUBSECFA"/>
    <x v="1"/>
    <x v="6"/>
  </r>
  <r>
    <n v="317"/>
    <s v="CIVILES"/>
    <s v="Señor"/>
    <x v="0"/>
    <s v="Gonzalo"/>
    <s v="Tampier"/>
    <s v="Brockhaus"/>
    <x v="0"/>
    <s v="Director de Desarrrollo e Innovación Universidad Austral - Comité CORFO"/>
    <x v="3"/>
    <x v="31"/>
  </r>
  <r>
    <n v="318"/>
    <s v="CIVILES"/>
    <s v="Capitán de Navío (R)"/>
    <x v="1"/>
    <s v="Sergio"/>
    <s v="Rojas "/>
    <s v="Pimentel"/>
    <x v="1"/>
    <s v="Secretario Consejo Superior ASMAR"/>
    <x v="1"/>
    <x v="6"/>
  </r>
  <r>
    <n v="319"/>
    <s v="MILITARES"/>
    <s v="Coronel"/>
    <x v="3"/>
    <s v="Miguel Eduardo"/>
    <s v="Aguilar"/>
    <s v="Saavedra"/>
    <x v="0"/>
    <s v="Prefecto de la Prefectura de Carabineros Talcahuano"/>
    <x v="2"/>
    <x v="16"/>
  </r>
  <r>
    <n v="320"/>
    <s v="ACADÉMICOS"/>
    <m/>
    <x v="3"/>
    <s v="Eric"/>
    <s v="Goles"/>
    <s v="Chacc"/>
    <x v="2"/>
    <s v="Director Sistemas Complejos UAI"/>
    <x v="5"/>
    <x v="22"/>
  </r>
  <r>
    <n v="321"/>
    <s v="PROVEEDORES"/>
    <m/>
    <x v="3"/>
    <s v="Ernesto"/>
    <s v="Muller"/>
    <m/>
    <x v="0"/>
    <s v="Project Manager Expert Surveyor DNV"/>
    <x v="4"/>
    <x v="38"/>
  </r>
  <r>
    <n v="322"/>
    <s v="MADRINA"/>
    <m/>
    <x v="0"/>
    <s v="Cristian"/>
    <s v="Junge"/>
    <s v="Bascur"/>
    <x v="0"/>
    <s v="GAMA RNY Yerno JLM"/>
    <x v="3"/>
    <x v="42"/>
  </r>
  <r>
    <n v="323"/>
    <s v="ASMARTALC"/>
    <s v="Suboficial Mayor"/>
    <x v="3"/>
    <s v="Manuel"/>
    <s v="Cisternas"/>
    <s v="Suarez"/>
    <x v="0"/>
    <s v="Condestable Mayor ASMAR T"/>
    <x v="2"/>
    <x v="14"/>
  </r>
  <r>
    <n v="324"/>
    <s v="ACADÉMICOS"/>
    <m/>
    <x v="3"/>
    <s v="Cristián"/>
    <s v="Vargas"/>
    <s v="Riquelme"/>
    <x v="2"/>
    <s v="Decano Facultad de Ingenieria de la Universidad de Santiago"/>
    <x v="5"/>
    <x v="20"/>
  </r>
  <r>
    <n v="325"/>
    <s v="INVITADOS ASMAR "/>
    <m/>
    <x v="3"/>
    <s v="Christian"/>
    <s v="Bachur"/>
    <s v="Melcher"/>
    <x v="2"/>
    <s v="Director Regional CGE"/>
    <x v="5"/>
    <x v="18"/>
  </r>
  <r>
    <n v="326"/>
    <s v="MILITARES"/>
    <s v="Capitán de Navío"/>
    <x v="1"/>
    <s v="Alfonso"/>
    <s v="Pérez-Canto"/>
    <s v="Navarro"/>
    <x v="1"/>
    <s v="DIPRIDA"/>
    <x v="1"/>
    <x v="6"/>
  </r>
  <r>
    <n v="327"/>
    <s v="MADRINA"/>
    <m/>
    <x v="3"/>
    <s v="Lorenzo"/>
    <s v="Gazmuri"/>
    <s v="Sch."/>
    <x v="1"/>
    <s v="Ex Pdte ICARE"/>
    <x v="1"/>
    <x v="6"/>
  </r>
  <r>
    <n v="328"/>
    <s v="MADRINA"/>
    <s v="Rector"/>
    <x v="3"/>
    <s v="Carlos"/>
    <s v="Russi"/>
    <m/>
    <x v="1"/>
    <s v="Director ATHENALAB"/>
    <x v="1"/>
    <x v="6"/>
  </r>
  <r>
    <m/>
    <m/>
    <m/>
    <x v="3"/>
    <s v="Hernán "/>
    <s v="Téllez"/>
    <m/>
    <x v="0"/>
    <s v="Jefe de Comunicaciones Ministra de  Ciencia, Tecnología, Conocimiento e Innovación"/>
    <x v="4"/>
    <x v="33"/>
  </r>
  <r>
    <n v="330"/>
    <s v="MILITARES"/>
    <s v="Capitán de Navío"/>
    <x v="0"/>
    <s v="Alessandro"/>
    <s v="Pulleghini"/>
    <s v="Flores"/>
    <x v="0"/>
    <s v="Edecán SEPRE"/>
    <x v="2"/>
    <x v="0"/>
  </r>
  <r>
    <n v="331"/>
    <s v="MILITARES"/>
    <s v="Capitán de Fragata"/>
    <x v="0"/>
    <s v="Pablo"/>
    <s v="Berg"/>
    <s v="Aldoney"/>
    <x v="0"/>
    <s v="AYUDORALM"/>
    <x v="2"/>
    <x v="4"/>
  </r>
  <r>
    <n v="332"/>
    <s v="INVITADOS ASMAR "/>
    <s v="Capitán de Fragata (R)"/>
    <x v="3"/>
    <s v="Rodrigo"/>
    <s v="Lobo"/>
    <m/>
    <x v="0"/>
    <s v="Director de Relaciones Institucionales y Desarrollo de Negocios GL Events Chile"/>
    <x v="0"/>
    <x v="1"/>
  </r>
  <r>
    <n v="333"/>
    <s v="INVITADOS ASMAR "/>
    <m/>
    <x v="3"/>
    <s v="Carlos"/>
    <s v="Vargas"/>
    <s v="Covarrubias"/>
    <x v="0"/>
    <s v="Gerente Corporativo COMPAS MARINE"/>
    <x v="0"/>
    <x v="2"/>
  </r>
  <r>
    <n v="334"/>
    <s v="MILITARES"/>
    <s v="Capitán de Fragata"/>
    <x v="0"/>
    <s v="Joaquín "/>
    <s v="Opazo"/>
    <s v="Rojas"/>
    <x v="0"/>
    <s v="Ayudor MINDEF"/>
    <x v="2"/>
    <x v="1"/>
  </r>
  <r>
    <n v="335"/>
    <s v="MILITARES"/>
    <s v="Capitán de Fragata"/>
    <x v="0"/>
    <s v="Luis "/>
    <s v="González"/>
    <s v="Otero"/>
    <x v="0"/>
    <s v="Ayudor VA peruano"/>
    <x v="4"/>
    <x v="31"/>
  </r>
  <r>
    <n v="336"/>
    <s v="MILITARES"/>
    <s v="Suboficial Mayor"/>
    <x v="3"/>
    <s v="Javier"/>
    <s v="Sepulveda"/>
    <s v="Zenteno"/>
    <x v="0"/>
    <s v="Condestable Mayor de la Segunda Zona Naval"/>
    <x v="2"/>
    <x v="12"/>
  </r>
  <r>
    <n v="337"/>
    <s v="MILITARES"/>
    <s v="Suboficial Mayor"/>
    <x v="3"/>
    <s v="Guillermo"/>
    <s v="Ramos"/>
    <s v="Santander"/>
    <x v="0"/>
    <s v="Condestable Mayor de la Armada"/>
    <x v="2"/>
    <x v="10"/>
  </r>
  <r>
    <n v="338"/>
    <s v="INVITADOS DGSA"/>
    <m/>
    <x v="3"/>
    <s v="Constanza"/>
    <s v="Pérez"/>
    <s v="Salas"/>
    <x v="1"/>
    <s v="Asesora de Economia y Finanzas del MINDEF"/>
    <x v="1"/>
    <x v="6"/>
  </r>
  <r>
    <n v="339"/>
    <s v="INVITADOS ASMAR "/>
    <m/>
    <x v="3"/>
    <s v="Manuel"/>
    <s v="Aravena"/>
    <m/>
    <x v="0"/>
    <s v="Socio fundador Astillero ASCON "/>
    <x v="0"/>
    <x v="3"/>
  </r>
  <r>
    <n v="340"/>
    <s v="PROVEEDORES"/>
    <m/>
    <x v="3"/>
    <s v="Adolfo"/>
    <s v="Medina"/>
    <s v="Donoso"/>
    <x v="0"/>
    <s v="Gerente Ventas, Wärtsilä Marine"/>
    <x v="4"/>
    <x v="30"/>
  </r>
  <r>
    <n v="341"/>
    <s v="MILITARES"/>
    <s v="Coronel (Av.)"/>
    <x v="1"/>
    <s v="Christian"/>
    <s v="Rauwolf"/>
    <m/>
    <x v="1"/>
    <s v="Agregado de Defensa de Alemania"/>
    <x v="1"/>
    <x v="6"/>
  </r>
  <r>
    <n v="342"/>
    <s v="ACADÉMICOS"/>
    <s v="Rector"/>
    <x v="3"/>
    <s v="Gonzalo"/>
    <s v="Ruz"/>
    <s v="Heredia"/>
    <x v="0"/>
    <s v="Director Data Science UAI"/>
    <x v="2"/>
    <x v="5"/>
  </r>
  <r>
    <n v="343"/>
    <s v="ACADÉMICOS"/>
    <s v="Señor"/>
    <x v="3"/>
    <s v="Jorge"/>
    <s v="Carpinelli"/>
    <m/>
    <x v="0"/>
    <s v="Director de Innovación y Transferencia Tecnológica Universidad Andrés Bello"/>
    <x v="2"/>
    <x v="4"/>
  </r>
  <r>
    <n v="344"/>
    <s v="MILITARES"/>
    <s v="Capitán de Navío"/>
    <x v="1"/>
    <s v="Carlos"/>
    <s v="Tojal"/>
    <s v="Do Vale"/>
    <x v="1"/>
    <s v="Agregado de Defensa y Naval Brasil"/>
    <x v="1"/>
    <x v="6"/>
  </r>
  <r>
    <n v="345"/>
    <s v="ACADÉMICOS"/>
    <s v="Señor"/>
    <x v="3"/>
    <s v="Pedro"/>
    <s v="Silva"/>
    <s v="Riquelme"/>
    <x v="0"/>
    <s v="Director Vinculación con el Medio UDD"/>
    <x v="2"/>
    <x v="0"/>
  </r>
  <r>
    <n v="346"/>
    <s v="MILITARES"/>
    <s v="Coronel Superior"/>
    <x v="1"/>
    <s v="Hui"/>
    <s v="Wang"/>
    <m/>
    <x v="1"/>
    <s v="Agregado de Defensa de la República Popular China."/>
    <x v="1"/>
    <x v="6"/>
  </r>
  <r>
    <n v="347"/>
    <s v="MILITARES"/>
    <s v="Teniente Coronel"/>
    <x v="1"/>
    <s v="Chen"/>
    <s v="Chen"/>
    <m/>
    <x v="1"/>
    <s v="Agregado de Defensa Adjunto de la República Popular China."/>
    <x v="1"/>
    <x v="6"/>
  </r>
  <r>
    <n v="348"/>
    <s v="MILITARES"/>
    <s v="Capitán de Navío"/>
    <x v="1"/>
    <s v="Ranulfo"/>
    <s v="Araújo"/>
    <s v="Fernández"/>
    <x v="1"/>
    <s v="Agregado Naval de Colombia"/>
    <x v="1"/>
    <x v="6"/>
  </r>
  <r>
    <n v="349"/>
    <s v="ACADÉMICOS"/>
    <m/>
    <x v="3"/>
    <s v="Jorge"/>
    <s v="Fuentealba"/>
    <s v="Arcos"/>
    <x v="0"/>
    <s v="Vicerrector de Relaciones Institucionales Universidad de Concepción"/>
    <x v="2"/>
    <x v="1"/>
  </r>
  <r>
    <n v="350"/>
    <s v="PROVEEDORES"/>
    <m/>
    <x v="3"/>
    <s v="Jorge"/>
    <s v="Millan"/>
    <s v="Orellana"/>
    <x v="0"/>
    <s v="Jefe Sucursal Concepción INDUELECTRO"/>
    <x v="3"/>
    <x v="40"/>
  </r>
  <r>
    <n v="351"/>
    <s v="MILITARES"/>
    <s v="Capitán de Navío"/>
    <x v="1"/>
    <s v="Tyler"/>
    <s v="Ross"/>
    <m/>
    <x v="1"/>
    <s v="Agregado de Defensa y Naval de Estados Unidos"/>
    <x v="1"/>
    <x v="6"/>
  </r>
  <r>
    <n v="352"/>
    <s v="MILITARES"/>
    <s v="Capitán de Navío"/>
    <x v="1"/>
    <s v="Juan Luis"/>
    <s v="Benavides"/>
    <s v="Sierra"/>
    <x v="1"/>
    <s v="Agregado de Defensa, Militar, Naval y Aéreo de España"/>
    <x v="1"/>
    <x v="6"/>
  </r>
  <r>
    <n v="353"/>
    <s v="MILITARES"/>
    <s v="Capitán de Navío"/>
    <x v="1"/>
    <s v="Numa"/>
    <s v="Durbec"/>
    <m/>
    <x v="1"/>
    <s v="Agregado de Defensa y Naval de Francia"/>
    <x v="1"/>
    <x v="6"/>
  </r>
  <r>
    <n v="354"/>
    <s v="MILITARES"/>
    <s v="Coronel"/>
    <x v="1"/>
    <s v="Amit"/>
    <s v="Guy"/>
    <m/>
    <x v="1"/>
    <s v="Agregado de Defensa de Israel"/>
    <x v="1"/>
    <x v="6"/>
  </r>
  <r>
    <n v="355"/>
    <s v="MILITARES"/>
    <s v="Coronel"/>
    <x v="1"/>
    <s v="Francesco"/>
    <s v="Tanda"/>
    <m/>
    <x v="1"/>
    <s v="Agregado de Defensa de Italia"/>
    <x v="1"/>
    <x v="6"/>
  </r>
  <r>
    <n v="356"/>
    <s v="PROVEEDORES"/>
    <m/>
    <x v="3"/>
    <s v="Manuel Ricardo"/>
    <s v="Romero"/>
    <s v="Vega"/>
    <x v="0"/>
    <s v="Jefe de Proyecto IBERCISA"/>
    <x v="4"/>
    <x v="31"/>
  </r>
  <r>
    <n v="357"/>
    <s v="MILITARES"/>
    <s v="Contraalmirante"/>
    <x v="0"/>
    <s v="Victor"/>
    <s v="Pasquel"/>
    <s v="Meléndez"/>
    <x v="0"/>
    <s v="Agregado Naval de México"/>
    <x v="4"/>
    <x v="1"/>
  </r>
  <r>
    <n v="358"/>
    <s v="INVITADOS ASMAR "/>
    <m/>
    <x v="3"/>
    <s v="Juan Pablo"/>
    <s v="Salas"/>
    <m/>
    <x v="0"/>
    <s v="Gerente General Astillero ASCON Socio fundador"/>
    <x v="0"/>
    <x v="8"/>
  </r>
  <r>
    <n v="359"/>
    <s v="MILITARES"/>
    <s v="Capitán de Navío"/>
    <x v="1"/>
    <s v="Jason"/>
    <s v="White"/>
    <m/>
    <x v="1"/>
    <s v="Agregado de Defensa, Militar, Naval y Aéreo del Reino Unido"/>
    <x v="1"/>
    <x v="6"/>
  </r>
  <r>
    <n v="360"/>
    <s v="MILITARES"/>
    <s v="Coronel"/>
    <x v="1"/>
    <s v="Carlos "/>
    <s v="Caballero"/>
    <m/>
    <x v="1"/>
    <s v="Agregado de Defensa República Dominicana"/>
    <x v="1"/>
    <x v="6"/>
  </r>
  <r>
    <n v="361"/>
    <s v="MILITARES"/>
    <s v="Coronel"/>
    <x v="1"/>
    <s v="Nikolay"/>
    <s v="Rusyaev"/>
    <m/>
    <x v="1"/>
    <s v="Agregado de Defensa Rusia"/>
    <x v="1"/>
    <x v="6"/>
  </r>
  <r>
    <n v="362"/>
    <s v="ACADÉMICOS"/>
    <m/>
    <x v="3"/>
    <s v="Claudia "/>
    <s v="Ulloa"/>
    <m/>
    <x v="0"/>
    <s v="Vicerrectora de Investigación y Desarrollo Universidad de Concepción"/>
    <x v="2"/>
    <x v="2"/>
  </r>
  <r>
    <n v="363"/>
    <s v="MILITARES"/>
    <s v="Coronel"/>
    <x v="1"/>
    <s v="Andrii"/>
    <s v="Matsiuk"/>
    <m/>
    <x v="1"/>
    <s v="Agregado de Defensa Ucrania"/>
    <x v="1"/>
    <x v="6"/>
  </r>
  <r>
    <n v="364"/>
    <s v="ASMAR DIRECCIÓN"/>
    <m/>
    <x v="3"/>
    <s v="Londa "/>
    <s v="Salinas"/>
    <s v="García"/>
    <x v="0"/>
    <s v="Jefa de Adquisiciones y Contratos"/>
    <x v="3"/>
    <x v="38"/>
  </r>
  <r>
    <n v="365"/>
    <s v="MILITARES"/>
    <s v="Primer Coronel"/>
    <x v="1"/>
    <s v="Nguyen"/>
    <s v="Thai Duong"/>
    <m/>
    <x v="1"/>
    <s v="Agregado de Defensa de Vietnam"/>
    <x v="1"/>
    <x v="6"/>
  </r>
  <r>
    <n v="366"/>
    <s v="INVITADOS ASMAR "/>
    <m/>
    <x v="3"/>
    <s v="Miguel"/>
    <s v="Iglesias"/>
    <s v="Hurtubia"/>
    <x v="2"/>
    <s v="Gerente General de ENERGY ASSET"/>
    <x v="5"/>
    <x v="16"/>
  </r>
  <r>
    <n v="367"/>
    <s v="INVITADOS DGSA"/>
    <m/>
    <x v="3"/>
    <s v="Vinko"/>
    <s v="Yap"/>
    <s v="Hip"/>
    <x v="0"/>
    <s v="Subgerente Operaciones Huachipato"/>
    <x v="4"/>
    <x v="26"/>
  </r>
  <r>
    <n v="368"/>
    <s v="MANDOS SEZONA"/>
    <s v="Capitán de Navío"/>
    <x v="1"/>
    <s v="Roberto "/>
    <s v="Ortega  "/>
    <s v="Gutiérrez"/>
    <x v="1"/>
    <s v="Jefe del Arsenal Naval de Talcahuano"/>
    <x v="1"/>
    <x v="6"/>
  </r>
  <r>
    <n v="369"/>
    <m/>
    <m/>
    <x v="3"/>
    <s v="Nelly"/>
    <s v="Gómez"/>
    <s v="Fuentealba"/>
    <x v="0"/>
    <s v="Directora General Relaciones Institucionales Universidad del Bio Bio"/>
    <x v="2"/>
    <x v="3"/>
  </r>
  <r>
    <n v="370"/>
    <s v="OPA"/>
    <s v="Capitán de Navío (R.)"/>
    <x v="3"/>
    <s v="Rolando"/>
    <s v="Varela"/>
    <s v="Peña"/>
    <x v="0"/>
    <s v="Jefe de la División de Planes y Politicas de la Subsecretaria de Defensa"/>
    <x v="2"/>
    <x v="8"/>
  </r>
  <r>
    <n v="371"/>
    <s v="INVITADOS ASMAR "/>
    <m/>
    <x v="3"/>
    <s v="Pedro"/>
    <s v="Fierro"/>
    <s v="Page"/>
    <x v="0"/>
    <s v="Director de la Academia de Historia Naval y Maritima de Chile"/>
    <x v="2"/>
    <x v="9"/>
  </r>
  <r>
    <n v="372"/>
    <s v="INVITADOS ASMAR "/>
    <m/>
    <x v="3"/>
    <s v="Diego"/>
    <s v="Concha"/>
    <s v="Strappa"/>
    <x v="0"/>
    <s v="Gerente de Sucursales COOPEUCH"/>
    <x v="2"/>
    <x v="7"/>
  </r>
  <r>
    <n v="373"/>
    <s v="INVITADOS ASMAR "/>
    <m/>
    <x v="3"/>
    <s v="Luis "/>
    <s v="Cifuentes"/>
    <s v="Monsalve"/>
    <x v="0"/>
    <s v="Gerente Regional Región del BioBio COOPEUCH"/>
    <x v="2"/>
    <x v="23"/>
  </r>
  <r>
    <n v="374"/>
    <s v="MADRINA"/>
    <m/>
    <x v="3"/>
    <s v="Matías"/>
    <s v="Raby"/>
    <s v="Olavarria"/>
    <x v="0"/>
    <s v="Boston Consulting Group"/>
    <x v="2"/>
    <x v="21"/>
  </r>
  <r>
    <n v="375"/>
    <s v="MADRINA"/>
    <m/>
    <x v="3"/>
    <s v="Cecilia"/>
    <s v="Cifuentes"/>
    <m/>
    <x v="0"/>
    <s v="Economista ESE U de los Andes"/>
    <x v="2"/>
    <x v="13"/>
  </r>
  <r>
    <n v="376"/>
    <s v="MADRINA"/>
    <m/>
    <x v="3"/>
    <s v="Mauricio"/>
    <s v="Leiva"/>
    <s v="Molina"/>
    <x v="0"/>
    <s v="Invitado Madrina"/>
    <x v="2"/>
    <x v="15"/>
  </r>
  <r>
    <n v="377"/>
    <s v="MADRINA"/>
    <m/>
    <x v="3"/>
    <s v="Paulina"/>
    <s v="Bustamante"/>
    <s v="Arriagada"/>
    <x v="0"/>
    <s v="Invitado Madrina"/>
    <x v="2"/>
    <x v="17"/>
  </r>
  <r>
    <n v="378"/>
    <s v="MADRINA"/>
    <m/>
    <x v="3"/>
    <s v="Alfonso"/>
    <s v="Leiva"/>
    <s v="Bustamante"/>
    <x v="0"/>
    <s v="Sobrino JLM"/>
    <x v="2"/>
    <x v="19"/>
  </r>
  <r>
    <n v="379"/>
    <s v="PROVEEDORES"/>
    <m/>
    <x v="3"/>
    <s v="Francisco"/>
    <s v="Calvanese"/>
    <m/>
    <x v="0"/>
    <s v="Gerente Comercial SISDEF"/>
    <x v="2"/>
    <x v="24"/>
  </r>
  <r>
    <n v="380"/>
    <s v="PROVEEDORES"/>
    <m/>
    <x v="3"/>
    <s v="Gonzalo"/>
    <s v="Garín"/>
    <m/>
    <x v="0"/>
    <s v="Jefe de Proyecto SISDEF"/>
    <x v="2"/>
    <x v="27"/>
  </r>
  <r>
    <n v="381"/>
    <s v="PROVEEDORES"/>
    <m/>
    <x v="3"/>
    <s v="Carlos"/>
    <s v="Novoa"/>
    <m/>
    <x v="0"/>
    <s v="Ejecutivo Comercial SISDEF"/>
    <x v="2"/>
    <x v="28"/>
  </r>
  <r>
    <n v="382"/>
    <s v="MANDOS SEZONA"/>
    <s v="Capitán de Fragata"/>
    <x v="1"/>
    <s v="Andrés"/>
    <s v="González "/>
    <s v="Smith"/>
    <x v="1"/>
    <s v="Comandante del SS &quot;Carrera&quot;"/>
    <x v="1"/>
    <x v="6"/>
  </r>
  <r>
    <n v="383"/>
    <s v="PROVEEDORES"/>
    <m/>
    <x v="3"/>
    <s v="Katrina"/>
    <s v="Vásquez"/>
    <m/>
    <x v="0"/>
    <s v="Jefe de Marketing SISDEF"/>
    <x v="2"/>
    <x v="32"/>
  </r>
  <r>
    <n v="384"/>
    <s v="PROVEEDORES"/>
    <m/>
    <x v="3"/>
    <s v="Tamara"/>
    <s v="Flores"/>
    <m/>
    <x v="0"/>
    <s v="Gerente de Soluciones de Seguridad SISDEF"/>
    <x v="2"/>
    <x v="29"/>
  </r>
  <r>
    <n v="385"/>
    <s v="PROVEEDORES"/>
    <m/>
    <x v="3"/>
    <s v="Hans"/>
    <s v="Ekdahl"/>
    <m/>
    <x v="0"/>
    <s v="DNV Chile Maritime Station Manager DNV"/>
    <x v="2"/>
    <x v="37"/>
  </r>
  <r>
    <n v="386"/>
    <s v="MANDOS SEZONA"/>
    <s v="Capitán de Fragata OM IM"/>
    <x v="1"/>
    <s v="Agustín "/>
    <s v="Cajales  "/>
    <s v="Castro"/>
    <x v="1"/>
    <s v="Jefe de la Guarnición IM &quot;Orden y Seguridad&quot; Talcahuano"/>
    <x v="1"/>
    <x v="6"/>
  </r>
  <r>
    <n v="387"/>
    <s v="MILITARES"/>
    <s v="Capitán de Navío"/>
    <x v="3"/>
    <s v="Enzo"/>
    <s v="Tesser"/>
    <s v="Díaz"/>
    <x v="0"/>
    <s v="Jefe Depto. CN DIPRIDA"/>
    <x v="2"/>
    <x v="36"/>
  </r>
  <r>
    <n v="388"/>
    <s v="MANDOS SEZONA"/>
    <s v="Capitán de Fragata"/>
    <x v="1"/>
    <s v="Pablo "/>
    <s v="Ugarte "/>
    <s v="Benavides"/>
    <x v="1"/>
    <s v="Comandante OPV &quot;Piloto Pardo&quot;"/>
    <x v="1"/>
    <x v="6"/>
  </r>
  <r>
    <n v="389"/>
    <s v="MILITARES"/>
    <s v="Capitán de NavÍo IM"/>
    <x v="3"/>
    <s v="César"/>
    <s v="Negrete"/>
    <s v="Cristi"/>
    <x v="0"/>
    <s v="Oficial Enlace Armada de las SSFFAA"/>
    <x v="2"/>
    <x v="34"/>
  </r>
  <r>
    <n v="390"/>
    <s v="MILITARES"/>
    <s v="Capitán de Navio IM"/>
    <x v="3"/>
    <s v="Cristian"/>
    <s v="Brahm "/>
    <s v="Teke"/>
    <x v="0"/>
    <s v="Oficial enlace Agregados Navales "/>
    <x v="2"/>
    <x v="39"/>
  </r>
  <r>
    <n v="391"/>
    <s v="INVITADOS ASMAR "/>
    <m/>
    <x v="3"/>
    <s v="Cristian"/>
    <s v="Zepeda"/>
    <s v="Venegas"/>
    <x v="0"/>
    <s v="Sub Gerente Zonal Costa Norte ESSBIO"/>
    <x v="4"/>
    <x v="25"/>
  </r>
  <r>
    <m/>
    <m/>
    <m/>
    <x v="3"/>
    <s v="Alvaro"/>
    <s v="González"/>
    <s v="Pinuer"/>
    <x v="0"/>
    <s v="Director Regional de CONAF"/>
    <x v="0"/>
    <x v="9"/>
  </r>
  <r>
    <n v="393"/>
    <s v="ASMAR DIRECCIÓN"/>
    <m/>
    <x v="3"/>
    <s v="Mónica"/>
    <s v="Rojas "/>
    <s v="Verdugo"/>
    <x v="0"/>
    <s v="Jefa Corporativo de Unidad de Inversiones y Desarrollo"/>
    <x v="3"/>
    <x v="33"/>
  </r>
  <r>
    <n v="394"/>
    <s v="OPA"/>
    <s v="Señor"/>
    <x v="3"/>
    <s v="José"/>
    <s v="Larrondo"/>
    <m/>
    <x v="0"/>
    <s v="Director de Operaciones y Ventas FEMESA Chile"/>
    <x v="4"/>
    <x v="22"/>
  </r>
  <r>
    <n v="395"/>
    <s v="OPA"/>
    <s v="Señor"/>
    <x v="3"/>
    <s v="Italo"/>
    <s v="García"/>
    <m/>
    <x v="0"/>
    <s v="Gerente Alianzas y Convenios FEMESA Chile"/>
    <x v="4"/>
    <x v="20"/>
  </r>
  <r>
    <n v="396"/>
    <s v="INVITADOS ASMAR "/>
    <m/>
    <x v="3"/>
    <s v="José"/>
    <s v="Ocares"/>
    <s v="Brantes"/>
    <x v="0"/>
    <s v="Gerente Operaciones Pesca BLUMAR"/>
    <x v="4"/>
    <x v="18"/>
  </r>
  <r>
    <n v="397"/>
    <s v="ASMARVALP"/>
    <m/>
    <x v="3"/>
    <s v="Julio"/>
    <s v="Saavedra"/>
    <s v="Quintero"/>
    <x v="0"/>
    <s v="Jefe Proyecto"/>
    <x v="3"/>
    <x v="30"/>
  </r>
  <r>
    <n v="398"/>
    <s v="ASMARVALP"/>
    <m/>
    <x v="3"/>
    <s v="Sebastián"/>
    <s v="Rojas "/>
    <s v="Adonis"/>
    <x v="0"/>
    <s v="Jefe Proyecto"/>
    <x v="3"/>
    <x v="31"/>
  </r>
  <r>
    <n v="399"/>
    <s v="INVITADOS ASMAR "/>
    <m/>
    <x v="3"/>
    <s v="Fernando "/>
    <s v="Silva"/>
    <s v="Morales"/>
    <x v="0"/>
    <s v="Gerente de Operaciones Sociedad Pesquera Landes"/>
    <x v="4"/>
    <x v="16"/>
  </r>
  <r>
    <n v="400"/>
    <s v="ACADÉMICOS"/>
    <s v="Rector"/>
    <x v="3"/>
    <s v="Victor"/>
    <s v="Valdebenito"/>
    <m/>
    <x v="0"/>
    <s v="Director de Vinculacion con el Medio Sede Concepción. Universidad Técnica Federico Santa María"/>
    <x v="4"/>
    <x v="14"/>
  </r>
  <r>
    <n v="401"/>
    <s v="MANDOS SEZONA"/>
    <s v="Capitán de Corbeta"/>
    <x v="1"/>
    <s v="Cristhian "/>
    <s v="Putz "/>
    <s v="Sanhueza"/>
    <x v="1"/>
    <s v="Comandante de la ATF &quot;Galvarino&quot;"/>
    <x v="1"/>
    <x v="6"/>
  </r>
  <r>
    <n v="402"/>
    <s v="ACADÉMICOS"/>
    <m/>
    <x v="3"/>
    <s v="Marcos"/>
    <s v="Salas"/>
    <m/>
    <x v="0"/>
    <s v="Universidad Austral de Chile"/>
    <x v="4"/>
    <x v="12"/>
  </r>
  <r>
    <n v="403"/>
    <s v="INVITADOS ASMAR "/>
    <s v="Presidente"/>
    <x v="3"/>
    <s v="Gustavo"/>
    <s v="Alcazar"/>
    <m/>
    <x v="0"/>
    <s v="Presidente Comité Regional ASIMET BioBio"/>
    <x v="4"/>
    <x v="10"/>
  </r>
  <r>
    <n v="404"/>
    <s v="INVITADOS ASMAR "/>
    <m/>
    <x v="3"/>
    <s v="Alejandra"/>
    <s v="Bilbao"/>
    <m/>
    <x v="0"/>
    <s v="Jefa Servicios Gremiales ASIMET"/>
    <x v="4"/>
    <x v="5"/>
  </r>
  <r>
    <n v="405"/>
    <s v="PROVEEDORES"/>
    <m/>
    <x v="3"/>
    <s v="Jorge"/>
    <s v="Mendoza"/>
    <m/>
    <x v="2"/>
    <s v="Gerente División Naval Astillero DETROIT"/>
    <x v="5"/>
    <x v="14"/>
  </r>
  <r>
    <n v="406"/>
    <s v="PROVEEDORES"/>
    <m/>
    <x v="3"/>
    <s v="Mario"/>
    <s v="Irribarra"/>
    <s v="Mendoza"/>
    <x v="0"/>
    <s v="Jefe de Administración y Venta SOCIBER"/>
    <x v="4"/>
    <x v="4"/>
  </r>
  <r>
    <n v="407"/>
    <s v="INVITADOS ASMAR "/>
    <s v="ADUANA"/>
    <x v="3"/>
    <s v="Francisco"/>
    <s v="Méndez"/>
    <s v="Seguel"/>
    <x v="0"/>
    <s v="Jefe Departamento de Fiscalización - Aduana"/>
    <x v="4"/>
    <x v="0"/>
  </r>
  <r>
    <n v="408"/>
    <s v="INVITADOS ASMAR "/>
    <s v="ADUANA"/>
    <x v="3"/>
    <s v="Mario"/>
    <s v="Martínez"/>
    <s v="Alarcón"/>
    <x v="0"/>
    <s v="Fiscalizador - Aduanas"/>
    <x v="4"/>
    <x v="1"/>
  </r>
  <r>
    <n v="409"/>
    <s v="INVITADOS ASMAR "/>
    <s v="SEGUROS"/>
    <x v="3"/>
    <s v="Ivan"/>
    <s v="Ramirez"/>
    <s v="M."/>
    <x v="0"/>
    <s v="Ejecutivo de Cuenta Lockton Seguros"/>
    <x v="4"/>
    <x v="2"/>
  </r>
  <r>
    <n v="410"/>
    <s v="INVITADOS ASMAR "/>
    <s v="SEGUROS"/>
    <x v="3"/>
    <s v="Jorge"/>
    <s v="Osorio"/>
    <s v="Bañados"/>
    <x v="0"/>
    <s v="Gerente Técnico de la Mutual de Seguros de Chile"/>
    <x v="4"/>
    <x v="3"/>
  </r>
  <r>
    <n v="411"/>
    <s v="INVITADOS ASMAR "/>
    <m/>
    <x v="3"/>
    <s v="Héctor"/>
    <s v="Cifuentes"/>
    <s v="Espinoza"/>
    <x v="0"/>
    <s v="Asesor Técnico Comité CORFO"/>
    <x v="4"/>
    <x v="8"/>
  </r>
  <r>
    <n v="412"/>
    <s v="INVITADOS ASMAR "/>
    <s v="Señora"/>
    <x v="0"/>
    <s v="Karen"/>
    <s v="Krakman"/>
    <m/>
    <x v="0"/>
    <s v="Consul Países Bajos Concepción"/>
    <x v="3"/>
    <x v="30"/>
  </r>
  <r>
    <m/>
    <m/>
    <m/>
    <x v="0"/>
    <s v="Pedro "/>
    <s v="Marileo"/>
    <s v="Lavín"/>
    <x v="0"/>
    <s v="Delegado Presidencial Provincial de Arauco"/>
    <x v="2"/>
    <x v="9"/>
  </r>
  <r>
    <n v="414"/>
    <s v="ASMAR DIRECCIÓN"/>
    <s v="Señor"/>
    <x v="3"/>
    <s v="Francisco"/>
    <s v="Gómez"/>
    <s v="García"/>
    <x v="0"/>
    <s v="Gerente Corporativo de Finanzas (S)"/>
    <x v="0"/>
    <x v="7"/>
  </r>
  <r>
    <n v="415"/>
    <s v="INVITADOS ASMAR "/>
    <s v="Presidente"/>
    <x v="0"/>
    <s v="Alvaro"/>
    <s v="Fisher"/>
    <m/>
    <x v="0"/>
    <s v="Presidente del Consejo Nacional de Innovación para el Desarrollo (CNID)"/>
    <x v="2"/>
    <x v="39"/>
  </r>
  <r>
    <n v="416"/>
    <s v="INVITADOS ASMAR "/>
    <s v="Teniente segundo RN"/>
    <x v="3"/>
    <s v="Pía"/>
    <s v="Villanueva"/>
    <s v="Bianchini"/>
    <x v="0"/>
    <s v="Cientifica Universidad de Chile"/>
    <x v="4"/>
    <x v="9"/>
  </r>
  <r>
    <n v="417"/>
    <s v="INVITADOS ASMAR "/>
    <m/>
    <x v="0"/>
    <s v="Marcelo"/>
    <s v="Fuster"/>
    <s v="Roa"/>
    <x v="0"/>
    <s v="Gerente General Corporativo ASIMET A.G. - Comité CORFO"/>
    <x v="3"/>
    <x v="28"/>
  </r>
  <r>
    <n v="418"/>
    <s v="INVITADOS ASMAR "/>
    <s v="Presidente"/>
    <x v="0"/>
    <s v="Fernando"/>
    <s v="García"/>
    <m/>
    <x v="0"/>
    <s v="Presidente ASIMET A.G."/>
    <x v="3"/>
    <x v="27"/>
  </r>
  <r>
    <n v="419"/>
    <s v="INVITADOS ASMAR "/>
    <m/>
    <x v="3"/>
    <s v="Jorge"/>
    <s v="Buzeta"/>
    <s v="Espinosa"/>
    <x v="0"/>
    <s v="Ex Gerente Comercial Armada ASMAR(T)"/>
    <x v="4"/>
    <x v="7"/>
  </r>
  <r>
    <n v="420"/>
    <s v="INVITADOS ASMAR "/>
    <m/>
    <x v="3"/>
    <s v="Francisco"/>
    <s v="Soffia"/>
    <s v="Salsilli"/>
    <x v="0"/>
    <s v="Segment Manager Caja Los Andes"/>
    <x v="4"/>
    <x v="23"/>
  </r>
  <r>
    <n v="421"/>
    <s v="INVITADOS ASMAR "/>
    <m/>
    <x v="3"/>
    <s v="Carlos"/>
    <s v="Moncada"/>
    <s v="Mansilla"/>
    <x v="0"/>
    <s v="Agente COOPEUCH Oficina Base Naval Talcahuano"/>
    <x v="4"/>
    <x v="21"/>
  </r>
  <r>
    <n v="422"/>
    <s v="INVITADOS ASMAR "/>
    <s v="BANCOS"/>
    <x v="1"/>
    <s v="Andrés"/>
    <s v="Grandela"/>
    <s v="Murasso"/>
    <x v="1"/>
    <s v="Gerente Zonal Banco Edwards"/>
    <x v="1"/>
    <x v="6"/>
  </r>
  <r>
    <n v="423"/>
    <s v="INVITADOS DGSA"/>
    <s v="GBA (R.)"/>
    <x v="3"/>
    <s v="Mauricio"/>
    <s v="García"/>
    <s v="Barria"/>
    <x v="0"/>
    <s v="Jefe Div. Presupuesto y Finanzas SUBSECFA"/>
    <x v="0"/>
    <x v="23"/>
  </r>
  <r>
    <n v="424"/>
    <s v="INVITADOS ASMAR "/>
    <m/>
    <x v="3"/>
    <s v="Mario"/>
    <s v="Ramirez"/>
    <s v="Cáceres"/>
    <x v="0"/>
    <s v="COOPEUCH"/>
    <x v="4"/>
    <x v="13"/>
  </r>
  <r>
    <n v="425"/>
    <s v="INVITADOS ASMAR "/>
    <m/>
    <x v="3"/>
    <s v="Eduardo"/>
    <s v="Cayul"/>
    <s v="Aristondo"/>
    <x v="0"/>
    <s v="Sec. Ejec. de las Mesas Asesoras de la Industria Estratégica de la Defensa SUBSECDEF"/>
    <x v="4"/>
    <x v="15"/>
  </r>
  <r>
    <n v="426"/>
    <s v="INVITADOS ASMAR "/>
    <s v="BANCOS"/>
    <x v="1"/>
    <s v="Fernando"/>
    <s v="Heusser"/>
    <s v="Vitali"/>
    <x v="1"/>
    <s v="Head of Large Corporates GTB. Banco Santander"/>
    <x v="1"/>
    <x v="6"/>
  </r>
  <r>
    <n v="427"/>
    <s v="INVITADOS ASMAR "/>
    <s v="BANCOS"/>
    <x v="1"/>
    <s v="María Soledad"/>
    <s v="Schuster"/>
    <s v="Bentjerodt"/>
    <x v="1"/>
    <s v="Associate Sales Cash &amp; Lending, Santander Global Transaction Banking. Banco Santander"/>
    <x v="1"/>
    <x v="6"/>
  </r>
  <r>
    <n v="428"/>
    <s v="ASMARTALC"/>
    <m/>
    <x v="3"/>
    <s v="Gianfranco"/>
    <s v="De Barbieri"/>
    <s v="Boero"/>
    <x v="0"/>
    <s v="Jefe Depto. Abastecimiento"/>
    <x v="3"/>
    <x v="26"/>
  </r>
  <r>
    <n v="429"/>
    <s v="INVITADOS ASMAR "/>
    <m/>
    <x v="3"/>
    <s v="Marco Antonio"/>
    <s v="Caro"/>
    <s v="Jara"/>
    <x v="0"/>
    <s v="Gerente de Clientes y Empresas Caja Los Andes"/>
    <x v="0"/>
    <x v="21"/>
  </r>
  <r>
    <n v="430"/>
    <s v="MADRINA"/>
    <m/>
    <x v="3"/>
    <s v="Fernando"/>
    <s v="Alvear"/>
    <m/>
    <x v="0"/>
    <s v="Ex Gerente Gral CPC"/>
    <x v="0"/>
    <x v="13"/>
  </r>
  <r>
    <n v="431"/>
    <s v="INVITADOS ASMAR "/>
    <s v="BANCOS"/>
    <x v="1"/>
    <s v="Andrés"/>
    <s v="Trucco"/>
    <s v="Argomedo"/>
    <x v="1"/>
    <s v="Gerente Corporaciones &amp; DCM Finanzas Corporativas Banco BICE"/>
    <x v="1"/>
    <x v="6"/>
  </r>
  <r>
    <n v="432"/>
    <s v="INVITADOS ASMAR "/>
    <s v="BANCOS"/>
    <x v="1"/>
    <s v="Gregorio"/>
    <s v="Prieto"/>
    <s v="Fernández de Castro"/>
    <x v="1"/>
    <s v="Gerente de Altos Patrimonios Banco BICE"/>
    <x v="1"/>
    <x v="6"/>
  </r>
  <r>
    <n v="433"/>
    <s v="INVITADOS ASMAR "/>
    <s v="BANCOS"/>
    <x v="1"/>
    <s v="Bernardo"/>
    <s v="Matte"/>
    <s v="Larraín"/>
    <x v="1"/>
    <s v="Vicepresidente Banco BICE"/>
    <x v="1"/>
    <x v="6"/>
  </r>
  <r>
    <n v="434"/>
    <s v="INVITADOS ASMAR "/>
    <s v="BANCOS"/>
    <x v="1"/>
    <s v="Marcelo"/>
    <s v="Villalta"/>
    <s v="Díaz"/>
    <x v="1"/>
    <s v="Subgerente GGEE e Instituciones Banco ITAÚ"/>
    <x v="1"/>
    <x v="6"/>
  </r>
  <r>
    <n v="435"/>
    <s v="INVITADOS ASMAR "/>
    <s v="BANCOS"/>
    <x v="1"/>
    <s v="Cristian"/>
    <s v="Valverde"/>
    <s v="Henriquez"/>
    <x v="1"/>
    <s v="Ejecutivo GGEE e Instituciones Banco ITAÚ"/>
    <x v="1"/>
    <x v="6"/>
  </r>
  <r>
    <n v="436"/>
    <s v="INVITADOS ASMAR "/>
    <s v="BANCOS"/>
    <x v="1"/>
    <s v="Eugenio"/>
    <s v="Cáceres"/>
    <s v="Vargas"/>
    <x v="1"/>
    <s v="Gerente Regional Grandes Empresas Banco BCI"/>
    <x v="1"/>
    <x v="6"/>
  </r>
  <r>
    <n v="437"/>
    <s v="INVITADOS ASMAR "/>
    <s v="BANCOS"/>
    <x v="1"/>
    <s v="Cristian"/>
    <s v="Martínez"/>
    <s v="Reinares"/>
    <x v="1"/>
    <s v="Subgerente Banco Mayorista Valparaíso Banco BCI"/>
    <x v="1"/>
    <x v="6"/>
  </r>
  <r>
    <n v="438"/>
    <s v="MADRINA"/>
    <m/>
    <x v="3"/>
    <s v="Andrés"/>
    <s v="Montero"/>
    <s v="Jaramillo"/>
    <x v="0"/>
    <s v="Ex Consejero CPC"/>
    <x v="0"/>
    <x v="15"/>
  </r>
  <r>
    <n v="439"/>
    <s v="INVITADOS ASMAR "/>
    <s v="BANCOS"/>
    <x v="1"/>
    <s v="David"/>
    <s v="Durán"/>
    <s v="Cabezas"/>
    <x v="1"/>
    <s v="Gerente Banca Institucional Banco Estado"/>
    <x v="1"/>
    <x v="6"/>
  </r>
  <r>
    <n v="440"/>
    <s v="ASMARVALP"/>
    <m/>
    <x v="3"/>
    <s v="Nancy"/>
    <s v="Díaz"/>
    <s v="Suazo"/>
    <x v="0"/>
    <s v="Jefe Depto. Personas"/>
    <x v="3"/>
    <x v="25"/>
  </r>
  <r>
    <n v="441"/>
    <s v="INVITADOS ASMAR "/>
    <s v="FISCALIA"/>
    <x v="1"/>
    <s v="Felipe"/>
    <s v="Muñoz"/>
    <m/>
    <x v="1"/>
    <s v="Jefe División Jurídica SUBSECFA"/>
    <x v="1"/>
    <x v="6"/>
  </r>
  <r>
    <n v="442"/>
    <s v="INVITADOS ASMAR "/>
    <s v="FISCALIA"/>
    <x v="1"/>
    <s v="Marcos"/>
    <s v="Jaque"/>
    <m/>
    <x v="1"/>
    <s v="Jefe División Asuntos Institucionales SUBSECFA"/>
    <x v="1"/>
    <x v="6"/>
  </r>
  <r>
    <n v="443"/>
    <s v="INVITADOS ASMAR "/>
    <s v="FISCALIA"/>
    <x v="1"/>
    <s v="Ricardo"/>
    <s v="Coronado"/>
    <m/>
    <x v="1"/>
    <s v="Jefe División Jurídica SUBSECDEF"/>
    <x v="1"/>
    <x v="6"/>
  </r>
  <r>
    <n v="444"/>
    <s v="INVITADOS ASMAR "/>
    <s v="ADUANA"/>
    <x v="1"/>
    <s v="Cristian"/>
    <s v="Eade"/>
    <s v="Silva"/>
    <x v="1"/>
    <s v="Fiscalizador - Aduanas"/>
    <x v="1"/>
    <x v="6"/>
  </r>
  <r>
    <n v="445"/>
    <s v="ASMARTALC"/>
    <m/>
    <x v="3"/>
    <s v="Alejandro "/>
    <s v="König"/>
    <s v="Scheihing"/>
    <x v="0"/>
    <s v="Ingeniero Senior Administrador"/>
    <x v="3"/>
    <x v="22"/>
  </r>
  <r>
    <n v="446"/>
    <s v="INVITADOS ASMAR "/>
    <s v="SEGUROS"/>
    <x v="1"/>
    <s v="Peter"/>
    <s v="Foley"/>
    <m/>
    <x v="1"/>
    <s v="Gerente General Lockton Seguros"/>
    <x v="1"/>
    <x v="6"/>
  </r>
  <r>
    <n v="447"/>
    <s v="ASMAR DIRECCIÓN"/>
    <m/>
    <x v="3"/>
    <s v="Ricardo"/>
    <s v="Zurita"/>
    <s v="Cisternas"/>
    <x v="0"/>
    <s v="Jefe Corporativo de Unidad de Contabilidad y Asuntos Tributarios"/>
    <x v="3"/>
    <x v="20"/>
  </r>
  <r>
    <n v="448"/>
    <s v="INVITADOS ASMAR "/>
    <s v="SEGUROS"/>
    <x v="0"/>
    <s v="Patricio"/>
    <s v="Martínez"/>
    <s v="Fernández"/>
    <x v="0"/>
    <s v="Gerente General Mutual de Seguros de Chile"/>
    <x v="4"/>
    <x v="22"/>
  </r>
  <r>
    <n v="449"/>
    <s v="MADRINA"/>
    <m/>
    <x v="3"/>
    <s v="Francisco"/>
    <s v="Orrego"/>
    <s v="B."/>
    <x v="0"/>
    <s v="Abogado"/>
    <x v="4"/>
    <x v="17"/>
  </r>
  <r>
    <n v="450"/>
    <s v="ASMARTALC"/>
    <s v="Capitán de Corbeta"/>
    <x v="3"/>
    <s v="Hugo"/>
    <s v="Dominguez"/>
    <s v="Carvajal"/>
    <x v="0"/>
    <s v="Jefe de Departamento Integración e Ingeniería de Sistemas "/>
    <x v="3"/>
    <x v="18"/>
  </r>
  <r>
    <n v="451"/>
    <s v="MADRINA"/>
    <s v="Contraalmirante"/>
    <x v="3"/>
    <s v="Cristian"/>
    <s v="Araya"/>
    <s v="Escobar"/>
    <x v="0"/>
    <s v="Ex Audigen"/>
    <x v="0"/>
    <x v="17"/>
  </r>
  <r>
    <n v="452"/>
    <s v="INVITADOS ASMAR "/>
    <m/>
    <x v="1"/>
    <s v="Manuel"/>
    <s v="Bagnara"/>
    <m/>
    <x v="1"/>
    <s v="Gerente General en ARMASUR A.G. - Comité CORFO"/>
    <x v="1"/>
    <x v="6"/>
  </r>
  <r>
    <n v="453"/>
    <s v="INVITADOS ASMAR "/>
    <m/>
    <x v="1"/>
    <s v="Ricardo"/>
    <s v="Tejada"/>
    <s v="Curti"/>
    <x v="1"/>
    <s v="Gerente Asociación Nacional de Armadores A.G."/>
    <x v="1"/>
    <x v="6"/>
  </r>
  <r>
    <m/>
    <m/>
    <m/>
    <x v="3"/>
    <s v="Ana María"/>
    <s v="Fernández"/>
    <s v="Faletto"/>
    <x v="0"/>
    <s v="Directora Regional del Bio Bio de SERNAPESCA"/>
    <x v="0"/>
    <x v="19"/>
  </r>
  <r>
    <n v="455"/>
    <s v="INVITADOS ASMAR "/>
    <m/>
    <x v="1"/>
    <s v="Andrés"/>
    <s v="Lamoliatte"/>
    <m/>
    <x v="1"/>
    <s v="Ministerio de RR.EE. Comité CORFO"/>
    <x v="1"/>
    <x v="6"/>
  </r>
  <r>
    <n v="456"/>
    <s v="INVITADOS ASMAR "/>
    <s v="Presidente"/>
    <x v="1"/>
    <s v="Patricio"/>
    <s v="Rey"/>
    <s v="Sommer"/>
    <x v="1"/>
    <s v="Presidente METRO"/>
    <x v="1"/>
    <x v="6"/>
  </r>
  <r>
    <n v="457"/>
    <s v="INVITADOS ASMAR "/>
    <m/>
    <x v="1"/>
    <s v="Felipe"/>
    <s v="Bravo"/>
    <s v="Busta"/>
    <x v="1"/>
    <s v="Gerente General METRO"/>
    <x v="1"/>
    <x v="6"/>
  </r>
  <r>
    <n v="458"/>
    <s v="INVITADOS ASMAR "/>
    <s v="Rector"/>
    <x v="1"/>
    <s v="Carlos Alberto"/>
    <s v="Ladrix"/>
    <s v="Osses"/>
    <x v="1"/>
    <s v="Subdirector de Investigación Aplicada de la ANID"/>
    <x v="1"/>
    <x v="6"/>
  </r>
  <r>
    <n v="459"/>
    <s v="INVITADOS ASMAR "/>
    <s v="Rector"/>
    <x v="1"/>
    <s v="Jorge"/>
    <s v="Claude"/>
    <s v="Bourdel"/>
    <x v="1"/>
    <s v="Presidente Directorio EFE"/>
    <x v="1"/>
    <x v="6"/>
  </r>
  <r>
    <n v="460"/>
    <s v="INVITADOS ASMAR "/>
    <m/>
    <x v="1"/>
    <s v="Jorge"/>
    <s v="Sabag"/>
    <s v="Villalobos"/>
    <x v="1"/>
    <m/>
    <x v="1"/>
    <x v="6"/>
  </r>
  <r>
    <n v="461"/>
    <s v="INVITADOS ASMAR "/>
    <m/>
    <x v="1"/>
    <s v="José"/>
    <s v="Solorza"/>
    <s v="Estevez"/>
    <x v="1"/>
    <s v="Gerente General EFE"/>
    <x v="1"/>
    <x v="6"/>
  </r>
  <r>
    <n v="462"/>
    <s v="OPA"/>
    <s v="Señor"/>
    <x v="3"/>
    <s v="Pablo"/>
    <s v="Simian"/>
    <s v="Fernández"/>
    <x v="0"/>
    <s v="NACHIPA"/>
    <x v="0"/>
    <x v="24"/>
  </r>
  <r>
    <n v="463"/>
    <s v="INVITADOS ASMAR "/>
    <s v="Contraalmirante"/>
    <x v="3"/>
    <s v="Jorge"/>
    <s v="Davanzo"/>
    <s v="Hyslop"/>
    <x v="0"/>
    <s v="Invitado Especial Director ASMAR"/>
    <x v="0"/>
    <x v="27"/>
  </r>
  <r>
    <n v="464"/>
    <s v="OPA"/>
    <s v="Vicealmirante"/>
    <x v="0"/>
    <s v="Ramiro"/>
    <s v="Navajas"/>
    <s v="Santini"/>
    <x v="0"/>
    <s v="DTS"/>
    <x v="2"/>
    <x v="42"/>
  </r>
  <r>
    <n v="465"/>
    <s v="INVITADOS ASMAR "/>
    <s v="Señora"/>
    <x v="0"/>
    <s v="Milka"/>
    <s v="Gavilán"/>
    <s v="Ortiz"/>
    <x v="0"/>
    <s v="Comité CORFO - Presidenta Sindicato ASMAR"/>
    <x v="3"/>
    <x v="34"/>
  </r>
  <r>
    <n v="466"/>
    <s v="INVITADOS ASMAR "/>
    <s v="Presidente"/>
    <x v="1"/>
    <s v="Andrés"/>
    <s v="Fuica"/>
    <s v="Berger"/>
    <x v="1"/>
    <s v="Jefe de Gabinete - Vicepresidente Ejecutivo CORFO"/>
    <x v="1"/>
    <x v="6"/>
  </r>
  <r>
    <n v="467"/>
    <s v="MADRINA"/>
    <s v="Vicealmirante"/>
    <x v="0"/>
    <s v="Ignacio"/>
    <s v="Mardones"/>
    <s v="Costa"/>
    <x v="0"/>
    <s v="Director Asuntos Internac. ATHENALAB"/>
    <x v="2"/>
    <x v="44"/>
  </r>
  <r>
    <n v="468"/>
    <s v="ASMARTALC"/>
    <s v="Capitán de Corbeta"/>
    <x v="3"/>
    <s v="Ricardo"/>
    <s v="Obando"/>
    <s v="Aguayo"/>
    <x v="0"/>
    <s v="Jefe de Departamento de Sistemas de Ingeniería"/>
    <x v="3"/>
    <x v="16"/>
  </r>
  <r>
    <n v="469"/>
    <s v="INVITADOS ASMAR "/>
    <m/>
    <x v="1"/>
    <s v="Jorge"/>
    <s v="Pacheco"/>
    <m/>
    <x v="1"/>
    <s v="COMPAS MARINE"/>
    <x v="1"/>
    <x v="6"/>
  </r>
  <r>
    <n v="470"/>
    <s v="ASMARTALC"/>
    <s v="Capitán de Fragata"/>
    <x v="3"/>
    <s v="Juan Pablo"/>
    <s v="Benavente"/>
    <s v="Ringele"/>
    <x v="0"/>
    <s v="Jefe de Departamento Investigación y Desarrollo"/>
    <x v="3"/>
    <x v="14"/>
  </r>
  <r>
    <n v="471"/>
    <s v="INVITADOS ASMAR "/>
    <s v="Vicealmirante"/>
    <x v="0"/>
    <s v="Cristian"/>
    <s v="Gantes"/>
    <s v="Young"/>
    <x v="0"/>
    <s v="Invitado Especial Director ASMAR"/>
    <x v="2"/>
    <x v="41"/>
  </r>
  <r>
    <n v="472"/>
    <s v="MADRINA"/>
    <m/>
    <x v="3"/>
    <s v="Juan Eduardo"/>
    <s v="Troncoso"/>
    <m/>
    <x v="0"/>
    <s v="Abogado"/>
    <x v="4"/>
    <x v="19"/>
  </r>
  <r>
    <n v="473"/>
    <s v="INVITADOS ASMAR "/>
    <s v="Contraalmirante"/>
    <x v="3"/>
    <s v="Joaquin"/>
    <s v="Varela "/>
    <s v="Jenschke"/>
    <x v="0"/>
    <s v="Ex Gerente Corporativo de Construcción Naval"/>
    <x v="0"/>
    <x v="28"/>
  </r>
  <r>
    <n v="474"/>
    <s v="INVITADOS ASMAR "/>
    <m/>
    <x v="3"/>
    <s v="Luis Ernesto"/>
    <s v="Siebert"/>
    <s v="Cristi"/>
    <x v="0"/>
    <s v="Ex Gerente de Construcción Naval (T)"/>
    <x v="0"/>
    <x v="32"/>
  </r>
  <r>
    <n v="475"/>
    <s v="MADRINA"/>
    <m/>
    <x v="3"/>
    <s v="Manuel"/>
    <s v="Massoglia"/>
    <s v="Vargas"/>
    <x v="0"/>
    <s v="Ex Ing Astillero Const. ASMAR"/>
    <x v="4"/>
    <x v="24"/>
  </r>
  <r>
    <n v="476"/>
    <s v="INVITADOS ASMAR "/>
    <m/>
    <x v="0"/>
    <s v="Rodrigo"/>
    <s v="Silva"/>
    <m/>
    <x v="0"/>
    <s v="Gerente General COOPEUCH"/>
    <x v="4"/>
    <x v="32"/>
  </r>
  <r>
    <n v="477"/>
    <s v="INVITADOS ASMAR "/>
    <m/>
    <x v="0"/>
    <s v="Oliver"/>
    <s v="Negrete"/>
    <m/>
    <x v="0"/>
    <s v="Gerente Comercial COOPEUCH"/>
    <x v="4"/>
    <x v="28"/>
  </r>
  <r>
    <n v="478"/>
    <s v="INVITADOS ASMAR "/>
    <s v="Señora"/>
    <x v="3"/>
    <s v="Bernardita "/>
    <s v="Roa"/>
    <s v="Astete"/>
    <x v="0"/>
    <s v="Gerente General IRADE"/>
    <x v="0"/>
    <x v="29"/>
  </r>
  <r>
    <n v="479"/>
    <s v="INVITADOS ASMAR "/>
    <m/>
    <x v="1"/>
    <s v="Carlos"/>
    <s v="González"/>
    <m/>
    <x v="1"/>
    <s v="COOPEUCH"/>
    <x v="1"/>
    <x v="6"/>
  </r>
  <r>
    <n v="480"/>
    <s v="INVITADOS ASMAR "/>
    <m/>
    <x v="3"/>
    <s v="David "/>
    <s v="Fernández"/>
    <m/>
    <x v="0"/>
    <s v="Gerente General CIDERE"/>
    <x v="0"/>
    <x v="37"/>
  </r>
  <r>
    <n v="481"/>
    <s v="MILITARES"/>
    <s v="Capitán de Navío"/>
    <x v="3"/>
    <s v="Daniel"/>
    <s v="Corvalán"/>
    <m/>
    <x v="0"/>
    <s v="Agregado Naval de Argentina"/>
    <x v="2"/>
    <x v="41"/>
  </r>
  <r>
    <n v="482"/>
    <s v="MILITARES"/>
    <s v="Capitán de Navío"/>
    <x v="3"/>
    <s v="Chantal"/>
    <s v="Desormeaux"/>
    <m/>
    <x v="0"/>
    <s v="Agregado de Defensa de Canadá"/>
    <x v="2"/>
    <x v="44"/>
  </r>
  <r>
    <n v="483"/>
    <s v="MILITARES"/>
    <s v="Teniente Coronel"/>
    <x v="3"/>
    <s v="Byoung-Gun"/>
    <s v="Park"/>
    <m/>
    <x v="0"/>
    <s v="Agregado de Defensa de Corea"/>
    <x v="2"/>
    <x v="42"/>
  </r>
  <r>
    <n v="484"/>
    <s v="INVITADOS ASMAR "/>
    <m/>
    <x v="1"/>
    <s v="Tomás"/>
    <s v="Zavala"/>
    <s v="Mujica"/>
    <x v="1"/>
    <s v="Gerente General Caja Los Andes"/>
    <x v="1"/>
    <x v="6"/>
  </r>
  <r>
    <n v="485"/>
    <s v="MILITARES"/>
    <s v="Capitán de Navío"/>
    <x v="3"/>
    <s v="Raul"/>
    <s v="Calderón"/>
    <s v="Santamaría"/>
    <x v="0"/>
    <s v="Agregado Naval de Ecuador"/>
    <x v="2"/>
    <x v="46"/>
  </r>
  <r>
    <n v="486"/>
    <s v="INVITADOS ASMAR "/>
    <m/>
    <x v="1"/>
    <s v="Fernando"/>
    <s v="Vera "/>
    <s v="Villarroel"/>
    <x v="1"/>
    <s v="Segment Manager FAOS Caja Los Andes"/>
    <x v="1"/>
    <x v="6"/>
  </r>
  <r>
    <n v="487"/>
    <s v="MILITARES"/>
    <s v="Capitán de Navío"/>
    <x v="3"/>
    <s v="Jorge"/>
    <s v="Álvarez"/>
    <s v="Rivas"/>
    <x v="0"/>
    <s v="Agregado de Defensa Adjunto y Naval de Perú"/>
    <x v="2"/>
    <x v="47"/>
  </r>
  <r>
    <n v="488"/>
    <s v="INVITADOS ASMAR "/>
    <s v="Señor"/>
    <x v="0"/>
    <s v="Carlos"/>
    <s v="Cardoen"/>
    <s v="Cornejo"/>
    <x v="0"/>
    <s v="Invitado Especial Director ASMAR"/>
    <x v="4"/>
    <x v="18"/>
  </r>
  <r>
    <n v="489"/>
    <s v="MADRINA"/>
    <m/>
    <x v="3"/>
    <s v="Rodrigo"/>
    <s v="Guerrero"/>
    <s v="Cordano"/>
    <x v="0"/>
    <s v="Ex S1 Seguridad JLM"/>
    <x v="4"/>
    <x v="27"/>
  </r>
  <r>
    <n v="490"/>
    <s v="PROVEEDORES"/>
    <s v="Contraalmirante"/>
    <x v="3"/>
    <s v="Hernán"/>
    <s v="Barria"/>
    <s v="Saravia"/>
    <x v="0"/>
    <s v="Representante en Chile VARD Marine "/>
    <x v="0"/>
    <x v="36"/>
  </r>
  <r>
    <n v="491"/>
    <s v="PROVEEDORES"/>
    <m/>
    <x v="3"/>
    <s v="Mark"/>
    <s v="Cook"/>
    <m/>
    <x v="0"/>
    <s v="Chief Technical Officer VARD Marine"/>
    <x v="0"/>
    <x v="34"/>
  </r>
  <r>
    <n v="492"/>
    <s v="PROVEEDORES"/>
    <m/>
    <x v="3"/>
    <s v="Ignacio"/>
    <s v="Andrade"/>
    <s v="Rigazzi"/>
    <x v="0"/>
    <s v="MCG Hidraúlica SpA"/>
    <x v="0"/>
    <x v="39"/>
  </r>
  <r>
    <n v="493"/>
    <s v="INVITADOS ASMAR "/>
    <s v="Vicealmirante"/>
    <x v="1"/>
    <s v="Oscar"/>
    <s v="Manzano"/>
    <s v="Soko"/>
    <x v="1"/>
    <s v="Invitado Especial Director ASMAR"/>
    <x v="1"/>
    <x v="6"/>
  </r>
  <r>
    <n v="494"/>
    <s v="INVITADOS ASMAR "/>
    <s v="Vicealmirante"/>
    <x v="1"/>
    <s v="José Luis"/>
    <s v="Fernández"/>
    <s v="Morales"/>
    <x v="1"/>
    <s v="Invitado Especial Director ASMAR"/>
    <x v="1"/>
    <x v="6"/>
  </r>
  <r>
    <n v="495"/>
    <s v="PROVEEDORES"/>
    <m/>
    <x v="3"/>
    <s v="José Luis"/>
    <s v="Fauré"/>
    <s v="Cañas"/>
    <x v="0"/>
    <s v="Gerente General CODELPA S.A."/>
    <x v="0"/>
    <x v="41"/>
  </r>
  <r>
    <n v="496"/>
    <s v="MILITARES"/>
    <s v="Capitán de Navío"/>
    <x v="3"/>
    <s v="Yalcin"/>
    <s v="Aydin"/>
    <m/>
    <x v="0"/>
    <s v="Agregado de Defensa, Militar, Naval y Aéreo de Turquía"/>
    <x v="2"/>
    <x v="48"/>
  </r>
  <r>
    <n v="497"/>
    <s v="MADRINA"/>
    <m/>
    <x v="3"/>
    <s v="Hector"/>
    <s v="Neira"/>
    <m/>
    <x v="0"/>
    <s v="SO IM (R) Ex PPI CJA JLM"/>
    <x v="4"/>
    <x v="28"/>
  </r>
  <r>
    <n v="498"/>
    <s v="INVITADOS ASMAR "/>
    <s v="Capitán de Navío SD RN"/>
    <x v="1"/>
    <s v="Juan Antonio"/>
    <s v="Corvalán"/>
    <s v="Constantino"/>
    <x v="1"/>
    <s v="Invitado Especial Director ASMAR"/>
    <x v="1"/>
    <x v="6"/>
  </r>
  <r>
    <n v="499"/>
    <s v="INVITADOS ASMAR "/>
    <s v="Rector"/>
    <x v="1"/>
    <s v="Fernando"/>
    <s v="Wilson"/>
    <s v="Lazo"/>
    <x v="1"/>
    <s v="Invitado Especial Director ASMAR"/>
    <x v="1"/>
    <x v="6"/>
  </r>
  <r>
    <n v="500"/>
    <s v="INVITADOS ASMAR "/>
    <s v="Rector"/>
    <x v="1"/>
    <s v="Martin"/>
    <s v="Stone"/>
    <s v="Roosevelt"/>
    <x v="1"/>
    <s v="Invitado Especial Director ASMAR"/>
    <x v="1"/>
    <x v="6"/>
  </r>
  <r>
    <n v="501"/>
    <s v="INVITADOS ASMAR "/>
    <s v="Capitán de Navío (R)"/>
    <x v="3"/>
    <s v="Jaime"/>
    <s v="Rojas "/>
    <s v="Pimentel"/>
    <x v="0"/>
    <s v="Invitado Especial Director ASMAR"/>
    <x v="0"/>
    <x v="44"/>
  </r>
  <r>
    <n v="502"/>
    <s v="INVITADOS ASMAR "/>
    <m/>
    <x v="3"/>
    <s v="Carlos "/>
    <s v="Cornelius"/>
    <m/>
    <x v="0"/>
    <s v="CEO grupo empresas CPT"/>
    <x v="4"/>
    <x v="32"/>
  </r>
  <r>
    <n v="503"/>
    <s v="INVITADOS ASMAR "/>
    <s v="Capitán de Navío RN"/>
    <x v="3"/>
    <s v="Gonzalo"/>
    <s v="Tellez"/>
    <s v="Román"/>
    <x v="0"/>
    <s v="Invitado Especial Director ASMAR"/>
    <x v="0"/>
    <x v="42"/>
  </r>
  <r>
    <n v="504"/>
    <s v="INVITADOS ASMAR "/>
    <m/>
    <x v="3"/>
    <s v="Thomas"/>
    <s v="Kummerlin"/>
    <s v="Gottschald"/>
    <x v="0"/>
    <s v="Gerente Reloncavi"/>
    <x v="4"/>
    <x v="29"/>
  </r>
  <r>
    <n v="505"/>
    <s v="INVITADOS ASMAR "/>
    <m/>
    <x v="0"/>
    <s v="Cristian "/>
    <s v="Vergara"/>
    <m/>
    <x v="0"/>
    <s v="Gerente General ESSBIO"/>
    <x v="3"/>
    <x v="38"/>
  </r>
  <r>
    <n v="506"/>
    <s v="ASMAR "/>
    <s v="Capitán de Navío"/>
    <x v="3"/>
    <s v="Juan"/>
    <s v="Callejas"/>
    <s v="Quiróz"/>
    <x v="0"/>
    <s v="Administrador ASMAR(M)"/>
    <x v="0"/>
    <x v="46"/>
  </r>
  <r>
    <n v="507"/>
    <s v="ASMAR "/>
    <s v="Capitán de Navío"/>
    <x v="3"/>
    <s v="Sebastián"/>
    <s v="Illanes"/>
    <s v="Guerra"/>
    <x v="0"/>
    <s v="Administrador ASMAR(V)"/>
    <x v="0"/>
    <x v="47"/>
  </r>
  <r>
    <n v="508"/>
    <s v="INVITADOS ASMAR "/>
    <s v="Señor"/>
    <x v="0"/>
    <s v="Nelson "/>
    <s v="Donoso"/>
    <m/>
    <x v="0"/>
    <s v="Presidente IRADE"/>
    <x v="3"/>
    <x v="35"/>
  </r>
  <r>
    <n v="509"/>
    <s v="MILITARES"/>
    <s v="Capitán de Fragata"/>
    <x v="3"/>
    <s v="Carlos"/>
    <s v="Sepulveda"/>
    <s v="Morales"/>
    <x v="0"/>
    <s v="Jefe Proyecto Escotillón DIPRIDA"/>
    <x v="4"/>
    <x v="37"/>
  </r>
  <r>
    <n v="510"/>
    <s v="MILITARES"/>
    <s v="Capitán de Corbeta"/>
    <x v="3"/>
    <s v="Matías"/>
    <s v="Fisher"/>
    <s v="Silva"/>
    <x v="0"/>
    <s v="DIPRIDA"/>
    <x v="4"/>
    <x v="36"/>
  </r>
  <r>
    <n v="511"/>
    <s v="INVITADOS DGSA"/>
    <s v="Capitán de Fragata"/>
    <x v="3"/>
    <s v="Nelson"/>
    <s v="Morais"/>
    <m/>
    <x v="0"/>
    <s v="MFG PoN Program Office representative Armada de Portugal"/>
    <x v="4"/>
    <x v="34"/>
  </r>
  <r>
    <n v="512"/>
    <s v="INVITADOS ASMAR "/>
    <m/>
    <x v="3"/>
    <s v="Carlos"/>
    <s v="Gutierrez"/>
    <m/>
    <x v="0"/>
    <s v="Gerente Agental Ltda.  "/>
    <x v="4"/>
    <x v="39"/>
  </r>
  <r>
    <n v="513"/>
    <s v="INVITADOS ASMAR "/>
    <m/>
    <x v="3"/>
    <s v="Francisco"/>
    <s v="Acevedo"/>
    <s v="Donoso"/>
    <x v="0"/>
    <s v="Invitado Especial Director ASMAR"/>
    <x v="4"/>
    <x v="41"/>
  </r>
  <r>
    <n v="514"/>
    <s v="MILITARES"/>
    <s v="Coronel (Av.)"/>
    <x v="3"/>
    <s v="Andrés"/>
    <s v="Ghiorsi"/>
    <s v="Lambruschini"/>
    <x v="0"/>
    <s v="Agregado de Defensa de Uruguay"/>
    <x v="2"/>
    <x v="49"/>
  </r>
  <r>
    <n v="515"/>
    <s v="ASMAR DIRECCIÓN"/>
    <s v="Capitán de Navío"/>
    <x v="3"/>
    <s v="Luis"/>
    <s v="Makray"/>
    <s v="Baylaucq"/>
    <x v="0"/>
    <s v="Subdirector ASMAR"/>
    <x v="0"/>
    <x v="48"/>
  </r>
  <r>
    <n v="516"/>
    <m/>
    <m/>
    <x v="4"/>
    <s v="Patricio"/>
    <s v="Chamy"/>
    <s v="R."/>
    <x v="1"/>
    <s v="Invitado Especial Director ASMAR"/>
    <x v="1"/>
    <x v="6"/>
  </r>
  <r>
    <n v="517"/>
    <s v="ASMARVALP"/>
    <s v="Capitán de Navío (R.)"/>
    <x v="3"/>
    <s v="Juan Luis "/>
    <s v="Ansoleaga"/>
    <s v="Bengoechea"/>
    <x v="0"/>
    <s v="Subgerente Comercial "/>
    <x v="0"/>
    <x v="49"/>
  </r>
  <r>
    <n v="518"/>
    <s v="INVITADOS ASMAR "/>
    <m/>
    <x v="1"/>
    <s v="Claudio "/>
    <s v="Salazar"/>
    <s v="Zencovich"/>
    <x v="1"/>
    <s v="Gerente General Alimentos Marinos S.A. ALIMAR"/>
    <x v="1"/>
    <x v="6"/>
  </r>
  <r>
    <n v="519"/>
    <s v="OPA"/>
    <s v="Capitán de Navío"/>
    <x v="3"/>
    <s v="Cyril"/>
    <s v="Jackson"/>
    <s v="Zamora"/>
    <x v="0"/>
    <s v="Jefmayor"/>
    <x v="2"/>
    <x v="50"/>
  </r>
  <r>
    <n v="520"/>
    <s v="INVITADOS ASMAR "/>
    <m/>
    <x v="1"/>
    <s v="Fernando "/>
    <s v="Ayala"/>
    <s v="Burgemeister"/>
    <x v="1"/>
    <s v="Gerente de Negocios Seafood Orizon S.A."/>
    <x v="1"/>
    <x v="6"/>
  </r>
  <r>
    <n v="521"/>
    <s v="OPA"/>
    <s v="Capitán de Navío"/>
    <x v="3"/>
    <s v="Rodrigo"/>
    <s v="Espinoza"/>
    <s v="Martin"/>
    <x v="0"/>
    <s v="Jefmayor"/>
    <x v="2"/>
    <x v="51"/>
  </r>
  <r>
    <n v="522"/>
    <s v="INVITADOS ASMAR "/>
    <m/>
    <x v="1"/>
    <s v="Simón "/>
    <s v="Gundelach"/>
    <s v="Hernández"/>
    <x v="1"/>
    <s v="Gerente General Lota Protein"/>
    <x v="1"/>
    <x v="6"/>
  </r>
  <r>
    <n v="523"/>
    <s v="INVITADOS ASMAR "/>
    <m/>
    <x v="1"/>
    <s v="Grimur"/>
    <s v="Eiriksson"/>
    <m/>
    <x v="1"/>
    <s v="Gerente Flota Pesquera Friosur S.A."/>
    <x v="1"/>
    <x v="6"/>
  </r>
  <r>
    <n v="524"/>
    <s v="INVITADOS ASMAR "/>
    <m/>
    <x v="1"/>
    <s v="Roberto"/>
    <s v="Avendaño"/>
    <s v=" Veloso"/>
    <x v="1"/>
    <s v="Gerente General de DTS"/>
    <x v="1"/>
    <x v="6"/>
  </r>
  <r>
    <n v="525"/>
    <s v="INVITADOS ASMAR "/>
    <m/>
    <x v="1"/>
    <s v="Carola"/>
    <s v="Fuentes"/>
    <s v="Palacios"/>
    <x v="1"/>
    <s v="Gerente General de FISA"/>
    <x v="1"/>
    <x v="6"/>
  </r>
  <r>
    <n v="526"/>
    <s v="INVITADOS ASMAR "/>
    <s v="Señor"/>
    <x v="0"/>
    <s v="Francisco"/>
    <s v="Sotomayor"/>
    <m/>
    <x v="0"/>
    <s v="CEO GL Events Chile"/>
    <x v="3"/>
    <x v="29"/>
  </r>
  <r>
    <n v="527"/>
    <s v="PROVEEDORES"/>
    <s v="Capitám de Fragata (R.)"/>
    <x v="3"/>
    <s v="Eduardo"/>
    <s v="Preuss"/>
    <s v="Levancini"/>
    <x v="0"/>
    <s v="Gerente de Operaciones SAAM Towage"/>
    <x v="4"/>
    <x v="44"/>
  </r>
  <r>
    <n v="528"/>
    <s v="ASMAR DIRECCIÓN"/>
    <s v="Capitán de Navío (R)"/>
    <x v="3"/>
    <s v="Orlando"/>
    <s v="Cornejo"/>
    <s v="Sepúlveda"/>
    <x v="0"/>
    <s v="Jefe Corporativo Unidad de SS"/>
    <x v="0"/>
    <x v="50"/>
  </r>
  <r>
    <n v="529"/>
    <s v="MANDOS SEZONA"/>
    <s v="Capitán de Navío LT"/>
    <x v="3"/>
    <s v="Arturo "/>
    <s v="Aninat "/>
    <s v="González"/>
    <x v="0"/>
    <s v="Gobernador Marítimo de Talcahuano"/>
    <x v="2"/>
    <x v="52"/>
  </r>
  <r>
    <m/>
    <m/>
    <m/>
    <x v="3"/>
    <s v="Irenia"/>
    <s v="Gutierrez"/>
    <m/>
    <x v="0"/>
    <s v="Periodista del Delegado Presidencial Provincial de Arauco"/>
    <x v="5"/>
    <x v="12"/>
  </r>
  <r>
    <n v="531"/>
    <s v="MILITARES"/>
    <s v="Teniente Coronel"/>
    <x v="3"/>
    <s v="Kengo"/>
    <s v="Narita"/>
    <m/>
    <x v="0"/>
    <s v="Agregado de Defensa de Japón"/>
    <x v="4"/>
    <x v="42"/>
  </r>
  <r>
    <n v="532"/>
    <s v="MANDOS SEZONA"/>
    <s v="Capitán de Fragata"/>
    <x v="3"/>
    <s v="Roberto "/>
    <s v="Gaete "/>
    <s v="Sepúlveda"/>
    <x v="0"/>
    <s v="Comandante de la Base de Submarinos"/>
    <x v="4"/>
    <x v="46"/>
  </r>
  <r>
    <n v="533"/>
    <s v="MANDOS SEZONA"/>
    <s v="Capitán de Fragata"/>
    <x v="3"/>
    <s v="Germán "/>
    <s v="Otazo "/>
    <s v="Casanova"/>
    <x v="0"/>
    <s v="Comandante del SS &quot;Simpson&quot;"/>
    <x v="4"/>
    <x v="47"/>
  </r>
  <r>
    <n v="534"/>
    <s v="INVITADOS ASMAR "/>
    <m/>
    <x v="3"/>
    <s v="Gabriel"/>
    <s v="Rebolledo"/>
    <s v="Moya"/>
    <x v="0"/>
    <s v="Unión Portuaria Biobio"/>
    <x v="5"/>
    <x v="10"/>
  </r>
  <r>
    <n v="535"/>
    <s v="MANDOS SEZONA"/>
    <s v="Capitán de Fragata"/>
    <x v="3"/>
    <s v="Andre "/>
    <s v="Chassin-Trubert "/>
    <s v="Correa"/>
    <x v="0"/>
    <s v="Jefe ITO Construcciones "/>
    <x v="4"/>
    <x v="48"/>
  </r>
  <r>
    <n v="536"/>
    <s v="MANDOS SEZONA"/>
    <s v="Capitán de Fragata"/>
    <x v="3"/>
    <s v="Gonzalo "/>
    <s v="Álvarez "/>
    <s v="Mc-Lean "/>
    <x v="0"/>
    <s v="Comandante del SS &quot;Thomson&quot;"/>
    <x v="4"/>
    <x v="49"/>
  </r>
  <r>
    <n v="537"/>
    <s v="MANDOS SEZONA"/>
    <s v="Capitán de Navío"/>
    <x v="3"/>
    <s v="Felipe "/>
    <s v="Gorigoitía "/>
    <s v="Ortiz"/>
    <x v="0"/>
    <s v="Director de la Escuela de Grumetes &quot;A.N.C.&quot;"/>
    <x v="2"/>
    <x v="53"/>
  </r>
  <r>
    <n v="538"/>
    <s v="ASMARTALC"/>
    <m/>
    <x v="3"/>
    <s v="Jorge"/>
    <s v="Zapata"/>
    <s v="Machmar"/>
    <x v="0"/>
    <s v="Jefe de Proyecto Senior CN"/>
    <x v="3"/>
    <x v="12"/>
  </r>
  <r>
    <n v="539"/>
    <s v="PROVEEDORES"/>
    <s v="Rector"/>
    <x v="1"/>
    <s v="Hans"/>
    <s v="Kossmann"/>
    <m/>
    <x v="1"/>
    <s v="Presidente Directorio ASENAV"/>
    <x v="1"/>
    <x v="6"/>
  </r>
  <r>
    <n v="540"/>
    <s v="PROVEEDORES"/>
    <m/>
    <x v="0"/>
    <s v="Fernando"/>
    <s v="Rodríguez"/>
    <m/>
    <x v="0"/>
    <s v="Gerente General ASENAV"/>
    <x v="4"/>
    <x v="0"/>
  </r>
  <r>
    <n v="541"/>
    <s v="OPA"/>
    <s v="Capitán de Fragata (R.)"/>
    <x v="3"/>
    <s v="Jorge"/>
    <s v="Maturana"/>
    <s v="Lavin"/>
    <x v="0"/>
    <s v="ASOFAR"/>
    <x v="5"/>
    <x v="5"/>
  </r>
  <r>
    <n v="542"/>
    <s v="MANDOS SEZONA"/>
    <s v="Capitán de Navío IM"/>
    <x v="3"/>
    <s v="Pedro "/>
    <s v="Nova "/>
    <s v="Cabrera"/>
    <x v="0"/>
    <s v="Comandante de la Base IM &quot;Tumbes&quot; "/>
    <x v="2"/>
    <x v="54"/>
  </r>
  <r>
    <n v="543"/>
    <s v="PROVEEDORES"/>
    <m/>
    <x v="1"/>
    <s v="Heinz"/>
    <s v="Pearce"/>
    <m/>
    <x v="1"/>
    <s v="Board Advisor ASENAV"/>
    <x v="1"/>
    <x v="6"/>
  </r>
  <r>
    <n v="544"/>
    <s v="PROVEEDORES"/>
    <s v="Capitán de Navío (R)"/>
    <x v="0"/>
    <s v="Francisco"/>
    <s v="Hederra"/>
    <s v="Pinto"/>
    <x v="0"/>
    <s v="Gerente General SISDEF"/>
    <x v="3"/>
    <x v="43"/>
  </r>
  <r>
    <n v="545"/>
    <s v="INVITADOS ASMAR "/>
    <s v="Capitán de Navío"/>
    <x v="3"/>
    <s v="Alejandro"/>
    <s v="Piñeyro"/>
    <s v="Guarda"/>
    <x v="0"/>
    <s v="Invitado Especial Director ASMAR"/>
    <x v="2"/>
    <x v="55"/>
  </r>
  <r>
    <n v="546"/>
    <s v="INVITADOS ASMAR "/>
    <s v="Capitán de Navío"/>
    <x v="3"/>
    <s v="Gastón"/>
    <s v="Cabezas"/>
    <s v="Villablanca"/>
    <x v="0"/>
    <s v="Invitado Especial Director ASMAR"/>
    <x v="2"/>
    <x v="56"/>
  </r>
  <r>
    <n v="547"/>
    <s v="PROVEEDORES"/>
    <m/>
    <x v="1"/>
    <s v="José Miguel"/>
    <s v="Swett"/>
    <s v="Swett"/>
    <x v="1"/>
    <s v="Jefe de Proyecto SISDEF"/>
    <x v="1"/>
    <x v="6"/>
  </r>
  <r>
    <n v="548"/>
    <m/>
    <s v="Capitán de Navío"/>
    <x v="3"/>
    <s v="Claudio "/>
    <s v="Arancibia"/>
    <s v="Tavra"/>
    <x v="0"/>
    <s v="Invitado Especial Director ASMAR"/>
    <x v="2"/>
    <x v="57"/>
  </r>
  <r>
    <n v="549"/>
    <s v="MANDOS SEZONA"/>
    <s v="Capitan de Fragata IM"/>
    <x v="3"/>
    <s v="Carlos"/>
    <s v="Zañartu"/>
    <s v="Jacob"/>
    <x v="0"/>
    <s v="Jefe Estado Mayor Jefatura Defensa Nacional Provincia Arauco Bio Bío"/>
    <x v="4"/>
    <x v="50"/>
  </r>
  <r>
    <n v="550"/>
    <s v="MANDOS SEZONA"/>
    <s v="Capitán de Fragata"/>
    <x v="3"/>
    <s v="Juan Pablo "/>
    <s v="Brito "/>
    <s v="Carvajal"/>
    <x v="0"/>
    <s v="Segundo Comandante de la Base Naval Talcahuano"/>
    <x v="4"/>
    <x v="51"/>
  </r>
  <r>
    <n v="551"/>
    <s v="PROVEEDORES"/>
    <m/>
    <x v="1"/>
    <s v="John"/>
    <s v="Gallaher"/>
    <s v="Hucke"/>
    <x v="1"/>
    <s v="Asesor Legal SISDEF"/>
    <x v="1"/>
    <x v="6"/>
  </r>
  <r>
    <n v="552"/>
    <s v="PROVEEDORES"/>
    <s v="Señor"/>
    <x v="0"/>
    <s v="Jorge"/>
    <s v="Mutschler"/>
    <s v="Castillo"/>
    <x v="0"/>
    <s v="Gerente General Sociedad Comercial Equipos Industriales S.A. INDUELECTRO"/>
    <x v="3"/>
    <x v="33"/>
  </r>
  <r>
    <n v="553"/>
    <s v="INVITADOS ASMAR "/>
    <s v="Capitán de Corbeta RN"/>
    <x v="3"/>
    <s v="Rodrigo"/>
    <s v="Cardoen"/>
    <s v="Aylwin"/>
    <x v="0"/>
    <s v="Invitado Especial Director ASMAR"/>
    <x v="0"/>
    <x v="51"/>
  </r>
  <r>
    <n v="554"/>
    <s v="PROVEEDORES"/>
    <m/>
    <x v="3"/>
    <s v="Ricardo"/>
    <s v="Contreras"/>
    <m/>
    <x v="0"/>
    <s v="Jefe de Proyecto ASENAV"/>
    <x v="2"/>
    <x v="58"/>
  </r>
  <r>
    <n v="555"/>
    <s v="INVITADOS ASMAR "/>
    <m/>
    <x v="3"/>
    <s v="Rodrigo"/>
    <s v="Terrazas"/>
    <s v="Michell"/>
    <x v="0"/>
    <s v="Gerente de Ingeniería METRO"/>
    <x v="0"/>
    <x v="52"/>
  </r>
  <r>
    <n v="556"/>
    <s v="PROVEEDORES"/>
    <m/>
    <x v="0"/>
    <s v="Pedro"/>
    <s v="Iturriaga"/>
    <s v="González"/>
    <x v="0"/>
    <s v="Gerente General PROINGAS S.A."/>
    <x v="4"/>
    <x v="41"/>
  </r>
  <r>
    <n v="557"/>
    <s v="PROVEEDORES"/>
    <m/>
    <x v="1"/>
    <s v="Andrés"/>
    <s v="Iturriaga"/>
    <s v="Atala"/>
    <x v="1"/>
    <s v="Gerente Comercial PROINGAS S.A."/>
    <x v="1"/>
    <x v="6"/>
  </r>
  <r>
    <n v="558"/>
    <s v="PROVEEDORES"/>
    <s v="Rector"/>
    <x v="0"/>
    <s v="Roberto"/>
    <s v="Rodriguez"/>
    <m/>
    <x v="0"/>
    <s v="Director General IBERCISA DECK Machinery S.A."/>
    <x v="4"/>
    <x v="19"/>
  </r>
  <r>
    <n v="559"/>
    <s v="ASMARTALC"/>
    <s v="Teniente Primero"/>
    <x v="3"/>
    <s v="Andrés"/>
    <s v="Proust "/>
    <s v="Cotton"/>
    <x v="0"/>
    <s v="Jefe de Taller de Maquinaria Naval"/>
    <x v="3"/>
    <x v="10"/>
  </r>
  <r>
    <n v="560"/>
    <s v="PROVEEDORES"/>
    <s v="Capitán de Navío (R)"/>
    <x v="0"/>
    <s v="Sidney"/>
    <s v="Chellew"/>
    <s v="Daydi"/>
    <x v="0"/>
    <s v="Gerente General SOCIBER"/>
    <x v="3"/>
    <x v="45"/>
  </r>
  <r>
    <n v="561"/>
    <s v="ASMARTALC"/>
    <m/>
    <x v="3"/>
    <s v="Santiago "/>
    <s v="Rivera"/>
    <s v="Bruna"/>
    <x v="0"/>
    <s v="Jefe Depto Servicios"/>
    <x v="3"/>
    <x v="5"/>
  </r>
  <r>
    <n v="562"/>
    <s v="PROVEEDORES"/>
    <m/>
    <x v="1"/>
    <s v="Rene"/>
    <s v="Veldstra"/>
    <m/>
    <x v="1"/>
    <s v="General Manager Project Management Navy Wärtsilä Marine"/>
    <x v="1"/>
    <x v="6"/>
  </r>
  <r>
    <n v="563"/>
    <s v="PROVEEDORES"/>
    <m/>
    <x v="0"/>
    <s v="Gise"/>
    <s v="Van Mourik"/>
    <m/>
    <x v="0"/>
    <s v="Gerente Ventas, Wärtsilä Marine"/>
    <x v="4"/>
    <x v="42"/>
  </r>
  <r>
    <n v="564"/>
    <s v="MANDOS SEZONA"/>
    <s v="Capitán de Fragata AB"/>
    <x v="3"/>
    <s v="Luis "/>
    <s v="Ojeda "/>
    <s v="Burgos"/>
    <x v="0"/>
    <s v="Jefe del Centro de Abastecimiento Talcahuano"/>
    <x v="4"/>
    <x v="52"/>
  </r>
  <r>
    <n v="565"/>
    <s v="MANDOS SEZONA"/>
    <s v="Capitán de Fragata"/>
    <x v="3"/>
    <s v="Carlos "/>
    <s v="Pino "/>
    <s v="Domínguez"/>
    <x v="0"/>
    <s v="Comandante del ATF &quot;Janequeo&quot;"/>
    <x v="4"/>
    <x v="53"/>
  </r>
  <r>
    <n v="566"/>
    <s v="INVITADOS ASMAR "/>
    <s v="BANCOS"/>
    <x v="3"/>
    <s v="Marisol"/>
    <s v="Landaeta"/>
    <s v="Torres"/>
    <x v="0"/>
    <s v="Gerente de Oficina Banco Edwards Base Naval Talcahuano"/>
    <x v="3"/>
    <x v="4"/>
  </r>
  <r>
    <n v="567"/>
    <s v="MANDOS SEZONA"/>
    <s v="Capitán de Fragata"/>
    <x v="3"/>
    <s v="Esteban "/>
    <s v="López "/>
    <s v="Ortiz"/>
    <x v="0"/>
    <s v="Comandante de la FF-18 &quot;Almirante Riveros&quot;"/>
    <x v="4"/>
    <x v="54"/>
  </r>
  <r>
    <n v="568"/>
    <s v="PROVEEDORES"/>
    <m/>
    <x v="4"/>
    <s v="Iván"/>
    <s v="Almendra"/>
    <m/>
    <x v="1"/>
    <s v="Gerente Zona Sur B. Bosch"/>
    <x v="1"/>
    <x v="6"/>
  </r>
  <r>
    <n v="569"/>
    <s v="PROVEEDORES"/>
    <s v="Presidente"/>
    <x v="1"/>
    <s v="Javier"/>
    <s v="Gamundi"/>
    <s v="Fernández"/>
    <x v="1"/>
    <s v="Presidente FRIZONIA"/>
    <x v="1"/>
    <x v="6"/>
  </r>
  <r>
    <n v="570"/>
    <s v="PROVEEDORES"/>
    <m/>
    <x v="0"/>
    <s v="Carlos"/>
    <s v="González"/>
    <m/>
    <x v="0"/>
    <s v="CEO  FRIZONIA Regrigeración, climatización .S.L."/>
    <x v="4"/>
    <x v="17"/>
  </r>
  <r>
    <n v="571"/>
    <s v="PROVEEDORES"/>
    <s v="Presidente"/>
    <x v="0"/>
    <s v="Patricio"/>
    <s v="Fernández"/>
    <s v="Goberna"/>
    <x v="0"/>
    <s v="Presidente Industrias Ferri S.A."/>
    <x v="4"/>
    <x v="13"/>
  </r>
  <r>
    <n v="572"/>
    <s v="PROVEEDORES"/>
    <m/>
    <x v="1"/>
    <s v="Marisela"/>
    <s v="Fernández"/>
    <s v="Félix"/>
    <x v="1"/>
    <s v="Desarrollo de Negocios Industrias Ferri S.A."/>
    <x v="1"/>
    <x v="6"/>
  </r>
  <r>
    <n v="573"/>
    <s v="MANDOS SEZONA"/>
    <s v="Capitán de Fragata"/>
    <x v="3"/>
    <s v="Jorge"/>
    <s v=" Ibarra "/>
    <s v="Orchard"/>
    <x v="0"/>
    <s v="Comandante del SS &quot;O'Higgins&quot;"/>
    <x v="4"/>
    <x v="55"/>
  </r>
  <r>
    <n v="574"/>
    <s v="PROVEEDORES"/>
    <s v="Presidente"/>
    <x v="1"/>
    <s v="Ricardo"/>
    <s v="Sánchez de Pablo"/>
    <m/>
    <x v="1"/>
    <s v="Presidente SP Consultores y Servicios"/>
    <x v="1"/>
    <x v="6"/>
  </r>
  <r>
    <n v="575"/>
    <s v="PROVEEDORES"/>
    <m/>
    <x v="1"/>
    <s v="Daniel"/>
    <s v="Sánchez de Pablo"/>
    <m/>
    <x v="1"/>
    <s v="Executive Vicepresident  SP Consultores y Servicios"/>
    <x v="1"/>
    <x v="6"/>
  </r>
  <r>
    <n v="576"/>
    <s v="PROVEEDORES"/>
    <m/>
    <x v="0"/>
    <s v="Antonio José"/>
    <s v="Llago"/>
    <s v="Hermida"/>
    <x v="0"/>
    <s v="CEO GABADI"/>
    <x v="4"/>
    <x v="9"/>
  </r>
  <r>
    <n v="577"/>
    <s v="PROVEEDORES"/>
    <m/>
    <x v="0"/>
    <s v="Pablo"/>
    <s v="Guerrero"/>
    <s v="Salgado"/>
    <x v="0"/>
    <s v="COO GABADI"/>
    <x v="4"/>
    <x v="7"/>
  </r>
  <r>
    <n v="578"/>
    <s v="PROVEEDORES"/>
    <m/>
    <x v="1"/>
    <s v="Atle"/>
    <s v="David"/>
    <s v="Monsen"/>
    <x v="1"/>
    <s v="Sales and marketing KONGSBERG MARITIME AS"/>
    <x v="1"/>
    <x v="6"/>
  </r>
  <r>
    <n v="579"/>
    <s v="PROVEEDORES"/>
    <m/>
    <x v="1"/>
    <s v="Ivan"/>
    <s v="Danchev"/>
    <s v="Ivanov"/>
    <x v="1"/>
    <s v="Project Manager KONGSBERG MARITIME AS"/>
    <x v="1"/>
    <x v="6"/>
  </r>
  <r>
    <n v="580"/>
    <s v="PROVEEDORES"/>
    <m/>
    <x v="1"/>
    <s v="Benedetto"/>
    <s v="Catanzato"/>
    <m/>
    <x v="1"/>
    <s v="CEO MELCAL SpA"/>
    <x v="1"/>
    <x v="6"/>
  </r>
  <r>
    <n v="581"/>
    <s v="PROVEEDORES"/>
    <m/>
    <x v="1"/>
    <s v="Daniele"/>
    <s v="Apolo"/>
    <m/>
    <x v="1"/>
    <s v="Project Manager MELCAL SpA"/>
    <x v="1"/>
    <x v="6"/>
  </r>
  <r>
    <n v="582"/>
    <s v="PROVEEDORES"/>
    <m/>
    <x v="1"/>
    <s v="Björn"/>
    <s v="Ullbro"/>
    <m/>
    <x v="1"/>
    <s v="CEO de EVAC Group"/>
    <x v="1"/>
    <x v="6"/>
  </r>
  <r>
    <n v="583"/>
    <s v="PROVEEDORES"/>
    <m/>
    <x v="1"/>
    <s v="Li"/>
    <s v="Chen"/>
    <m/>
    <x v="1"/>
    <s v="Project Manager de EVAC Group"/>
    <x v="1"/>
    <x v="6"/>
  </r>
  <r>
    <n v="584"/>
    <s v="PROVEEDORES"/>
    <m/>
    <x v="1"/>
    <s v="Dirk"/>
    <s v="Lange"/>
    <m/>
    <x v="1"/>
    <s v="Senior Project Manager Damen Marine Components"/>
    <x v="1"/>
    <x v="6"/>
  </r>
  <r>
    <n v="585"/>
    <s v="PROVEEDORES"/>
    <m/>
    <x v="1"/>
    <s v="Enzo"/>
    <s v="Virgilio"/>
    <s v="Zimmmermann"/>
    <x v="1"/>
    <s v="Commercial Project Manager KARL DOSE GmbH"/>
    <x v="1"/>
    <x v="6"/>
  </r>
  <r>
    <n v="586"/>
    <s v="PROVEEDORES"/>
    <m/>
    <x v="1"/>
    <s v="Tobias"/>
    <s v="Zimmermann"/>
    <m/>
    <x v="1"/>
    <s v="Technical Project Manager KARL DOSE GmbH"/>
    <x v="1"/>
    <x v="6"/>
  </r>
  <r>
    <n v="587"/>
    <s v="PROVEEDORES"/>
    <s v="Rector"/>
    <x v="1"/>
    <s v="Leif"/>
    <s v="Parker"/>
    <s v="Parker"/>
    <x v="1"/>
    <s v="Managing Director KARL DOSE GmbH"/>
    <x v="1"/>
    <x v="6"/>
  </r>
  <r>
    <n v="588"/>
    <s v="MANDOS SEZONA"/>
    <s v="Capitán de Fragata"/>
    <x v="3"/>
    <s v="Ramón "/>
    <s v="González  "/>
    <s v="Escobar"/>
    <x v="0"/>
    <s v="Comandante de la FF-06 &quot;Almirante Condell&quot; "/>
    <x v="4"/>
    <x v="56"/>
  </r>
  <r>
    <n v="589"/>
    <s v="PROVEEDORES"/>
    <m/>
    <x v="1"/>
    <s v="Fernanda"/>
    <s v="Sarmento"/>
    <m/>
    <x v="1"/>
    <s v="DNV Area Manager - Maritime Sputh América"/>
    <x v="1"/>
    <x v="6"/>
  </r>
  <r>
    <n v="590"/>
    <s v="PROVEEDORES"/>
    <m/>
    <x v="1"/>
    <s v="Maximinio"/>
    <s v="Ferreira"/>
    <m/>
    <x v="1"/>
    <s v="DNV"/>
    <x v="1"/>
    <x v="6"/>
  </r>
  <r>
    <n v="591"/>
    <s v="MILITARES"/>
    <s v="Teniente Coronel"/>
    <x v="3"/>
    <s v="Mario"/>
    <s v="Sepúlveda"/>
    <s v="Worm"/>
    <x v="0"/>
    <s v="Oficial jefe de ronda Regimiento Chacabuco"/>
    <x v="4"/>
    <x v="57"/>
  </r>
  <r>
    <n v="592"/>
    <s v="ASMAR DIRECCIÓN"/>
    <s v="Capitán de Navío (R)"/>
    <x v="3"/>
    <s v="Jorge"/>
    <s v="Terrazas"/>
    <s v="Michell"/>
    <x v="0"/>
    <s v="Secretario General"/>
    <x v="0"/>
    <x v="53"/>
  </r>
  <r>
    <n v="593"/>
    <s v="PROVEEDORES"/>
    <m/>
    <x v="1"/>
    <s v="Markus"/>
    <s v="Warnck"/>
    <m/>
    <x v="1"/>
    <s v="Head of Competence Center Marine MINIMAX Fire Solutions"/>
    <x v="1"/>
    <x v="6"/>
  </r>
  <r>
    <n v="594"/>
    <s v="PROVEEDORES"/>
    <m/>
    <x v="1"/>
    <s v="Kai"/>
    <s v="Hupka"/>
    <m/>
    <x v="1"/>
    <s v="Project Manager MINIMAX Fire Solutions"/>
    <x v="1"/>
    <x v="6"/>
  </r>
  <r>
    <n v="595"/>
    <s v="ASMARTALC"/>
    <m/>
    <x v="3"/>
    <s v="Paula "/>
    <s v="Del Pino"/>
    <s v="Gecele"/>
    <x v="0"/>
    <s v="Presidente Sindicato de Trabajadores"/>
    <x v="4"/>
    <x v="58"/>
  </r>
  <r>
    <n v="596"/>
    <s v="PROVEEDORES"/>
    <m/>
    <x v="3"/>
    <s v="Roberta"/>
    <s v="Mutschler"/>
    <m/>
    <x v="0"/>
    <s v="Subgerente General Sociedad Comercial Equipos Industriales S.A. INDUELECTRO"/>
    <x v="0"/>
    <x v="54"/>
  </r>
  <r>
    <n v="597"/>
    <s v="PROVEEDORES"/>
    <m/>
    <x v="3"/>
    <s v="Luis"/>
    <s v="Navarro"/>
    <m/>
    <x v="0"/>
    <s v="Director Comercial Fernández Jove Comercial e Ingenieria S.L."/>
    <x v="0"/>
    <x v="55"/>
  </r>
  <r>
    <n v="598"/>
    <s v="PROVEEDORES"/>
    <m/>
    <x v="0"/>
    <s v="Walter"/>
    <s v="Espinoza"/>
    <s v="Birr"/>
    <x v="0"/>
    <s v="Agente VARD Marine Brasil"/>
    <x v="4"/>
    <x v="44"/>
  </r>
  <r>
    <n v="599"/>
    <s v="OPA"/>
    <s v="Capitán de Fragata (R.)"/>
    <x v="3"/>
    <s v="Francisco"/>
    <s v="Martínez"/>
    <s v="Labbé"/>
    <x v="0"/>
    <s v="ASOFAR"/>
    <x v="5"/>
    <x v="4"/>
  </r>
  <r>
    <n v="600"/>
    <s v="PROVEEDORES"/>
    <s v="Capitán de Navío (R)"/>
    <x v="3"/>
    <s v="Cristian"/>
    <s v="Johnson"/>
    <s v="Aranda"/>
    <x v="0"/>
    <s v="Gerente General Consultoria Naval e Industrial"/>
    <x v="0"/>
    <x v="56"/>
  </r>
  <r>
    <n v="601"/>
    <s v="PROVEEDORES"/>
    <m/>
    <x v="1"/>
    <s v="Felipe"/>
    <s v="Meza"/>
    <m/>
    <x v="1"/>
    <s v="Gerente Armatorial, Remolcadores ULTRATUG"/>
    <x v="1"/>
    <x v="6"/>
  </r>
  <r>
    <n v="602"/>
    <s v="PROVEEDORES"/>
    <m/>
    <x v="3"/>
    <s v="Ricardo"/>
    <s v="Manzoliz"/>
    <m/>
    <x v="0"/>
    <s v="Gerente General Astillero SITECNA"/>
    <x v="0"/>
    <x v="57"/>
  </r>
  <r>
    <n v="603"/>
    <s v="PROVEEDORES"/>
    <m/>
    <x v="1"/>
    <s v="Cristian"/>
    <s v="Cifuentes"/>
    <s v="Buono-core"/>
    <x v="1"/>
    <s v="Gerente General SAAM Towage"/>
    <x v="1"/>
    <x v="6"/>
  </r>
  <r>
    <n v="604"/>
    <s v="PROVEEDORES"/>
    <m/>
    <x v="3"/>
    <s v="Eduardo"/>
    <s v="Mas"/>
    <s v="Huber"/>
    <x v="0"/>
    <s v="Dueño Astillero SITECNA"/>
    <x v="0"/>
    <x v="58"/>
  </r>
  <r>
    <n v="605"/>
    <s v="PROVEEDORES"/>
    <m/>
    <x v="0"/>
    <s v="Felipe"/>
    <s v="Howard"/>
    <m/>
    <x v="0"/>
    <s v="Gerente General HUMBOLDT"/>
    <x v="3"/>
    <x v="40"/>
  </r>
  <r>
    <n v="606"/>
    <s v="INVITADOS DGSA"/>
    <m/>
    <x v="3"/>
    <s v="Natascha"/>
    <s v="Cereceda"/>
    <s v="González"/>
    <x v="0"/>
    <m/>
    <x v="0"/>
    <x v="59"/>
  </r>
  <r>
    <n v="607"/>
    <s v="PROVEEDORES"/>
    <s v="Rector"/>
    <x v="1"/>
    <s v="Juan"/>
    <s v="De La Cueva"/>
    <m/>
    <x v="1"/>
    <s v="Director Comercial NAVANTIA"/>
    <x v="1"/>
    <x v="6"/>
  </r>
  <r>
    <n v="608"/>
    <s v="PROVEEDORES"/>
    <s v="Almte."/>
    <x v="0"/>
    <s v="Javier"/>
    <s v="Romero"/>
    <s v="Caramelo"/>
    <x v="0"/>
    <s v="Director de Gabinete Presidente- Líder de la Delegacion de NAVANTIA"/>
    <x v="3"/>
    <x v="18"/>
  </r>
  <r>
    <n v="609"/>
    <s v="PROVEEDORES"/>
    <m/>
    <x v="1"/>
    <s v="Aaron"/>
    <s v="López"/>
    <m/>
    <x v="1"/>
    <s v="Ex Country Manager NAVANTIA"/>
    <x v="1"/>
    <x v="6"/>
  </r>
  <r>
    <n v="610"/>
    <s v="PROVEEDORES"/>
    <s v="Presidente"/>
    <x v="1"/>
    <s v="Ricardo"/>
    <s v="Domínguez"/>
    <m/>
    <x v="1"/>
    <s v="Presidente NAVANTIA"/>
    <x v="1"/>
    <x v="6"/>
  </r>
  <r>
    <n v="611"/>
    <s v="PROVEEDORES"/>
    <s v="Presidente"/>
    <x v="0"/>
    <s v="Eduardo"/>
    <s v="Dobarro"/>
    <s v="Rubido"/>
    <x v="0"/>
    <s v="Vicepresidente Negocio de Fragatas y Buques de Intervención NAVANTIA"/>
    <x v="3"/>
    <x v="22"/>
  </r>
  <r>
    <n v="612"/>
    <s v="PROVEEDORES"/>
    <m/>
    <x v="0"/>
    <s v="Pablo"/>
    <s v="Menéndez"/>
    <s v="Gómez"/>
    <x v="0"/>
    <s v="Director Comercial América, NAVANTIA"/>
    <x v="3"/>
    <x v="20"/>
  </r>
  <r>
    <n v="613"/>
    <s v="PROVEEDORES"/>
    <s v="Rector"/>
    <x v="1"/>
    <s v="Gonzalo"/>
    <s v="Mateo"/>
    <m/>
    <x v="1"/>
    <s v="Director NAVANTIA"/>
    <x v="1"/>
    <x v="6"/>
  </r>
  <r>
    <n v="614"/>
    <s v="INVITADOS ASMAR "/>
    <m/>
    <x v="3"/>
    <s v="Claudia"/>
    <s v="Lillo"/>
    <s v="Echeverría"/>
    <x v="0"/>
    <s v="Invitado Especial Director ASMAR"/>
    <x v="0"/>
    <x v="60"/>
  </r>
  <r>
    <n v="615"/>
    <s v="PROVEEDORES"/>
    <m/>
    <x v="0"/>
    <s v="Pablo"/>
    <s v="Fernández"/>
    <s v="Cabrero"/>
    <x v="0"/>
    <s v="Director Corporativo Grupo Fernandez Jove"/>
    <x v="3"/>
    <x v="25"/>
  </r>
  <r>
    <m/>
    <m/>
    <s v="Capitán de Navío"/>
    <x v="3"/>
    <s v="Rodrigo"/>
    <s v="Daneck"/>
    <s v="Guerra"/>
    <x v="0"/>
    <s v="Secretario Almirante"/>
    <x v="0"/>
    <x v="61"/>
  </r>
  <r>
    <n v="617"/>
    <s v="PROVEEDORES"/>
    <m/>
    <x v="1"/>
    <s v="Federico"/>
    <s v="Álvarez"/>
    <s v="Ordoñez"/>
    <x v="1"/>
    <s v="Gerente Comercial División Marina GHENOVA"/>
    <x v="1"/>
    <x v="6"/>
  </r>
  <r>
    <n v="618"/>
    <s v="PROVEEDORES"/>
    <s v="Rector"/>
    <x v="1"/>
    <s v="Carlos"/>
    <s v="Campoy"/>
    <s v="Zuasti"/>
    <x v="1"/>
    <s v="Director y Dueno de Oficina Técnica ABANCE"/>
    <x v="1"/>
    <x v="6"/>
  </r>
  <r>
    <n v="619"/>
    <s v="PROVEEDORES"/>
    <m/>
    <x v="1"/>
    <s v="Juan Ignacio"/>
    <s v="Spikin"/>
    <m/>
    <x v="1"/>
    <s v="Gerente Operaciones Astillero CALBUCO"/>
    <x v="1"/>
    <x v="6"/>
  </r>
  <r>
    <n v="620"/>
    <s v="PROVEEDORES"/>
    <m/>
    <x v="1"/>
    <s v="Héctor"/>
    <s v="Bacigalupo"/>
    <s v="Falcón"/>
    <x v="1"/>
    <s v="Gerente General SONAPESCA"/>
    <x v="1"/>
    <x v="6"/>
  </r>
  <r>
    <n v="621"/>
    <s v="PROVEEDORES"/>
    <m/>
    <x v="3"/>
    <s v="Germán"/>
    <s v="Schacht"/>
    <m/>
    <x v="0"/>
    <s v="Gerente Comercial y Marketing ASENAV"/>
    <x v="0"/>
    <x v="62"/>
  </r>
  <r>
    <n v="622"/>
    <s v="INVITADOS DGSA"/>
    <m/>
    <x v="3"/>
    <s v="Olive"/>
    <s v="Weinreich"/>
    <s v="Roma"/>
    <x v="0"/>
    <s v="Asesor Ministerial de la Dirección de Obras Portuarias"/>
    <x v="0"/>
    <x v="63"/>
  </r>
  <r>
    <n v="623"/>
    <s v="ASMAR "/>
    <s v="Capitán de Navío"/>
    <x v="0"/>
    <s v="Rafael"/>
    <s v="Castillo"/>
    <s v="Vallejos"/>
    <x v="0"/>
    <s v="Admistrador ASMAR (T)"/>
    <x v="2"/>
    <x v="11"/>
  </r>
  <r>
    <n v="624"/>
    <s v="MILITARES"/>
    <s v="Capitán de Navío"/>
    <x v="3"/>
    <s v="Oscar"/>
    <s v="García"/>
    <s v="Orellana"/>
    <x v="0"/>
    <s v="Subdirector DIPRIDA"/>
    <x v="0"/>
    <x v="64"/>
  </r>
  <r>
    <n v="625"/>
    <s v="INVITADOS ASMAR "/>
    <m/>
    <x v="3"/>
    <s v="Reinaldo"/>
    <s v="Roepke"/>
    <s v="Riveros"/>
    <x v="0"/>
    <s v="Ex Gerente Comercial Mercantes ASMAR(T)"/>
    <x v="2"/>
    <x v="59"/>
  </r>
  <r>
    <n v="626"/>
    <s v="PROVEEDORES"/>
    <m/>
    <x v="3"/>
    <s v="Alvaro"/>
    <s v="Fernández"/>
    <s v="Mizgier"/>
    <x v="0"/>
    <s v="Naviera Canales Australes SpA"/>
    <x v="2"/>
    <x v="60"/>
  </r>
  <r>
    <n v="627"/>
    <s v="OPA"/>
    <s v="Señora"/>
    <x v="4"/>
    <s v="Maria Pia"/>
    <s v="Von Chrismar"/>
    <s v="Medina"/>
    <x v="1"/>
    <s v="Jefa de la División de Relaciones Internacionales de la Subsecretaria de la Defensa."/>
    <x v="1"/>
    <x v="6"/>
  </r>
  <r>
    <n v="628"/>
    <s v="ASMARTALC"/>
    <m/>
    <x v="3"/>
    <s v="Juan Carlos"/>
    <s v="Bugueño"/>
    <s v="Nazer"/>
    <x v="0"/>
    <s v="Gerente Comercial Buques Mercantes y Pesqueros"/>
    <x v="2"/>
    <x v="61"/>
  </r>
  <r>
    <n v="629"/>
    <s v="INVITADOS DGSA"/>
    <m/>
    <x v="3"/>
    <s v="Patricia"/>
    <s v="López"/>
    <s v="Manieu"/>
    <x v="0"/>
    <s v="Gerente Infraestructura Grupo Cap"/>
    <x v="2"/>
    <x v="62"/>
  </r>
  <r>
    <n v="630"/>
    <s v="ASMARTALC"/>
    <m/>
    <x v="3"/>
    <s v="Juan Carlos"/>
    <s v="Ringele"/>
    <s v="Valenzuela"/>
    <x v="0"/>
    <s v="Presidente Sindicato Inter Empresas de Supervisores"/>
    <x v="4"/>
    <x v="59"/>
  </r>
  <r>
    <n v="631"/>
    <m/>
    <m/>
    <x v="3"/>
    <s v="Carlos"/>
    <s v="Aros"/>
    <s v="Sánchez"/>
    <x v="0"/>
    <s v="Representante ASIMET Comité CORFO"/>
    <x v="2"/>
    <x v="63"/>
  </r>
  <r>
    <n v="632"/>
    <s v="ASMAR DIRECCIÓN"/>
    <s v="Vicealmirante"/>
    <x v="0"/>
    <s v="Pablo"/>
    <s v="Niemann"/>
    <s v="Figari"/>
    <x v="0"/>
    <s v="Gerente de Asuntos Corporativos"/>
    <x v="4"/>
    <x v="38"/>
  </r>
  <r>
    <n v="633"/>
    <s v="ASMAR DIRECCIÓN"/>
    <s v="Contraalmirante"/>
    <x v="0"/>
    <s v="Jaime"/>
    <s v="Sotomayor"/>
    <s v="Bustamante"/>
    <x v="0"/>
    <s v="Gerente Comercial Corporativo"/>
    <x v="4"/>
    <x v="45"/>
  </r>
  <r>
    <n v="634"/>
    <s v="ASMAR DIRECCIÓN"/>
    <s v="Contraalmirante"/>
    <x v="0"/>
    <s v="Guido"/>
    <s v="Cabrera"/>
    <s v="Crespo"/>
    <x v="0"/>
    <s v="Auditor Corporativo"/>
    <x v="4"/>
    <x v="43"/>
  </r>
  <r>
    <n v="635"/>
    <s v="ASMAR DIRECCIÓN"/>
    <s v="Vicealmirante"/>
    <x v="0"/>
    <s v="Guillermo"/>
    <s v="Luttges"/>
    <s v="Mathieu"/>
    <x v="0"/>
    <s v="Gerente Corporativo  de Construcción Naval"/>
    <x v="2"/>
    <x v="45"/>
  </r>
  <r>
    <n v="636"/>
    <s v="ASMARTALC"/>
    <m/>
    <x v="3"/>
    <s v="Gunther"/>
    <s v="Momberg"/>
    <s v="Rivas"/>
    <x v="0"/>
    <s v="Jefe Depto. Asesoría Legal"/>
    <x v="3"/>
    <x v="0"/>
  </r>
  <r>
    <n v="637"/>
    <s v="ASMAR DIRECCIÓN"/>
    <s v="Contraalmirante"/>
    <x v="0"/>
    <s v="Claudio"/>
    <s v="Cereceda"/>
    <s v="Valenzuela"/>
    <x v="0"/>
    <s v="Fiscal"/>
    <x v="4"/>
    <x v="40"/>
  </r>
  <r>
    <n v="638"/>
    <s v="ASMARTALC"/>
    <m/>
    <x v="3"/>
    <s v="Rosita"/>
    <s v="Hidalgo"/>
    <s v="Venegas"/>
    <x v="0"/>
    <s v="Presidente Sindicato de Profesionales"/>
    <x v="4"/>
    <x v="60"/>
  </r>
  <r>
    <n v="639"/>
    <s v="ASMARTALC"/>
    <m/>
    <x v="3"/>
    <s v="Armando"/>
    <s v="Retamal"/>
    <s v="Valenzuela"/>
    <x v="0"/>
    <s v="Presidente Sindicato de Funcionarios(as)"/>
    <x v="4"/>
    <x v="61"/>
  </r>
  <r>
    <n v="640"/>
    <s v="ASMARTALC"/>
    <m/>
    <x v="3"/>
    <s v="Loreto "/>
    <s v="Soto"/>
    <s v="Tirapegui"/>
    <x v="0"/>
    <s v="Gerente Gestion"/>
    <x v="4"/>
    <x v="62"/>
  </r>
  <r>
    <n v="641"/>
    <s v="ASMARTALC"/>
    <m/>
    <x v="3"/>
    <s v="Jhony"/>
    <s v="Ulloa"/>
    <s v="González"/>
    <x v="0"/>
    <s v="Jefe Depto. Diseño C.N."/>
    <x v="3"/>
    <x v="1"/>
  </r>
  <r>
    <n v="642"/>
    <s v="ASMARTALC"/>
    <m/>
    <x v="3"/>
    <s v="Jorge"/>
    <s v="Navarrete"/>
    <s v="Yáñez "/>
    <x v="0"/>
    <s v="Jefe Depto. Mantención"/>
    <x v="3"/>
    <x v="2"/>
  </r>
  <r>
    <n v="643"/>
    <s v="ASMARTALC"/>
    <m/>
    <x v="3"/>
    <s v="Marina"/>
    <s v="Silva"/>
    <s v="Henríquez"/>
    <x v="0"/>
    <s v="Jefe Depto. Personas"/>
    <x v="3"/>
    <x v="3"/>
  </r>
  <r>
    <n v="644"/>
    <s v="ASMARTALC"/>
    <m/>
    <x v="3"/>
    <s v="Mario"/>
    <s v="Moraga"/>
    <s v="Zambrano"/>
    <x v="0"/>
    <s v="Jefe Depto. Planificación de Reparaciones"/>
    <x v="3"/>
    <x v="8"/>
  </r>
  <r>
    <n v="645"/>
    <s v="ASMARMAG"/>
    <m/>
    <x v="3"/>
    <s v="Mauricio"/>
    <s v="Vásquez"/>
    <s v="Leiva"/>
    <x v="0"/>
    <s v="Jefe Depto. Planificación y Gestión"/>
    <x v="5"/>
    <x v="0"/>
  </r>
  <r>
    <n v="646"/>
    <s v="ASMARTALC"/>
    <m/>
    <x v="3"/>
    <s v="Gustavo"/>
    <s v="Toro"/>
    <s v="Yagui"/>
    <x v="0"/>
    <s v="Jefe Depto. Planificación y Control de Gestión de CN"/>
    <x v="3"/>
    <x v="9"/>
  </r>
  <r>
    <n v="647"/>
    <s v="ASMARTALC"/>
    <m/>
    <x v="3"/>
    <s v="Edgardo "/>
    <s v="Huerta"/>
    <s v="Castillo"/>
    <x v="0"/>
    <s v="Jefe Depto. Seguridad, Salud Ocupacional y Medio Ambiente"/>
    <x v="3"/>
    <x v="7"/>
  </r>
  <r>
    <n v="648"/>
    <s v="ASMARTALC"/>
    <m/>
    <x v="3"/>
    <s v="Marco Polo"/>
    <s v="Molina"/>
    <s v="Garcés"/>
    <x v="0"/>
    <s v="Jefe Unidad Corporativa de Seguridad de la información"/>
    <x v="5"/>
    <x v="1"/>
  </r>
  <r>
    <n v="649"/>
    <s v="ASMARTALC"/>
    <m/>
    <x v="3"/>
    <s v="Pedro"/>
    <s v="Mella"/>
    <s v="D'Appollonio"/>
    <x v="0"/>
    <s v="Jefe Unidad Corporativa de Auditoría interna"/>
    <x v="5"/>
    <x v="2"/>
  </r>
  <r>
    <n v="650"/>
    <s v="ASMAR DIRECCIÓN"/>
    <s v="Contraalmirante"/>
    <x v="0"/>
    <s v="Luis"/>
    <s v="Kohler"/>
    <s v="Gary"/>
    <x v="0"/>
    <s v="Gerente Corp. Operaciones"/>
    <x v="4"/>
    <x v="35"/>
  </r>
  <r>
    <n v="651"/>
    <s v="ASMARTALC"/>
    <m/>
    <x v="3"/>
    <s v="Jeffrey"/>
    <s v="Bragg"/>
    <m/>
    <x v="0"/>
    <s v="Jefe  de Departamento de Ventas Armada Submarinos"/>
    <x v="3"/>
    <x v="23"/>
  </r>
  <r>
    <n v="652"/>
    <s v="ASMARTALC"/>
    <m/>
    <x v="3"/>
    <s v="René "/>
    <s v="Quezada"/>
    <s v="Miranda"/>
    <x v="0"/>
    <s v="Jefe de Departamento Casco y Dique"/>
    <x v="3"/>
    <x v="21"/>
  </r>
  <r>
    <n v="653"/>
    <s v="ASMARTALC"/>
    <m/>
    <x v="3"/>
    <s v="Ricardo "/>
    <s v="Ruiz"/>
    <s v="Montalva"/>
    <x v="0"/>
    <s v="Jefe Unidad Corporativa de Servicios Tecnología de la Información"/>
    <x v="5"/>
    <x v="3"/>
  </r>
  <r>
    <n v="654"/>
    <s v="ASMARTALC"/>
    <m/>
    <x v="3"/>
    <s v="Ana Marpia"/>
    <s v="Montalva"/>
    <m/>
    <x v="0"/>
    <s v="Jefe Unidad Corporativa de Desarrollo Software"/>
    <x v="5"/>
    <x v="8"/>
  </r>
  <r>
    <n v="655"/>
    <s v="ASMARTALC"/>
    <m/>
    <x v="3"/>
    <s v="Anibal"/>
    <s v="Rojas"/>
    <s v="Mendeleweski"/>
    <x v="0"/>
    <s v="Jefe de Departamento de Armamento"/>
    <x v="3"/>
    <x v="13"/>
  </r>
  <r>
    <n v="656"/>
    <s v="ASMARTALC"/>
    <m/>
    <x v="3"/>
    <s v="Edison"/>
    <s v="Avendaño"/>
    <s v="Valenzuela"/>
    <x v="0"/>
    <s v="Jefe Depto. Subcontratos Suplente"/>
    <x v="5"/>
    <x v="9"/>
  </r>
  <r>
    <n v="657"/>
    <s v="ASMARTALC"/>
    <m/>
    <x v="3"/>
    <s v="Susana"/>
    <s v="Aguayo"/>
    <s v="Bravo"/>
    <x v="0"/>
    <s v="Jefe Sección Almacenamiento"/>
    <x v="5"/>
    <x v="7"/>
  </r>
  <r>
    <n v="658"/>
    <s v="ASMARVALP"/>
    <m/>
    <x v="3"/>
    <s v="Evelyn"/>
    <s v="Becerra"/>
    <s v="Astudillo"/>
    <x v="0"/>
    <m/>
    <x v="5"/>
    <x v="23"/>
  </r>
  <r>
    <n v="659"/>
    <s v="ASMARTALC"/>
    <m/>
    <x v="3"/>
    <s v="Alejandro"/>
    <s v="Saez"/>
    <s v="Ferrada"/>
    <x v="0"/>
    <s v="Jefe de Departamento de Bienestar"/>
    <x v="3"/>
    <x v="15"/>
  </r>
  <r>
    <n v="660"/>
    <s v="ASMARTALC"/>
    <m/>
    <x v="3"/>
    <s v="Sergio "/>
    <s v="Díaz"/>
    <m/>
    <x v="0"/>
    <s v="Jefe de Departamento de Proyectos CN"/>
    <x v="3"/>
    <x v="17"/>
  </r>
  <r>
    <n v="661"/>
    <s v="ASMARTALC"/>
    <m/>
    <x v="3"/>
    <s v="Benjamín"/>
    <s v="Morales"/>
    <s v="Fuentes"/>
    <x v="0"/>
    <s v="Jefe de Departamento de Relaciones Laborales"/>
    <x v="3"/>
    <x v="19"/>
  </r>
  <r>
    <n v="662"/>
    <s v="ASMARTALC"/>
    <m/>
    <x v="3"/>
    <s v="Juan Carlos"/>
    <s v="Cabrera"/>
    <s v="Ogalde"/>
    <x v="0"/>
    <s v="Jefe de Departamento de Ventas Armada Superficie y RR.TT."/>
    <x v="3"/>
    <x v="24"/>
  </r>
  <r>
    <n v="663"/>
    <s v="ASMARTALC"/>
    <s v="Capitán de Fragata"/>
    <x v="0"/>
    <s v="Juan José "/>
    <s v="Munita"/>
    <s v="Greene"/>
    <x v="0"/>
    <s v="Gerente Construcción Naval"/>
    <x v="4"/>
    <x v="11"/>
  </r>
  <r>
    <n v="664"/>
    <s v="ASMARTALC"/>
    <m/>
    <x v="1"/>
    <s v="Felipe "/>
    <s v="Leon"/>
    <s v="Del Pedregal"/>
    <x v="1"/>
    <s v="Gerente de Investigacion, Desarrollo e Inversiones"/>
    <x v="1"/>
    <x v="6"/>
  </r>
  <r>
    <m/>
    <m/>
    <m/>
    <x v="3"/>
    <s v="Alejandro"/>
    <s v="Arrieta"/>
    <s v="De la Maza"/>
    <x v="0"/>
    <s v="DRUA"/>
    <x v="4"/>
    <x v="63"/>
  </r>
  <r>
    <n v="666"/>
    <s v="INVITADOS ASMAR "/>
    <m/>
    <x v="3"/>
    <s v="Rodolfo "/>
    <s v="Skalweit"/>
    <m/>
    <x v="0"/>
    <s v="Director Sociedad Inversiones Portuarias - CPT"/>
    <x v="2"/>
    <x v="64"/>
  </r>
  <r>
    <n v="667"/>
    <s v="ASMAR DIRECCIÓN"/>
    <s v="Vicealmirante"/>
    <x v="0"/>
    <s v="Cristian"/>
    <s v="Ramos"/>
    <s v="Perez"/>
    <x v="0"/>
    <s v="Gerente Corp. Planificación y Desarrollo"/>
    <x v="4"/>
    <x v="33"/>
  </r>
  <r>
    <n v="668"/>
    <s v="ASMARTALC"/>
    <s v="Capitán de Navío"/>
    <x v="3"/>
    <s v="José"/>
    <s v="Ferrada"/>
    <s v="Córdova"/>
    <x v="0"/>
    <s v="Gerente Operaciones"/>
    <x v="4"/>
    <x v="64"/>
  </r>
  <r>
    <n v="669"/>
    <s v="ASMARTALC"/>
    <m/>
    <x v="3"/>
    <s v="Marcelo"/>
    <s v="Flores"/>
    <s v="Valdebenito"/>
    <x v="0"/>
    <s v="Subgerente Comercial Buques Mercantes"/>
    <x v="3"/>
    <x v="27"/>
  </r>
  <r>
    <n v="670"/>
    <s v="ASMARVALP"/>
    <m/>
    <x v="3"/>
    <s v="Benjamín"/>
    <s v="Gaete"/>
    <s v="Gonzalez"/>
    <x v="0"/>
    <s v="Mecánico Bombas"/>
    <x v="5"/>
    <x v="21"/>
  </r>
  <r>
    <n v="671"/>
    <s v="ASMARVALP"/>
    <m/>
    <x v="3"/>
    <s v="Christopher"/>
    <s v="Mena"/>
    <s v="Apablaza"/>
    <x v="0"/>
    <s v="Preparador Electricidad"/>
    <x v="5"/>
    <x v="13"/>
  </r>
  <r>
    <n v="672"/>
    <s v="ASMARVALP"/>
    <m/>
    <x v="3"/>
    <s v="José"/>
    <s v="Medina"/>
    <s v="Romero"/>
    <x v="0"/>
    <s v="SPL Estructuras"/>
    <x v="5"/>
    <x v="15"/>
  </r>
  <r>
    <n v="673"/>
    <s v="ASMARVALP"/>
    <m/>
    <x v="3"/>
    <s v="Carola"/>
    <s v="Pedreros"/>
    <s v="Valenzuela"/>
    <x v="0"/>
    <s v="Asistente Ejecutiva Administrador"/>
    <x v="5"/>
    <x v="17"/>
  </r>
  <r>
    <n v="674"/>
    <s v="ASMARTALC"/>
    <m/>
    <x v="3"/>
    <s v="Leonardo"/>
    <s v="Muñoz"/>
    <s v="Bustos"/>
    <x v="0"/>
    <s v="Subgerente Comercial Buques Pesqueros"/>
    <x v="3"/>
    <x v="28"/>
  </r>
  <r>
    <n v="675"/>
    <s v="ASMAR DIRECCIÓN"/>
    <s v="Vicealmirante"/>
    <x v="0"/>
    <s v="Giancarlo"/>
    <s v="Stagno"/>
    <s v="Canziani"/>
    <x v="0"/>
    <s v="Gerente Corporativo de Personas"/>
    <x v="4"/>
    <x v="30"/>
  </r>
  <r>
    <n v="676"/>
    <s v="ASMAR DIRECCIÓN"/>
    <m/>
    <x v="3"/>
    <s v="Hilda "/>
    <s v="Vicuña"/>
    <s v="Bastías"/>
    <x v="0"/>
    <s v="Contador Corporativo Serv. de Bienestar"/>
    <x v="5"/>
    <x v="19"/>
  </r>
  <r>
    <n v="677"/>
    <s v="ASMARTALC"/>
    <m/>
    <x v="3"/>
    <s v="Boris"/>
    <s v="Jara"/>
    <s v="Guerrero"/>
    <x v="0"/>
    <s v="Jefe de Departamento Presupuesto Operación"/>
    <x v="3"/>
    <x v="32"/>
  </r>
  <r>
    <n v="678"/>
    <s v="ASMARTALC"/>
    <m/>
    <x v="3"/>
    <s v="Alejandro"/>
    <s v="Grant"/>
    <s v="Del Río"/>
    <x v="0"/>
    <s v="Jefe de Departamento de Tesorería"/>
    <x v="3"/>
    <x v="29"/>
  </r>
  <r>
    <n v="679"/>
    <s v="ASMARTALC"/>
    <m/>
    <x v="3"/>
    <s v="Harold"/>
    <s v="Kauer"/>
    <s v="Tapia"/>
    <x v="0"/>
    <s v="Jefe de Proyecto Corporativo Senior"/>
    <x v="3"/>
    <x v="37"/>
  </r>
  <r>
    <n v="680"/>
    <s v="ASMAR DIRECCIÓN"/>
    <m/>
    <x v="3"/>
    <s v="René"/>
    <s v="Cárdenas"/>
    <s v="Velasquez"/>
    <x v="0"/>
    <s v="Jefe Departamento Presupuesto Corporativo"/>
    <x v="3"/>
    <x v="36"/>
  </r>
  <r>
    <n v="681"/>
    <s v="ASMAR DIRECCIÓN"/>
    <m/>
    <x v="3"/>
    <s v="José "/>
    <s v="Flores"/>
    <s v="Jorquera"/>
    <x v="0"/>
    <s v="Jefe Unidad Control de Gestión"/>
    <x v="3"/>
    <x v="34"/>
  </r>
  <r>
    <n v="682"/>
    <s v="ASMARTALC"/>
    <s v="Teniente Primero"/>
    <x v="3"/>
    <s v="Ignacio"/>
    <s v="Peralta"/>
    <s v="Vargas"/>
    <x v="0"/>
    <s v="Jefe de Taller Mecánica de Armamentos"/>
    <x v="1"/>
    <x v="6"/>
  </r>
  <r>
    <n v="683"/>
    <s v="ASMARMAG"/>
    <m/>
    <x v="3"/>
    <s v="John"/>
    <s v="Jessop"/>
    <m/>
    <x v="0"/>
    <s v="Subgerente de Logística"/>
    <x v="3"/>
    <x v="39"/>
  </r>
  <r>
    <n v="684"/>
    <s v="ASMARMAG"/>
    <m/>
    <x v="3"/>
    <s v="Gonzalo"/>
    <s v="Córdova"/>
    <m/>
    <x v="0"/>
    <s v="Subgerente de Personas"/>
    <x v="3"/>
    <x v="41"/>
  </r>
  <r>
    <n v="685"/>
    <s v="ASMARMAG"/>
    <m/>
    <x v="3"/>
    <s v="Sebastián "/>
    <s v="Garrido "/>
    <s v="Gajardo          "/>
    <x v="0"/>
    <s v="Jefe Depto. Mantención"/>
    <x v="3"/>
    <x v="44"/>
  </r>
  <r>
    <n v="686"/>
    <s v="ASMARTALC"/>
    <m/>
    <x v="1"/>
    <s v="Carlos "/>
    <s v="Alvarez"/>
    <s v="Flores "/>
    <x v="1"/>
    <s v="Jefe Depto. Contabilidad"/>
    <x v="1"/>
    <x v="6"/>
  </r>
  <r>
    <n v="687"/>
    <s v="ASMARMAG"/>
    <m/>
    <x v="3"/>
    <s v="Luis"/>
    <s v="Mora"/>
    <s v="Riquelme"/>
    <x v="0"/>
    <s v="Jefe Depto. Comercial Armada"/>
    <x v="3"/>
    <x v="42"/>
  </r>
  <r>
    <n v="688"/>
    <s v="MANDOS SEZONA"/>
    <s v="Capitán de Fragata OM"/>
    <x v="3"/>
    <s v="Mauricio"/>
    <s v=" Carvajal "/>
    <s v="Baeza"/>
    <x v="0"/>
    <s v="Jefe del Departamento de Bienestar Social Talcahuano"/>
    <x v="3"/>
    <x v="46"/>
  </r>
  <r>
    <n v="689"/>
    <s v="MANDOS SEZONA"/>
    <s v="Capitán de Fragata IM"/>
    <x v="3"/>
    <s v="Nicolás "/>
    <s v="Ochoa "/>
    <s v="Quiñones"/>
    <x v="0"/>
    <s v="Jefe del Centro de Entrenamiento Básico del Cuerpo IM"/>
    <x v="3"/>
    <x v="47"/>
  </r>
  <r>
    <n v="690"/>
    <s v="MANDOS SEZONA"/>
    <s v="Capitán de Fragata"/>
    <x v="3"/>
    <s v="Ludwig"/>
    <s v="Kruuse "/>
    <s v="Jarpa"/>
    <x v="0"/>
    <s v="Comandante del Grupo Aeronaval de Talcahuano"/>
    <x v="3"/>
    <x v="48"/>
  </r>
  <r>
    <n v="691"/>
    <s v="MANDOS SEZONA"/>
    <s v="Capitán de Fragata SD"/>
    <x v="3"/>
    <s v="Cristóbal "/>
    <s v="Muga "/>
    <s v="Vallejos"/>
    <x v="0"/>
    <s v="Director de la Central Odontológica de la Segunda Zona Naval "/>
    <x v="3"/>
    <x v="49"/>
  </r>
  <r>
    <n v="692"/>
    <s v="ASMARTALC"/>
    <m/>
    <x v="3"/>
    <s v="Gabriel"/>
    <s v="Parra"/>
    <s v="Vera"/>
    <x v="0"/>
    <s v="Jefe Depto. Producción C.N."/>
    <x v="1"/>
    <x v="6"/>
  </r>
  <r>
    <n v="693"/>
    <s v="MANDOS SEZONA"/>
    <s v="Capitán de Fragata OM"/>
    <x v="3"/>
    <s v="Roberto "/>
    <s v="Herrera "/>
    <s v="Stuardo"/>
    <x v="0"/>
    <s v="Jefe del Departamento de Obras y Construcciones Segunda Zona Naval "/>
    <x v="3"/>
    <x v="50"/>
  </r>
  <r>
    <n v="694"/>
    <s v="ASMAR DIRECCIÓN"/>
    <m/>
    <x v="3"/>
    <s v="Ana "/>
    <s v="Toro"/>
    <s v="Quezada"/>
    <x v="0"/>
    <s v="Analista Control de Gestión Finanzas"/>
    <x v="5"/>
    <x v="24"/>
  </r>
  <r>
    <n v="695"/>
    <s v="ASMARTALC"/>
    <s v="Capitán de Corbeta"/>
    <x v="2"/>
    <s v="Sebastián"/>
    <s v="López"/>
    <s v="Soto"/>
    <x v="0"/>
    <s v="Jefe Proyecto C.N."/>
    <x v="1"/>
    <x v="6"/>
  </r>
  <r>
    <n v="696"/>
    <s v="ASMAR DIRECCIÓN"/>
    <m/>
    <x v="3"/>
    <s v="Carmen"/>
    <s v="Quintanal"/>
    <s v="Quinteros"/>
    <x v="0"/>
    <s v="Asistente Ejecutiva Fiscalía"/>
    <x v="5"/>
    <x v="27"/>
  </r>
  <r>
    <n v="697"/>
    <s v="ASMAR DIRECCIÓN"/>
    <m/>
    <x v="3"/>
    <s v="Katya"/>
    <s v="Cordero"/>
    <s v="Pulgar"/>
    <x v="0"/>
    <s v="Asistente Ejecutiva Gerencia Corp. Planif. Des. "/>
    <x v="5"/>
    <x v="28"/>
  </r>
  <r>
    <n v="698"/>
    <s v="ASMAR DIRECCIÓN"/>
    <m/>
    <x v="3"/>
    <s v="Ana María"/>
    <s v="Montenegro"/>
    <s v="Kellet"/>
    <x v="0"/>
    <s v="Asistente Ejecutiva Gerencia Corporativa C.N."/>
    <x v="5"/>
    <x v="32"/>
  </r>
  <r>
    <n v="699"/>
    <s v="ASMAR DIRECCIÓN"/>
    <s v="S1"/>
    <x v="3"/>
    <s v="Eduardo"/>
    <s v="Soto"/>
    <m/>
    <x v="0"/>
    <s v="Encargado Servicios Generales ASMAR (D)"/>
    <x v="5"/>
    <x v="29"/>
  </r>
  <r>
    <n v="700"/>
    <s v="ASMAR DIRECCIÓN"/>
    <s v="SUBOFICIAL"/>
    <x v="3"/>
    <s v="Danilo"/>
    <s v="Díaz "/>
    <s v="González"/>
    <x v="0"/>
    <s v="Encargado Secretaría ASMAR (D)"/>
    <x v="5"/>
    <x v="37"/>
  </r>
  <r>
    <n v="701"/>
    <s v="ASMARTALC"/>
    <m/>
    <x v="3"/>
    <s v="Mario"/>
    <s v="Maldonado"/>
    <s v="Marín"/>
    <x v="0"/>
    <s v="Jefe Taller Calderas y Cañerías"/>
    <x v="5"/>
    <x v="36"/>
  </r>
  <r>
    <n v="702"/>
    <s v="ASMARTALC"/>
    <m/>
    <x v="3"/>
    <s v="Daniel"/>
    <s v="Pérez"/>
    <s v="Escobar"/>
    <x v="0"/>
    <s v="Jefe Taller Estructuras"/>
    <x v="5"/>
    <x v="34"/>
  </r>
  <r>
    <n v="703"/>
    <s v="MANDOS SEZONA"/>
    <s v="Capitán de Fragata IM"/>
    <x v="3"/>
    <s v="Franco"/>
    <s v=" Ibacache  "/>
    <s v="Morales"/>
    <x v="0"/>
    <s v="Comandante del Batallón IM N° 31 &quot;Aldea&quot;"/>
    <x v="3"/>
    <x v="51"/>
  </r>
  <r>
    <n v="704"/>
    <s v="MANDOS SEZONA"/>
    <s v="Capitán de Fragata"/>
    <x v="3"/>
    <s v="Álvaro "/>
    <s v="Sampedro "/>
    <s v="Covarrubias"/>
    <x v="0"/>
    <s v="Comandante de la LST &quot;Chacabuco&quot;"/>
    <x v="3"/>
    <x v="52"/>
  </r>
  <r>
    <n v="705"/>
    <s v="MANDOS SEZONA"/>
    <s v="Capitán de Fragata"/>
    <x v="3"/>
    <s v="Raimundo "/>
    <s v="Beytía "/>
    <s v="de la Maza"/>
    <x v="0"/>
    <s v="Comandante de la LST &quot;Rancagua&quot;"/>
    <x v="3"/>
    <x v="53"/>
  </r>
  <r>
    <n v="706"/>
    <s v="MANDOS SEZONA"/>
    <s v="Capitán de Fragata"/>
    <x v="3"/>
    <s v="Gabriel "/>
    <s v="Boré "/>
    <s v="Bacigaluppi"/>
    <x v="0"/>
    <s v="Jefe de Estado Mayor del Comando Anfibio y de Transportes Navales"/>
    <x v="3"/>
    <x v="54"/>
  </r>
  <r>
    <n v="707"/>
    <s v="MANDOS SEZONA"/>
    <s v="Capitán de Corbeta"/>
    <x v="3"/>
    <s v="Eduardo "/>
    <s v="Morales  "/>
    <s v="Valenzuela"/>
    <x v="0"/>
    <s v="Jefe del Subcentro de Telecomunicaciones Navales Talcahuano"/>
    <x v="3"/>
    <x v="55"/>
  </r>
  <r>
    <n v="708"/>
    <s v="MANDOS SEZONA"/>
    <s v="Capitán de Corbeta LT"/>
    <x v="3"/>
    <s v="Camila"/>
    <s v=" Ovalle "/>
    <s v="Lagos"/>
    <x v="0"/>
    <s v="Capitán de Puerto de Talcahuano"/>
    <x v="3"/>
    <x v="56"/>
  </r>
  <r>
    <n v="709"/>
    <s v="ASMARTALC"/>
    <m/>
    <x v="3"/>
    <s v="Carlos "/>
    <s v="Figueroa"/>
    <s v="Moraga"/>
    <x v="0"/>
    <s v="Jefe Taller Electrónica"/>
    <x v="5"/>
    <x v="39"/>
  </r>
  <r>
    <n v="710"/>
    <s v="ASMARTALC"/>
    <m/>
    <x v="3"/>
    <s v="Nelson"/>
    <s v="Saez"/>
    <s v="Carrasco"/>
    <x v="0"/>
    <s v="Jefe Taller Electricidad"/>
    <x v="5"/>
    <x v="41"/>
  </r>
  <r>
    <n v="711"/>
    <s v="ASMARTALC"/>
    <s v="Capitán de Fragata"/>
    <x v="3"/>
    <s v="Diego"/>
    <s v="Varela"/>
    <s v="Ruiz"/>
    <x v="0"/>
    <s v="Gerente Ventas Armada"/>
    <x v="3"/>
    <x v="57"/>
  </r>
  <r>
    <n v="712"/>
    <s v="ASMARTALC"/>
    <s v="Capitán de Fragata"/>
    <x v="3"/>
    <s v="Felipe "/>
    <s v="Lefian"/>
    <s v="Mujica"/>
    <x v="0"/>
    <s v="Gerente Logística"/>
    <x v="3"/>
    <x v="58"/>
  </r>
  <r>
    <n v="713"/>
    <s v="ASMARTALC"/>
    <m/>
    <x v="3"/>
    <s v="Rodrigo"/>
    <s v="Belmar"/>
    <m/>
    <x v="0"/>
    <s v="Jefe Taller de combustión interna"/>
    <x v="5"/>
    <x v="44"/>
  </r>
  <r>
    <n v="714"/>
    <s v="ASMARTALC"/>
    <m/>
    <x v="3"/>
    <s v="Gerardo"/>
    <s v="Tapia"/>
    <s v="Araneda"/>
    <x v="0"/>
    <s v="Gerente RRHH"/>
    <x v="3"/>
    <x v="59"/>
  </r>
  <r>
    <n v="715"/>
    <s v="ASMARTALC"/>
    <m/>
    <x v="3"/>
    <s v="Claudio"/>
    <s v="Muñoz"/>
    <m/>
    <x v="0"/>
    <s v="Jefe Taller de Diques"/>
    <x v="5"/>
    <x v="42"/>
  </r>
  <r>
    <n v="716"/>
    <s v="ASMARTALC"/>
    <m/>
    <x v="3"/>
    <s v="Carlos "/>
    <s v="Chamorro"/>
    <s v="Fuentes"/>
    <x v="0"/>
    <s v="Jefe Taller Habitabilidad y Electricidad"/>
    <x v="5"/>
    <x v="46"/>
  </r>
  <r>
    <n v="717"/>
    <s v="ASMARTALC"/>
    <m/>
    <x v="3"/>
    <s v="Víctor"/>
    <s v="Burboa"/>
    <s v="Caamaño"/>
    <x v="0"/>
    <s v="Jefe Taller Cañerías y Estructuras Menores"/>
    <x v="5"/>
    <x v="47"/>
  </r>
  <r>
    <n v="718"/>
    <s v="ASMARTALC"/>
    <m/>
    <x v="3"/>
    <s v="Miguel"/>
    <s v="Groz"/>
    <m/>
    <x v="0"/>
    <s v="Ingeniero Senior C-320"/>
    <x v="5"/>
    <x v="48"/>
  </r>
  <r>
    <n v="719"/>
    <s v="ASMARVALP"/>
    <m/>
    <x v="3"/>
    <s v="Carlos"/>
    <s v="Pérez"/>
    <s v="Parra"/>
    <x v="0"/>
    <s v="Jefe Depto. Electricidad"/>
    <x v="5"/>
    <x v="49"/>
  </r>
  <r>
    <n v="720"/>
    <s v="ASMARTALC"/>
    <m/>
    <x v="3"/>
    <s v="Jorge"/>
    <s v="Ogalde"/>
    <s v="Gomez"/>
    <x v="0"/>
    <s v="Abogado"/>
    <x v="5"/>
    <x v="50"/>
  </r>
  <r>
    <n v="721"/>
    <s v="ASMARTALC"/>
    <m/>
    <x v="3"/>
    <s v="Paula "/>
    <s v="Nuñez"/>
    <s v="Araya"/>
    <x v="0"/>
    <s v="Abogado"/>
    <x v="5"/>
    <x v="51"/>
  </r>
  <r>
    <n v="722"/>
    <s v="ASMARTALC"/>
    <m/>
    <x v="1"/>
    <s v="Avelino"/>
    <s v="Silva"/>
    <s v="Muñoz"/>
    <x v="1"/>
    <s v="Ingeniero Senior CN C-455"/>
    <x v="1"/>
    <x v="6"/>
  </r>
  <r>
    <n v="723"/>
    <s v="ASMARTALC"/>
    <m/>
    <x v="1"/>
    <s v="Ricardo "/>
    <s v="Bazán"/>
    <m/>
    <x v="1"/>
    <s v="Ingeniero Senior Reparaciones"/>
    <x v="1"/>
    <x v="6"/>
  </r>
  <r>
    <n v="724"/>
    <s v="ASMARTALC"/>
    <m/>
    <x v="3"/>
    <s v="Jaime"/>
    <s v="Chamorro"/>
    <s v="Fuentes"/>
    <x v="0"/>
    <s v="Ingeniero Senior CN C-455"/>
    <x v="5"/>
    <x v="52"/>
  </r>
  <r>
    <n v="725"/>
    <s v="INVITADOS ASMAR "/>
    <s v="BANCOS"/>
    <x v="3"/>
    <s v="Patricia"/>
    <s v="Manzor"/>
    <s v="Manzor"/>
    <x v="0"/>
    <s v="Subgerente Instituciones y Empresas Públicas BancoEstado"/>
    <x v="3"/>
    <x v="60"/>
  </r>
  <r>
    <n v="726"/>
    <s v="ASMARTALC"/>
    <s v="Capitán de Fragata"/>
    <x v="3"/>
    <s v="Julio"/>
    <s v="Espinoza"/>
    <s v="Llanos"/>
    <x v="0"/>
    <s v="Gerente Reparaciones"/>
    <x v="5"/>
    <x v="53"/>
  </r>
  <r>
    <n v="727"/>
    <s v="ASMARTALC"/>
    <m/>
    <x v="3"/>
    <s v="Cristian"/>
    <s v="Urcullu"/>
    <m/>
    <x v="0"/>
    <s v="Ingeniero Senior CN C-451"/>
    <x v="5"/>
    <x v="54"/>
  </r>
  <r>
    <n v="728"/>
    <s v="ASMARTALC"/>
    <m/>
    <x v="3"/>
    <s v="Manuel "/>
    <s v="Tornel"/>
    <m/>
    <x v="0"/>
    <s v="Ingeniero Senior CN C-451"/>
    <x v="5"/>
    <x v="55"/>
  </r>
  <r>
    <n v="729"/>
    <s v="ASMARTALC"/>
    <m/>
    <x v="3"/>
    <s v="Samuel"/>
    <s v="Leal"/>
    <m/>
    <x v="0"/>
    <s v="Ingeniero Senior CN C-451"/>
    <x v="5"/>
    <x v="56"/>
  </r>
  <r>
    <n v="730"/>
    <s v="ASMARMAG"/>
    <s v="Presidente"/>
    <x v="3"/>
    <s v="Carlos"/>
    <s v="Poblete"/>
    <m/>
    <x v="0"/>
    <s v="Presidente del Sindicato N°2 "/>
    <x v="3"/>
    <x v="61"/>
  </r>
  <r>
    <n v="731"/>
    <s v="ASMARTALC"/>
    <m/>
    <x v="3"/>
    <s v="Guido"/>
    <s v="Pereira"/>
    <s v="Reyes"/>
    <x v="0"/>
    <s v="Jefe Taller Aceros C.N."/>
    <x v="1"/>
    <x v="6"/>
  </r>
  <r>
    <n v="732"/>
    <s v="INVITADOS ASMAR "/>
    <s v="Teniente Primero"/>
    <x v="3"/>
    <s v="Francisca"/>
    <s v="Lema"/>
    <s v="Medina"/>
    <x v="0"/>
    <s v="Oficial Enlace de Comité CORFO"/>
    <x v="5"/>
    <x v="57"/>
  </r>
  <r>
    <n v="733"/>
    <s v="ASMARTALC"/>
    <m/>
    <x v="3"/>
    <s v="Patricio"/>
    <s v="Rojas"/>
    <s v="Acuña"/>
    <x v="0"/>
    <s v="Sindicato de Empleados. Operador de Producción. Taller de aceros y pintura"/>
    <x v="3"/>
    <x v="62"/>
  </r>
  <r>
    <n v="734"/>
    <s v="ASMARMAG"/>
    <s v="Presidente"/>
    <x v="3"/>
    <s v="Jaime"/>
    <s v="Venegas"/>
    <m/>
    <x v="0"/>
    <s v="Presidente del Sindicato N°1"/>
    <x v="3"/>
    <x v="63"/>
  </r>
  <r>
    <n v="735"/>
    <s v="ASMARMAG"/>
    <s v="Teniente Primero"/>
    <x v="3"/>
    <s v="Claudio"/>
    <s v="Figari"/>
    <m/>
    <x v="0"/>
    <m/>
    <x v="5"/>
    <x v="58"/>
  </r>
  <r>
    <n v="736"/>
    <s v="ASMARTALC"/>
    <s v="Teniente Primero"/>
    <x v="3"/>
    <s v="Karla"/>
    <s v="Caviedes"/>
    <m/>
    <x v="0"/>
    <s v="Jefe Proyecto Armada C-420"/>
    <x v="5"/>
    <x v="59"/>
  </r>
  <r>
    <n v="737"/>
    <s v="ASMARTALC"/>
    <m/>
    <x v="3"/>
    <s v="José"/>
    <s v="Chaparro"/>
    <s v="Fariña"/>
    <x v="0"/>
    <s v="Ingeniero Senior CN C-451"/>
    <x v="5"/>
    <x v="60"/>
  </r>
  <r>
    <n v="738"/>
    <s v="INVITADOS ASMAR "/>
    <m/>
    <x v="3"/>
    <s v="Iván"/>
    <s v="Montes"/>
    <s v="Correa"/>
    <x v="0"/>
    <s v="Sindicato de trabajadores y trabajadoras ENAP-PEYROX"/>
    <x v="3"/>
    <x v="64"/>
  </r>
  <r>
    <n v="739"/>
    <s v="INVITADOS ASMAR "/>
    <m/>
    <x v="3"/>
    <s v="José "/>
    <s v="Quiñilen "/>
    <s v="Azocar"/>
    <x v="0"/>
    <s v="Sindicato Celulosa Arauco"/>
    <x v="5"/>
    <x v="61"/>
  </r>
  <r>
    <n v="740"/>
    <s v="INVITADOS ASMAR "/>
    <m/>
    <x v="3"/>
    <s v="Erika"/>
    <s v="Heredia"/>
    <s v="Contreras"/>
    <x v="0"/>
    <s v="FESTRAMET"/>
    <x v="5"/>
    <x v="62"/>
  </r>
  <r>
    <n v="741"/>
    <m/>
    <m/>
    <x v="0"/>
    <m/>
    <m/>
    <m/>
    <x v="0"/>
    <s v="AYUDOR JEMCO"/>
    <x v="2"/>
    <x v="24"/>
  </r>
  <r>
    <n v="742"/>
    <m/>
    <m/>
    <x v="0"/>
    <s v="Karelyn"/>
    <s v="Luttecke"/>
    <m/>
    <x v="0"/>
    <s v="JEFA PRENSA MINISTERIO INTERIOR"/>
    <x v="3"/>
    <x v="11"/>
  </r>
  <r>
    <n v="743"/>
    <m/>
    <m/>
    <x v="0"/>
    <s v="Sebastián"/>
    <s v="Figueroa"/>
    <m/>
    <x v="0"/>
    <s v="Subsecretario de Desarrollo Regional y Administrativo "/>
    <x v="2"/>
    <x v="8"/>
  </r>
  <r>
    <n v="744"/>
    <s v="ASTILLERO"/>
    <s v="Señor"/>
    <x v="5"/>
    <s v="MIKEL"/>
    <s v="CAPETILLO"/>
    <s v="CARDENAS,"/>
    <x v="0"/>
    <s v="SINDICATO DE ASTILLEROS Y MAESTRANZAS DE LA ARMADA, PLANTA TALCAHUANO"/>
    <x v="0"/>
    <x v="35"/>
  </r>
  <r>
    <n v="745"/>
    <s v="ASTILLERO"/>
    <s v="Señor"/>
    <x v="5"/>
    <s v="Jorge"/>
    <s v="SEPULVEDA"/>
    <s v="CABEZAS,"/>
    <x v="0"/>
    <s v="SINDICATO DE ASTILLEROS Y MAESTRANZAS DE LA ARMADA, PLANTA TALCAHUANO"/>
    <x v="2"/>
    <x v="35"/>
  </r>
  <r>
    <n v="746"/>
    <s v="ASTILLERO"/>
    <s v="Señor"/>
    <x v="5"/>
    <s v="EDGARDO"/>
    <s v="LOPEZ"/>
    <s v="OPORTUS,"/>
    <x v="0"/>
    <s v="SINDICATO DE ASTILLEROS Y MAESTRANZAS DE LA ARMADA, PLANTA TALCAHUANO"/>
    <x v="4"/>
    <x v="35"/>
  </r>
  <r>
    <n v="747"/>
    <s v="ASTILLERO"/>
    <s v="Señor"/>
    <x v="5"/>
    <s v="JULIO"/>
    <s v="EYDE"/>
    <s v="VEGA,"/>
    <x v="0"/>
    <s v="SINDICATO DE ASTILLEROS Y MAESTRANZAS DE LA ARMADA, PLANTA TALCAHUANO"/>
    <x v="3"/>
    <x v="35"/>
  </r>
  <r>
    <n v="748"/>
    <s v="ASTILLERO"/>
    <s v="Señora"/>
    <x v="5"/>
    <s v="ANDREA"/>
    <s v="VALENZUELA"/>
    <s v="GUEVARA,"/>
    <x v="0"/>
    <s v="SINDICATO DE PROFESIONALES, PLANTA TALCAHUANO "/>
    <x v="0"/>
    <x v="40"/>
  </r>
  <r>
    <n v="749"/>
    <s v="ASTILLERO"/>
    <s v="Señor"/>
    <x v="5"/>
    <s v="IVAN"/>
    <s v="GUTIERREZ"/>
    <s v="VEGA,"/>
    <x v="0"/>
    <s v="SINDICATO DE PROFESIONALES, PLANTA TALCAHUANO "/>
    <x v="2"/>
    <x v="40"/>
  </r>
  <r>
    <n v="750"/>
    <s v="ASTILLERO"/>
    <s v="Señor"/>
    <x v="5"/>
    <s v="PATRICIO"/>
    <s v="ESPINOZA"/>
    <s v="MOREIRA,"/>
    <x v="0"/>
    <s v="SINDICATO DE PROFESIONALES, PLANTA TALCAHUANO "/>
    <x v="4"/>
    <x v="40"/>
  </r>
  <r>
    <n v="751"/>
    <s v="ASTILLERO"/>
    <s v="Señor"/>
    <x v="5"/>
    <s v="ESTEBAN"/>
    <s v="RIOSECO"/>
    <s v="CATRIL,"/>
    <x v="0"/>
    <s v="SINDICATO DE PROFESIONALES, PLANTA TALCAHUANO "/>
    <x v="3"/>
    <x v="40"/>
  </r>
  <r>
    <n v="752"/>
    <s v="ASTILLERO"/>
    <s v="Señor"/>
    <x v="5"/>
    <s v="PATRICIO"/>
    <s v="ROJAS"/>
    <s v="ACUÑA,"/>
    <x v="0"/>
    <s v="SINDICATO DE EMPLEADOS, PLANTA TALCAHUANO"/>
    <x v="0"/>
    <x v="38"/>
  </r>
  <r>
    <n v="753"/>
    <s v="ASTILLERO"/>
    <s v="Señor"/>
    <x v="5"/>
    <s v="VICTOR"/>
    <s v="MONSALVES"/>
    <s v="GAETE,"/>
    <x v="0"/>
    <s v="SINDICATO DE EMPLEADOS, PLANTA TALCAHUANO"/>
    <x v="2"/>
    <x v="38"/>
  </r>
  <r>
    <n v="754"/>
    <s v="ASTILLERO"/>
    <s v="Señor"/>
    <x v="5"/>
    <s v="MANUEL"/>
    <s v="VEJAR"/>
    <s v="FERNANDEZ,"/>
    <x v="0"/>
    <s v="SINDICATO DE EMPLEADOS, PLANTA TALCAHUANO"/>
    <x v="4"/>
    <x v="38"/>
  </r>
  <r>
    <n v="755"/>
    <s v="ASTILLERO"/>
    <s v="Señor"/>
    <x v="5"/>
    <s v="JUAN"/>
    <s v="ORELLANA"/>
    <s v="CASTILLO,"/>
    <x v="0"/>
    <s v="SINDICATO DE EMPLEADOS, PLANTA TALCAHUANO"/>
    <x v="3"/>
    <x v="38"/>
  </r>
  <r>
    <n v="756"/>
    <s v="ASTILLERO"/>
    <s v="Señora"/>
    <x v="5"/>
    <s v="JENNY"/>
    <s v="SOTO"/>
    <s v="CID,"/>
    <x v="0"/>
    <s v="SINDICATO DE FUNCIONARIOS, PLANTA TALCAHUANO"/>
    <x v="0"/>
    <x v="33"/>
  </r>
  <r>
    <n v="757"/>
    <s v="ASTILLERO"/>
    <s v="Señor"/>
    <x v="5"/>
    <s v="MIGUEL"/>
    <s v="BUSTOS"/>
    <s v="SAAVEDRA,"/>
    <x v="0"/>
    <s v="SINDICATO DE FUNCIONARIOS, PLANTA TALCAHUANO"/>
    <x v="2"/>
    <x v="33"/>
  </r>
  <r>
    <n v="758"/>
    <s v="ASTILLERO"/>
    <s v="Señor"/>
    <x v="5"/>
    <s v="LEONEL"/>
    <s v="GARCIA"/>
    <s v="MELGAREJO,"/>
    <x v="0"/>
    <s v="SINDICATO DE FUNCIONARIOS, PLANTA TALCAHUANO"/>
    <x v="4"/>
    <x v="33"/>
  </r>
  <r>
    <n v="759"/>
    <s v="ASTILLERO"/>
    <s v="Señor"/>
    <x v="5"/>
    <s v="ARIEL"/>
    <s v="GUTIERREZ"/>
    <s v="GONZALEZ,"/>
    <x v="0"/>
    <s v="SINDICATO DE FUNCIONARIOS, PLANTA TALCAHUANO"/>
    <x v="3"/>
    <x v="33"/>
  </r>
  <r>
    <n v="760"/>
    <s v="ASTILLERO"/>
    <s v="Señor"/>
    <x v="5"/>
    <s v="MAURICIO"/>
    <s v="HITZEN"/>
    <s v="DANYAU,"/>
    <x v="0"/>
    <s v="SINDICATO INTEREMPRESA DE SUPERVISORES, PLANTA TALCAHUANO "/>
    <x v="0"/>
    <x v="30"/>
  </r>
  <r>
    <n v="761"/>
    <s v="ASTILLERO"/>
    <s v="Señor"/>
    <x v="5"/>
    <s v="JUAN"/>
    <s v="ALARCON"/>
    <s v="COLOMA,"/>
    <x v="0"/>
    <s v="SINDICATO INTEREMPRESA DE SUPERVISORES, PLANTA TALCAHUANO "/>
    <x v="2"/>
    <x v="30"/>
  </r>
  <r>
    <n v="762"/>
    <s v="ASTILLERO"/>
    <s v="Señor"/>
    <x v="5"/>
    <s v="LUIS"/>
    <s v="RIQUELME"/>
    <s v="VERGARA,"/>
    <x v="0"/>
    <s v="SINDICATO INTEREMPRESA DE SUPERVISORES, PLANTA TALCAHUANO    "/>
    <x v="4"/>
    <x v="30"/>
  </r>
  <r>
    <n v="763"/>
    <s v="ASTILLERO"/>
    <s v="Señor"/>
    <x v="5"/>
    <s v="CRISTOBAL"/>
    <s v="GARAY"/>
    <s v="SALAZAR,"/>
    <x v="0"/>
    <s v="SINDICATO INTEREMPRESA DE SUPERVISORES, PLANTA TALCAHUANO "/>
    <x v="3"/>
    <x v="30"/>
  </r>
  <r>
    <n v="764"/>
    <s v="ASTILLERO"/>
    <s v="Señora"/>
    <x v="5"/>
    <s v="CAROLINA"/>
    <s v="SOTO"/>
    <s v="EPUÑÁN"/>
    <x v="0"/>
    <s v="ESPOSA SEÑOR SUBJEFE"/>
    <x v="0"/>
    <x v="31"/>
  </r>
  <r>
    <n v="765"/>
    <s v="ASTILLERO"/>
    <s v="Señora"/>
    <x v="5"/>
    <s v="Natalia"/>
    <s v="ESCOBAR"/>
    <s v="PACHECO"/>
    <x v="0"/>
    <s v="ESPOSA GERENTE DE LOGÍSTICA"/>
    <x v="2"/>
    <x v="31"/>
  </r>
  <r>
    <n v="766"/>
    <s v="ASTILLERO"/>
    <s v="Señora"/>
    <x v="5"/>
    <s v="GABRIELA"/>
    <s v="ERRÁZURIZ"/>
    <s v="CARDOEN"/>
    <x v="0"/>
    <s v="ESPOSA GERENTE DE CONSTRUCCIÓN NAVAL"/>
    <x v="0"/>
    <x v="25"/>
  </r>
  <r>
    <n v="767"/>
    <s v="ASTILLERO"/>
    <s v="Señora"/>
    <x v="5"/>
    <s v="JAVIERA"/>
    <s v="PAREDES"/>
    <s v="SILVA"/>
    <x v="0"/>
    <s v="ESPOSA GERENTE COMERCIAL"/>
    <x v="2"/>
    <x v="26"/>
  </r>
  <r>
    <n v="768"/>
    <s v="ASTILLERO"/>
    <s v="Señora"/>
    <x v="5"/>
    <s v="JOCELYN"/>
    <s v="AROS"/>
    <s v="MATURANA"/>
    <x v="0"/>
    <s v="ESPOSA GERENTE REPARACIONES"/>
    <x v="2"/>
    <x v="25"/>
  </r>
  <r>
    <n v="769"/>
    <s v="ASTILLERO"/>
    <s v="SEÑORITA"/>
    <x v="5"/>
    <s v="DANITZA"/>
    <s v="LASTRA"/>
    <m/>
    <x v="0"/>
    <s v="ESPOSA JEFE DEL TALLER DE INGENRIERÍA MECANICA"/>
    <x v="4"/>
    <x v="25"/>
  </r>
  <r>
    <n v="770"/>
    <s v="ASTILLERO"/>
    <s v="Señora"/>
    <x v="5"/>
    <s v="MICHEL"/>
    <s v="SÁEZ"/>
    <s v="SILVA"/>
    <x v="0"/>
    <s v="ESPOSA DEL JEFE DE PROYECTO CONSTRUCCIÓN NAVAL"/>
    <x v="2"/>
    <x v="22"/>
  </r>
  <r>
    <n v="771"/>
    <s v="ASTILLERO"/>
    <s v="Señora"/>
    <x v="5"/>
    <s v="CLAUDIA"/>
    <s v="VALDERRAMA"/>
    <s v="CARTES"/>
    <x v="0"/>
    <s v="ESPOSA DEL JEFE DEL DEPARTAMENTO DE INGENIERÍA NAVAL"/>
    <x v="4"/>
    <x v="31"/>
  </r>
  <r>
    <n v="772"/>
    <s v="ASTILLERO"/>
    <s v="Señora"/>
    <x v="5"/>
    <s v="JAVIERA"/>
    <s v="CARVALLO"/>
    <s v="JARA"/>
    <x v="0"/>
    <s v="ESPOSA JEFE DEL TALLER DE ARMAMENTOS."/>
    <x v="4"/>
    <x v="26"/>
  </r>
  <r>
    <n v="773"/>
    <s v="ASTILLERO"/>
    <s v="Señora"/>
    <x v="5"/>
    <s v="PAMELA"/>
    <s v="DIAZ"/>
    <s v="MALDONADO"/>
    <x v="0"/>
    <s v="ESPOSA CONDESTABLE MAYOR"/>
    <x v="4"/>
    <x v="22"/>
  </r>
  <r>
    <n v="774"/>
    <s v="ASTILLERO"/>
    <s v="SEÑORITA"/>
    <x v="5"/>
    <s v="ELISA"/>
    <s v="CASTILLO"/>
    <s v="KLAHN"/>
    <x v="0"/>
    <s v="HIJA SR ADMINISTRADOR"/>
    <x v="0"/>
    <x v="26"/>
  </r>
  <r>
    <n v="775"/>
    <s v="ASTILLERO"/>
    <s v="Señora"/>
    <x v="5"/>
    <s v="CRISTINA"/>
    <s v="GARCIA"/>
    <s v="CARRASCO"/>
    <x v="0"/>
    <s v="INVTADA POR RECOMOCIMIENTO AL SR. OSCAR RIQUELME GALAZ"/>
    <x v="0"/>
    <x v="45"/>
  </r>
  <r>
    <n v="776"/>
    <s v="ASTILLERO"/>
    <s v="Señora"/>
    <x v="5"/>
    <s v="JANET"/>
    <s v="CIFUENTES"/>
    <s v="CIFUENTES"/>
    <x v="0"/>
    <s v="INVITADA POR RECOCIMENTO AL SR. FRANCISCO SOLARI GALLARDO."/>
    <x v="0"/>
    <x v="11"/>
  </r>
  <r>
    <n v="777"/>
    <s v="ASTILLERO"/>
    <s v="Señora"/>
    <x v="5"/>
    <s v="KAREN"/>
    <s v="NÚÑEZ"/>
    <s v="SOTO"/>
    <x v="0"/>
    <s v="INVITADA POR RECOCIMENTO AL SR. JOSÉ REYES LÓPEZ"/>
    <x v="2"/>
    <x v="11"/>
  </r>
  <r>
    <n v="778"/>
    <s v="ASTILLERO"/>
    <s v="Señora"/>
    <x v="5"/>
    <s v="Adriana"/>
    <s v="GONZALEZ"/>
    <s v="FONSECA"/>
    <x v="0"/>
    <s v="INVITADA POR RECOCIMENTO AL SR. JAIME ARAVENA OBREQUE"/>
    <x v="4"/>
    <x v="11"/>
  </r>
  <r>
    <n v="779"/>
    <s v="ASTILLERO"/>
    <s v="Señora"/>
    <x v="5"/>
    <s v="IVAN"/>
    <s v="GUTIERREZ"/>
    <s v="PILAR"/>
    <x v="0"/>
    <s v="INVITADO POR RECOCIMENTO AL SR. IVAN GUTIERREZ VEGA"/>
    <x v="2"/>
    <x v="43"/>
  </r>
  <r>
    <n v="780"/>
    <s v="ASTILLERO"/>
    <s v="Señora"/>
    <x v="5"/>
    <s v="CINTHIA"/>
    <s v="PAVEZ"/>
    <s v="Salazar"/>
    <x v="0"/>
    <s v="INVITADA POR RECOCIMENTO AL SR. JOHN LEIGTON PALMA"/>
    <x v="2"/>
    <x v="45"/>
  </r>
  <r>
    <n v="781"/>
    <s v="ASTILLERO"/>
    <s v="SEÑORITA"/>
    <x v="5"/>
    <s v="SOFÍA"/>
    <s v="MONJES"/>
    <s v="PÉREZ"/>
    <x v="0"/>
    <s v="INVITADA POR RECOCIMENTO AL SR. MARIO MONJES PARRA"/>
    <x v="0"/>
    <x v="43"/>
  </r>
  <r>
    <n v="782"/>
    <s v="ASTILLERO"/>
    <s v="Señor"/>
    <x v="5"/>
    <s v="VICTOR"/>
    <s v="SOTO"/>
    <s v="Muñoz"/>
    <x v="0"/>
    <s v="INVITADO POR RECOCIMENTO A LA SRTA. FRANCISCA ALARCÓN SEGURA"/>
    <x v="4"/>
    <x v="45"/>
  </r>
  <r>
    <n v="783"/>
    <s v="ASTILLERO"/>
    <s v="Señor"/>
    <x v="5"/>
    <s v="FELIPE"/>
    <s v="SCHLACK"/>
    <s v="Muñoz"/>
    <x v="0"/>
    <s v="DIRECTOR ZONA SUR Y CONSEJERO NACIONAL CCHC CONCEPCIÓN"/>
    <x v="0"/>
    <x v="22"/>
  </r>
  <r>
    <n v="784"/>
    <s v="ASTILLERO"/>
    <s v="Señora"/>
    <x v="5"/>
    <s v="CLAUDIA"/>
    <s v="ZARALLO"/>
    <s v="Valdés"/>
    <x v="0"/>
    <s v="RAESNATALC"/>
    <x v="4"/>
    <x v="20"/>
  </r>
  <r>
    <n v="785"/>
    <s v="ASTILLERO"/>
    <s v="Señor"/>
    <x v="5"/>
    <s v="MARTIN"/>
    <s v="ALVAREZ"/>
    <s v="RIBERA"/>
    <x v="0"/>
    <s v="HIJO DRUA"/>
    <x v="2"/>
    <x v="20"/>
  </r>
  <r>
    <n v="786"/>
    <s v="ASTILLERO"/>
    <s v="Señor"/>
    <x v="5"/>
    <s v="LUIS"/>
    <s v="FUENTALBA"/>
    <m/>
    <x v="0"/>
    <s v="GEPRO"/>
    <x v="2"/>
    <x v="18"/>
  </r>
  <r>
    <n v="787"/>
    <s v="ASTILLERO"/>
    <s v="Señora"/>
    <x v="5"/>
    <s v="MACARENA"/>
    <s v="VERA"/>
    <s v="MESSER"/>
    <x v="0"/>
    <s v="GERENTE DESARROLLA BIOBIO"/>
    <x v="0"/>
    <x v="20"/>
  </r>
  <r>
    <n v="788"/>
    <s v="ASTILLERO"/>
    <s v="CN AB"/>
    <x v="5"/>
    <s v="MIGUEL"/>
    <s v="ACEVEDO"/>
    <s v="MONDACA"/>
    <x v="0"/>
    <s v="CONTRALORÍA"/>
    <x v="4"/>
    <x v="18"/>
  </r>
  <r>
    <n v="789"/>
    <s v="ASTILLERO"/>
    <s v="CN"/>
    <x v="5"/>
    <s v="RODRIGO"/>
    <s v="DANECK"/>
    <s v="GUERRA"/>
    <x v="0"/>
    <s v="SECRETGEN"/>
    <x v="0"/>
    <x v="18"/>
  </r>
  <r>
    <n v="790"/>
    <s v="ASTILLERO"/>
    <s v="Señor"/>
    <x v="5"/>
    <s v="BENJAMÍN"/>
    <s v="GERMANY"/>
    <s v="MORRISON"/>
    <x v="0"/>
    <s v="UNIVERDIDAD DE CONCEPCIÓN"/>
    <x v="4"/>
    <x v="43"/>
  </r>
  <r>
    <n v="791"/>
    <s v="ASTILLERO"/>
    <m/>
    <x v="5"/>
    <s v="DISPONIBLE"/>
    <m/>
    <m/>
    <x v="3"/>
    <m/>
    <x v="0"/>
    <x v="16"/>
  </r>
  <r>
    <n v="792"/>
    <s v="ASTILLERO"/>
    <m/>
    <x v="5"/>
    <s v="DISPONIBLE"/>
    <m/>
    <m/>
    <x v="3"/>
    <m/>
    <x v="0"/>
    <x v="14"/>
  </r>
  <r>
    <n v="793"/>
    <s v="ASTILLERO"/>
    <m/>
    <x v="5"/>
    <s v="DISPONIBLE"/>
    <m/>
    <m/>
    <x v="3"/>
    <m/>
    <x v="2"/>
    <x v="16"/>
  </r>
  <r>
    <n v="794"/>
    <s v="ASTILLERO"/>
    <m/>
    <x v="5"/>
    <s v="DISPONIBLE"/>
    <m/>
    <m/>
    <x v="3"/>
    <m/>
    <x v="2"/>
    <x v="14"/>
  </r>
  <r>
    <n v="795"/>
    <s v="ASTILLERO"/>
    <m/>
    <x v="5"/>
    <s v="DISPONIBLE"/>
    <m/>
    <m/>
    <x v="3"/>
    <m/>
    <x v="4"/>
    <x v="16"/>
  </r>
  <r>
    <n v="796"/>
    <s v="ASTILLERO"/>
    <m/>
    <x v="5"/>
    <s v="DISPONIBLE"/>
    <m/>
    <m/>
    <x v="3"/>
    <m/>
    <x v="4"/>
    <x v="14"/>
  </r>
  <r>
    <n v="797"/>
    <s v="ASTILLERO"/>
    <m/>
    <x v="5"/>
    <s v="DISPONIBLE"/>
    <m/>
    <m/>
    <x v="3"/>
    <m/>
    <x v="3"/>
    <x v="11"/>
  </r>
  <r>
    <n v="798"/>
    <s v="ASTILLERO"/>
    <m/>
    <x v="5"/>
    <s v="DISPONIBLE"/>
    <m/>
    <m/>
    <x v="3"/>
    <m/>
    <x v="3"/>
    <x v="45"/>
  </r>
  <r>
    <n v="799"/>
    <s v="ASTILLERO"/>
    <m/>
    <x v="5"/>
    <s v="DISPONIBLE"/>
    <m/>
    <m/>
    <x v="3"/>
    <m/>
    <x v="3"/>
    <x v="43"/>
  </r>
  <r>
    <n v="800"/>
    <s v="ASTILLERO"/>
    <m/>
    <x v="5"/>
    <s v="DISPONIBLE"/>
    <m/>
    <m/>
    <x v="3"/>
    <m/>
    <x v="3"/>
    <x v="31"/>
  </r>
  <r>
    <n v="801"/>
    <s v="ASTILLERO"/>
    <m/>
    <x v="5"/>
    <s v="DISPONIBLE"/>
    <m/>
    <m/>
    <x v="3"/>
    <m/>
    <x v="3"/>
    <x v="26"/>
  </r>
  <r>
    <n v="802"/>
    <s v="ASTILLERO"/>
    <m/>
    <x v="5"/>
    <s v="DISPONIBLE"/>
    <m/>
    <m/>
    <x v="3"/>
    <m/>
    <x v="3"/>
    <x v="25"/>
  </r>
  <r>
    <n v="803"/>
    <s v="ASTILLERO"/>
    <m/>
    <x v="5"/>
    <s v="DISPONIBLE"/>
    <m/>
    <m/>
    <x v="3"/>
    <m/>
    <x v="3"/>
    <x v="22"/>
  </r>
  <r>
    <n v="804"/>
    <s v="ASTILLERO"/>
    <m/>
    <x v="5"/>
    <s v="DISPONIBLE"/>
    <m/>
    <m/>
    <x v="3"/>
    <m/>
    <x v="3"/>
    <x v="20"/>
  </r>
  <r>
    <n v="805"/>
    <s v="ASTILLERO"/>
    <m/>
    <x v="5"/>
    <s v="DISPONIBLE"/>
    <m/>
    <m/>
    <x v="3"/>
    <m/>
    <x v="3"/>
    <x v="18"/>
  </r>
  <r>
    <n v="806"/>
    <s v="ASTILLERO"/>
    <m/>
    <x v="5"/>
    <s v="DISPONIBLE"/>
    <m/>
    <m/>
    <x v="3"/>
    <m/>
    <x v="3"/>
    <x v="16"/>
  </r>
  <r>
    <n v="807"/>
    <s v="ASTILLERO"/>
    <m/>
    <x v="5"/>
    <s v="DISPONIBLE"/>
    <m/>
    <m/>
    <x v="3"/>
    <m/>
    <x v="3"/>
    <x v="14"/>
  </r>
  <r>
    <n v="808"/>
    <s v="ASTILLERO"/>
    <m/>
    <x v="5"/>
    <s v="DISPONIBLE"/>
    <m/>
    <m/>
    <x v="3"/>
    <m/>
    <x v="5"/>
    <x v="11"/>
  </r>
  <r>
    <n v="809"/>
    <s v="ASTILLERO"/>
    <m/>
    <x v="5"/>
    <s v="DISPONIBLE"/>
    <m/>
    <m/>
    <x v="3"/>
    <m/>
    <x v="5"/>
    <x v="45"/>
  </r>
  <r>
    <n v="810"/>
    <s v="ASTILLERO"/>
    <m/>
    <x v="5"/>
    <s v="DISPONIBLE"/>
    <m/>
    <m/>
    <x v="3"/>
    <m/>
    <x v="5"/>
    <x v="43"/>
  </r>
  <r>
    <n v="811"/>
    <s v="ASTILLERO"/>
    <m/>
    <x v="5"/>
    <s v="DISPONIBLE"/>
    <m/>
    <m/>
    <x v="3"/>
    <m/>
    <x v="5"/>
    <x v="35"/>
  </r>
  <r>
    <n v="812"/>
    <s v="ASTILLERO"/>
    <m/>
    <x v="5"/>
    <s v="DISPONIBLE"/>
    <m/>
    <m/>
    <x v="3"/>
    <m/>
    <x v="5"/>
    <x v="40"/>
  </r>
  <r>
    <n v="813"/>
    <s v="ASTILLERO"/>
    <m/>
    <x v="5"/>
    <s v="DISPONIBLE"/>
    <m/>
    <m/>
    <x v="3"/>
    <m/>
    <x v="5"/>
    <x v="38"/>
  </r>
  <r>
    <n v="814"/>
    <s v="ASTILLERO"/>
    <m/>
    <x v="5"/>
    <s v="DISPONIBLE"/>
    <m/>
    <m/>
    <x v="3"/>
    <m/>
    <x v="5"/>
    <x v="33"/>
  </r>
  <r>
    <n v="815"/>
    <s v="ASTILLERO"/>
    <m/>
    <x v="5"/>
    <s v="DISPONIBLE"/>
    <m/>
    <m/>
    <x v="3"/>
    <m/>
    <x v="5"/>
    <x v="30"/>
  </r>
  <r>
    <n v="816"/>
    <s v="ASTILLERO"/>
    <m/>
    <x v="5"/>
    <s v="DISPONIBLE"/>
    <m/>
    <m/>
    <x v="3"/>
    <m/>
    <x v="5"/>
    <x v="31"/>
  </r>
  <r>
    <n v="817"/>
    <s v="ASTILLERO"/>
    <m/>
    <x v="5"/>
    <s v="DISPONIBLE"/>
    <m/>
    <m/>
    <x v="3"/>
    <m/>
    <x v="5"/>
    <x v="26"/>
  </r>
  <r>
    <n v="818"/>
    <s v="ASTILLERO"/>
    <m/>
    <x v="5"/>
    <s v="DISPONIBLE"/>
    <m/>
    <m/>
    <x v="3"/>
    <m/>
    <x v="5"/>
    <x v="25"/>
  </r>
  <r>
    <n v="819"/>
    <s v="ASTILLERO"/>
    <m/>
    <x v="5"/>
    <s v="DISPONIBLE"/>
    <m/>
    <m/>
    <x v="3"/>
    <m/>
    <x v="5"/>
    <x v="22"/>
  </r>
  <r>
    <n v="820"/>
    <s v="ASTILLERO"/>
    <m/>
    <x v="5"/>
    <s v="DISPONIBLE"/>
    <m/>
    <m/>
    <x v="3"/>
    <m/>
    <x v="5"/>
    <x v="20"/>
  </r>
  <r>
    <n v="821"/>
    <s v="ASTILLERO"/>
    <m/>
    <x v="5"/>
    <s v="DISPONIBLE"/>
    <m/>
    <m/>
    <x v="3"/>
    <m/>
    <x v="5"/>
    <x v="16"/>
  </r>
  <r>
    <n v="822"/>
    <s v="ASTILLERO"/>
    <m/>
    <x v="5"/>
    <s v="DISPONIBLE"/>
    <m/>
    <m/>
    <x v="3"/>
    <m/>
    <x v="5"/>
    <x v="14"/>
  </r>
  <r>
    <n v="823"/>
    <s v="ASMARTALC"/>
    <m/>
    <x v="3"/>
    <s v="DISPONIBLE"/>
    <m/>
    <m/>
    <x v="3"/>
    <m/>
    <x v="5"/>
    <x v="45"/>
  </r>
  <r>
    <n v="824"/>
    <s v="ASMARTALC"/>
    <m/>
    <x v="3"/>
    <s v="DISPONIBLE"/>
    <m/>
    <m/>
    <x v="3"/>
    <m/>
    <x v="5"/>
    <x v="43"/>
  </r>
  <r>
    <n v="825"/>
    <s v="ASMARTALC"/>
    <m/>
    <x v="3"/>
    <s v="DISPONIBLE"/>
    <m/>
    <m/>
    <x v="3"/>
    <m/>
    <x v="5"/>
    <x v="35"/>
  </r>
  <r>
    <n v="826"/>
    <s v="ASMARTALC"/>
    <m/>
    <x v="3"/>
    <s v="DISPONIBLE"/>
    <m/>
    <m/>
    <x v="3"/>
    <m/>
    <x v="5"/>
    <x v="40"/>
  </r>
  <r>
    <n v="827"/>
    <s v="ASMARTALC"/>
    <m/>
    <x v="3"/>
    <s v="DISPONIBLE"/>
    <m/>
    <m/>
    <x v="3"/>
    <m/>
    <x v="5"/>
    <x v="38"/>
  </r>
  <r>
    <n v="828"/>
    <s v="ASMARTALC"/>
    <m/>
    <x v="3"/>
    <s v="DISPONIBLE"/>
    <m/>
    <m/>
    <x v="3"/>
    <m/>
    <x v="5"/>
    <x v="33"/>
  </r>
  <r>
    <n v="829"/>
    <s v="ASMARTALC"/>
    <m/>
    <x v="3"/>
    <s v="DISPONIBLE"/>
    <m/>
    <m/>
    <x v="3"/>
    <m/>
    <x v="5"/>
    <x v="30"/>
  </r>
  <r>
    <n v="830"/>
    <s v="ASMARTALC"/>
    <m/>
    <x v="3"/>
    <s v="DISPONIBLE"/>
    <m/>
    <m/>
    <x v="3"/>
    <m/>
    <x v="5"/>
    <x v="31"/>
  </r>
  <r>
    <n v="831"/>
    <s v="ASMARTALC"/>
    <m/>
    <x v="3"/>
    <s v="DISPONIBLE"/>
    <m/>
    <m/>
    <x v="3"/>
    <m/>
    <x v="5"/>
    <x v="26"/>
  </r>
  <r>
    <n v="832"/>
    <s v="ASMARTALC"/>
    <m/>
    <x v="3"/>
    <s v="DISPONIBLE"/>
    <m/>
    <m/>
    <x v="3"/>
    <m/>
    <x v="5"/>
    <x v="25"/>
  </r>
  <r>
    <n v="833"/>
    <s v="ASMARTALC"/>
    <m/>
    <x v="3"/>
    <s v="DISPONIBLE"/>
    <m/>
    <m/>
    <x v="3"/>
    <m/>
    <x v="5"/>
    <x v="22"/>
  </r>
  <r>
    <n v="834"/>
    <s v="ASMARTALC"/>
    <m/>
    <x v="3"/>
    <s v="DISPONIBLE"/>
    <m/>
    <m/>
    <x v="3"/>
    <m/>
    <x v="5"/>
    <x v="20"/>
  </r>
  <r>
    <n v="835"/>
    <s v="INVITADOS ASMAR "/>
    <m/>
    <x v="3"/>
    <s v="Sergio "/>
    <s v="Vera"/>
    <s v="González"/>
    <x v="0"/>
    <s v="Sindicato de Tripulantes Pesquero Biobio"/>
    <x v="5"/>
    <x v="63"/>
  </r>
  <r>
    <n v="836"/>
    <s v="INVITADOS ASMAR "/>
    <m/>
    <x v="3"/>
    <s v="Freddy"/>
    <s v="Zambrano"/>
    <s v="Pérez"/>
    <x v="0"/>
    <s v="Sindicato Inchalam"/>
    <x v="5"/>
    <x v="64"/>
  </r>
  <r>
    <n v="837"/>
    <m/>
    <m/>
    <x v="3"/>
    <s v="Alvaro"/>
    <s v="Opazo"/>
    <m/>
    <x v="0"/>
    <s v="Aduanas"/>
    <x v="5"/>
    <x v="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ECC541-FC00-4876-ABFB-D0C27169C07F}" name="TablaDinámica1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O11" firstHeaderRow="1" firstDataRow="2" firstDataCol="1" rowPageCount="1" colPageCount="1"/>
  <pivotFields count="11">
    <pivotField showAll="0"/>
    <pivotField showAll="0"/>
    <pivotField showAll="0"/>
    <pivotField axis="axisPage" multipleItemSelectionAllowed="1" showAll="0">
      <items count="7">
        <item x="1"/>
        <item x="5"/>
        <item x="3"/>
        <item x="2"/>
        <item x="0"/>
        <item x="4"/>
        <item t="default"/>
      </items>
    </pivotField>
    <pivotField showAll="0"/>
    <pivotField showAll="0"/>
    <pivotField showAll="0"/>
    <pivotField dataField="1" showAll="0">
      <items count="5">
        <item x="1"/>
        <item x="2"/>
        <item x="0"/>
        <item x="3"/>
        <item t="default"/>
      </items>
    </pivotField>
    <pivotField showAll="0"/>
    <pivotField axis="axisRow" showAll="0">
      <items count="7">
        <item x="0"/>
        <item x="2"/>
        <item x="4"/>
        <item x="3"/>
        <item x="5"/>
        <item x="1"/>
        <item t="default"/>
      </items>
    </pivotField>
    <pivotField axis="axisCol" showAll="0">
      <items count="66">
        <item x="11"/>
        <item x="45"/>
        <item x="43"/>
        <item x="35"/>
        <item x="40"/>
        <item x="38"/>
        <item x="33"/>
        <item x="30"/>
        <item x="31"/>
        <item x="26"/>
        <item x="25"/>
        <item x="22"/>
        <item x="20"/>
        <item x="18"/>
        <item x="16"/>
        <item x="14"/>
        <item x="12"/>
        <item x="10"/>
        <item x="5"/>
        <item x="4"/>
        <item x="0"/>
        <item x="1"/>
        <item x="2"/>
        <item x="3"/>
        <item x="8"/>
        <item x="9"/>
        <item x="7"/>
        <item x="23"/>
        <item x="21"/>
        <item x="13"/>
        <item x="15"/>
        <item x="17"/>
        <item x="19"/>
        <item x="24"/>
        <item x="27"/>
        <item x="28"/>
        <item x="32"/>
        <item x="29"/>
        <item x="37"/>
        <item x="36"/>
        <item x="34"/>
        <item x="39"/>
        <item x="41"/>
        <item x="44"/>
        <item x="42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"/>
        <item t="default"/>
      </items>
    </pivotField>
  </pivotFields>
  <rowFields count="1">
    <field x="9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0"/>
  </colFields>
  <colItems count="6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 t="grand">
      <x/>
    </i>
  </colItems>
  <pageFields count="1">
    <pageField fld="3" hier="-1"/>
  </pageFields>
  <dataFields count="1">
    <dataField name="Cuenta de AST." fld="7" subtotal="count" baseField="0" baseItem="0"/>
  </dataFields>
  <formats count="8">
    <format dxfId="52">
      <pivotArea collapsedLevelsAreSubtotals="1" fieldPosition="0">
        <references count="2">
          <reference field="9" count="1">
            <x v="3"/>
          </reference>
          <reference field="10" count="6" selected="0">
            <x v="8"/>
            <x v="9"/>
            <x v="10"/>
            <x v="11"/>
            <x v="12"/>
            <x v="13"/>
          </reference>
        </references>
      </pivotArea>
    </format>
    <format dxfId="51">
      <pivotArea collapsedLevelsAreSubtotals="1" fieldPosition="0">
        <references count="2">
          <reference field="9" count="1">
            <x v="3"/>
          </reference>
          <reference field="10" count="6" selected="0">
            <x v="8"/>
            <x v="9"/>
            <x v="10"/>
            <x v="11"/>
            <x v="12"/>
            <x v="13"/>
          </reference>
        </references>
      </pivotArea>
    </format>
    <format dxfId="50">
      <pivotArea collapsedLevelsAreSubtotals="1" fieldPosition="0">
        <references count="2">
          <reference field="9" count="1">
            <x v="3"/>
          </reference>
          <reference field="10" count="3" selected="0">
            <x v="0"/>
            <x v="1"/>
            <x v="2"/>
          </reference>
        </references>
      </pivotArea>
    </format>
    <format dxfId="49">
      <pivotArea collapsedLevelsAreSubtotals="1" fieldPosition="0">
        <references count="2">
          <reference field="9" count="1">
            <x v="3"/>
          </reference>
          <reference field="10" count="3" selected="0">
            <x v="0"/>
            <x v="1"/>
            <x v="2"/>
          </reference>
        </references>
      </pivotArea>
    </format>
    <format dxfId="48">
      <pivotArea collapsedLevelsAreSubtotals="1" fieldPosition="0">
        <references count="2">
          <reference field="9" count="1">
            <x v="4"/>
          </reference>
          <reference field="10" count="14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47">
      <pivotArea collapsedLevelsAreSubtotals="1" fieldPosition="0">
        <references count="2">
          <reference field="9" count="1">
            <x v="4"/>
          </reference>
          <reference field="10" count="14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46">
      <pivotArea collapsedLevelsAreSubtotals="1" fieldPosition="0">
        <references count="2">
          <reference field="9" count="2">
            <x v="3"/>
            <x v="4"/>
          </reference>
          <reference field="10" count="14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  <format dxfId="45">
      <pivotArea collapsedLevelsAreSubtotals="1" fieldPosition="0">
        <references count="2">
          <reference field="9" count="2">
            <x v="3"/>
            <x v="4"/>
          </reference>
          <reference field="10" count="14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A838"/>
  <sheetViews>
    <sheetView zoomScale="60" zoomScaleNormal="60" workbookViewId="0">
      <selection activeCell="N58" sqref="N58"/>
    </sheetView>
  </sheetViews>
  <sheetFormatPr baseColWidth="10" defaultColWidth="14" defaultRowHeight="17" x14ac:dyDescent="0.4"/>
  <cols>
    <col min="1" max="1" width="8" style="1" customWidth="1"/>
    <col min="2" max="2" width="18" style="2" customWidth="1"/>
    <col min="3" max="3" width="26.7265625" style="2" customWidth="1"/>
    <col min="4" max="4" width="14" style="2" customWidth="1"/>
    <col min="5" max="5" width="18" style="2" customWidth="1"/>
    <col min="6" max="7" width="18" customWidth="1"/>
    <col min="8" max="8" width="17.54296875" style="3" customWidth="1"/>
    <col min="9" max="9" width="109.453125" style="4" customWidth="1"/>
    <col min="10" max="10" width="11.81640625" style="2" bestFit="1" customWidth="1"/>
    <col min="11" max="11" width="15.54296875" style="2" bestFit="1" customWidth="1"/>
    <col min="12" max="16384" width="14" style="4"/>
  </cols>
  <sheetData>
    <row r="1" spans="1:11" ht="18" customHeight="1" x14ac:dyDescent="0.4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33" t="s">
        <v>2225</v>
      </c>
      <c r="K1" s="33" t="s">
        <v>9</v>
      </c>
    </row>
    <row r="2" spans="1:11" ht="18" customHeight="1" x14ac:dyDescent="0.4">
      <c r="A2" s="6">
        <f>IF(COUNTA(B2:I2)=0,"",ROW()-1)</f>
        <v>1</v>
      </c>
      <c r="B2" s="7" t="s">
        <v>10</v>
      </c>
      <c r="C2" s="7" t="s">
        <v>11</v>
      </c>
      <c r="D2" s="8" t="s">
        <v>17</v>
      </c>
      <c r="E2" s="7" t="s">
        <v>12</v>
      </c>
      <c r="F2" s="7" t="s">
        <v>13</v>
      </c>
      <c r="G2" s="7" t="s">
        <v>14</v>
      </c>
      <c r="H2" s="46" t="s">
        <v>15</v>
      </c>
      <c r="I2" s="7" t="s">
        <v>16</v>
      </c>
      <c r="J2" s="34" t="s">
        <v>2155</v>
      </c>
      <c r="K2" s="34">
        <v>21</v>
      </c>
    </row>
    <row r="3" spans="1:11" ht="18" customHeight="1" x14ac:dyDescent="0.4">
      <c r="A3" s="9">
        <f>IF(COUNTA(B3:I3)=0,"",ROW()-1)</f>
        <v>2</v>
      </c>
      <c r="B3" s="10" t="s">
        <v>10</v>
      </c>
      <c r="C3" s="10" t="s">
        <v>18</v>
      </c>
      <c r="D3" s="11" t="s">
        <v>17</v>
      </c>
      <c r="E3" s="10" t="s">
        <v>19</v>
      </c>
      <c r="F3" s="10" t="s">
        <v>20</v>
      </c>
      <c r="G3" s="10" t="s">
        <v>21</v>
      </c>
      <c r="H3" s="46" t="s">
        <v>15</v>
      </c>
      <c r="I3" s="10" t="s">
        <v>22</v>
      </c>
      <c r="J3" s="34" t="s">
        <v>2155</v>
      </c>
      <c r="K3" s="34">
        <v>22</v>
      </c>
    </row>
    <row r="4" spans="1:11" ht="18" customHeight="1" x14ac:dyDescent="0.4">
      <c r="A4" s="6">
        <f>IF(COUNTA(B4:I4)=0,"",ROW()-1)</f>
        <v>3</v>
      </c>
      <c r="B4" s="7" t="s">
        <v>10</v>
      </c>
      <c r="C4" s="7" t="s">
        <v>23</v>
      </c>
      <c r="D4" s="8" t="s">
        <v>17</v>
      </c>
      <c r="E4" s="7" t="s">
        <v>24</v>
      </c>
      <c r="F4" s="7" t="s">
        <v>25</v>
      </c>
      <c r="G4" s="7" t="s">
        <v>26</v>
      </c>
      <c r="H4" s="46" t="s">
        <v>15</v>
      </c>
      <c r="I4" s="7" t="s">
        <v>27</v>
      </c>
      <c r="J4" s="34" t="s">
        <v>2155</v>
      </c>
      <c r="K4" s="34">
        <v>23</v>
      </c>
    </row>
    <row r="5" spans="1:11" ht="18" customHeight="1" x14ac:dyDescent="0.4">
      <c r="A5" s="6"/>
      <c r="B5" s="7"/>
      <c r="C5" s="7"/>
      <c r="D5" s="8" t="s">
        <v>17</v>
      </c>
      <c r="E5" s="7" t="s">
        <v>2228</v>
      </c>
      <c r="F5" s="7" t="s">
        <v>279</v>
      </c>
      <c r="G5" s="7"/>
      <c r="H5" s="46" t="s">
        <v>15</v>
      </c>
      <c r="I5" s="7" t="s">
        <v>2182</v>
      </c>
      <c r="J5" s="34" t="s">
        <v>2155</v>
      </c>
      <c r="K5" s="34">
        <v>24</v>
      </c>
    </row>
    <row r="6" spans="1:11" ht="18" customHeight="1" x14ac:dyDescent="0.4">
      <c r="A6" s="9">
        <f t="shared" ref="A6:A24" si="0">IF(COUNTA(B6:I6)=0,"",ROW()-1)</f>
        <v>5</v>
      </c>
      <c r="B6" s="10" t="s">
        <v>10</v>
      </c>
      <c r="C6" s="10" t="s">
        <v>28</v>
      </c>
      <c r="D6" s="11" t="s">
        <v>17</v>
      </c>
      <c r="E6" s="10" t="s">
        <v>24</v>
      </c>
      <c r="F6" s="10" t="s">
        <v>29</v>
      </c>
      <c r="G6" s="10" t="s">
        <v>30</v>
      </c>
      <c r="H6" s="46" t="s">
        <v>15</v>
      </c>
      <c r="I6" s="10" t="s">
        <v>31</v>
      </c>
      <c r="J6" s="34" t="s">
        <v>2155</v>
      </c>
      <c r="K6" s="34">
        <v>20</v>
      </c>
    </row>
    <row r="7" spans="1:11" ht="18" customHeight="1" x14ac:dyDescent="0.4">
      <c r="A7" s="6">
        <f t="shared" si="0"/>
        <v>6</v>
      </c>
      <c r="B7" s="7" t="s">
        <v>10</v>
      </c>
      <c r="C7" s="7" t="s">
        <v>32</v>
      </c>
      <c r="D7" s="8" t="s">
        <v>17</v>
      </c>
      <c r="E7" s="7" t="s">
        <v>33</v>
      </c>
      <c r="F7" s="7" t="s">
        <v>34</v>
      </c>
      <c r="G7" s="7" t="s">
        <v>35</v>
      </c>
      <c r="H7" s="46" t="s">
        <v>15</v>
      </c>
      <c r="I7" s="7" t="s">
        <v>36</v>
      </c>
      <c r="J7" s="34" t="s">
        <v>2155</v>
      </c>
      <c r="K7" s="34">
        <v>19</v>
      </c>
    </row>
    <row r="8" spans="1:11" ht="18" hidden="1" customHeight="1" x14ac:dyDescent="0.4">
      <c r="A8" s="9">
        <f t="shared" si="0"/>
        <v>7</v>
      </c>
      <c r="B8" s="10" t="s">
        <v>10</v>
      </c>
      <c r="C8" s="10" t="s">
        <v>32</v>
      </c>
      <c r="D8" s="11" t="s">
        <v>2229</v>
      </c>
      <c r="E8" s="10" t="s">
        <v>37</v>
      </c>
      <c r="F8" s="10" t="s">
        <v>38</v>
      </c>
      <c r="G8" s="10" t="s">
        <v>39</v>
      </c>
      <c r="H8" s="47" t="s">
        <v>49</v>
      </c>
      <c r="I8" s="10" t="s">
        <v>2152</v>
      </c>
      <c r="J8" s="34"/>
      <c r="K8" s="34"/>
    </row>
    <row r="9" spans="1:11" ht="18" customHeight="1" x14ac:dyDescent="0.4">
      <c r="A9" s="6">
        <f t="shared" si="0"/>
        <v>8</v>
      </c>
      <c r="B9" s="7" t="s">
        <v>10</v>
      </c>
      <c r="C9" s="7" t="s">
        <v>41</v>
      </c>
      <c r="D9" s="8" t="s">
        <v>17</v>
      </c>
      <c r="E9" s="7" t="s">
        <v>42</v>
      </c>
      <c r="F9" s="7" t="s">
        <v>43</v>
      </c>
      <c r="G9" s="7" t="s">
        <v>25</v>
      </c>
      <c r="H9" s="46" t="s">
        <v>15</v>
      </c>
      <c r="I9" s="7" t="s">
        <v>44</v>
      </c>
      <c r="J9" s="34" t="s">
        <v>2155</v>
      </c>
      <c r="K9" s="34">
        <v>27</v>
      </c>
    </row>
    <row r="10" spans="1:11" ht="18" hidden="1" customHeight="1" x14ac:dyDescent="0.4">
      <c r="A10" s="9">
        <f t="shared" si="0"/>
        <v>9</v>
      </c>
      <c r="B10" s="10" t="s">
        <v>10</v>
      </c>
      <c r="C10" s="10" t="s">
        <v>45</v>
      </c>
      <c r="D10" s="11" t="s">
        <v>2229</v>
      </c>
      <c r="E10" s="10" t="s">
        <v>46</v>
      </c>
      <c r="F10" s="10" t="s">
        <v>47</v>
      </c>
      <c r="G10" s="10" t="s">
        <v>48</v>
      </c>
      <c r="H10" s="48" t="s">
        <v>49</v>
      </c>
      <c r="I10" s="10" t="s">
        <v>50</v>
      </c>
      <c r="J10" s="34"/>
      <c r="K10" s="34"/>
    </row>
    <row r="11" spans="1:11" ht="18" hidden="1" customHeight="1" x14ac:dyDescent="0.4">
      <c r="A11" s="6">
        <f t="shared" si="0"/>
        <v>10</v>
      </c>
      <c r="B11" s="7" t="s">
        <v>10</v>
      </c>
      <c r="C11" s="7" t="s">
        <v>11</v>
      </c>
      <c r="D11" s="8" t="s">
        <v>2229</v>
      </c>
      <c r="E11" s="7" t="s">
        <v>51</v>
      </c>
      <c r="F11" s="7" t="s">
        <v>52</v>
      </c>
      <c r="G11" s="7" t="s">
        <v>53</v>
      </c>
      <c r="H11" s="47" t="s">
        <v>49</v>
      </c>
      <c r="I11" s="7" t="s">
        <v>54</v>
      </c>
      <c r="J11" s="34"/>
      <c r="K11" s="34"/>
    </row>
    <row r="12" spans="1:11" ht="18" hidden="1" customHeight="1" x14ac:dyDescent="0.4">
      <c r="A12" s="9">
        <f t="shared" si="0"/>
        <v>11</v>
      </c>
      <c r="B12" s="10" t="s">
        <v>10</v>
      </c>
      <c r="C12" s="10" t="s">
        <v>11</v>
      </c>
      <c r="D12" s="11" t="s">
        <v>2229</v>
      </c>
      <c r="E12" s="10" t="s">
        <v>55</v>
      </c>
      <c r="F12" s="10" t="s">
        <v>56</v>
      </c>
      <c r="G12" s="10" t="s">
        <v>57</v>
      </c>
      <c r="H12" s="47" t="s">
        <v>49</v>
      </c>
      <c r="I12" s="10" t="s">
        <v>58</v>
      </c>
      <c r="J12" s="34"/>
      <c r="K12" s="34"/>
    </row>
    <row r="13" spans="1:11" ht="18" hidden="1" customHeight="1" x14ac:dyDescent="0.4">
      <c r="A13" s="6">
        <f t="shared" si="0"/>
        <v>12</v>
      </c>
      <c r="B13" s="7" t="s">
        <v>10</v>
      </c>
      <c r="C13" s="7" t="s">
        <v>11</v>
      </c>
      <c r="D13" s="8" t="s">
        <v>2229</v>
      </c>
      <c r="E13" s="7" t="s">
        <v>59</v>
      </c>
      <c r="F13" s="7" t="s">
        <v>60</v>
      </c>
      <c r="G13" s="7" t="s">
        <v>61</v>
      </c>
      <c r="H13" s="47" t="s">
        <v>49</v>
      </c>
      <c r="I13" s="7" t="s">
        <v>54</v>
      </c>
      <c r="J13" s="34"/>
      <c r="K13" s="34"/>
    </row>
    <row r="14" spans="1:11" ht="18" hidden="1" customHeight="1" x14ac:dyDescent="0.4">
      <c r="A14" s="9">
        <f t="shared" si="0"/>
        <v>13</v>
      </c>
      <c r="B14" s="10" t="s">
        <v>10</v>
      </c>
      <c r="C14" s="10" t="s">
        <v>11</v>
      </c>
      <c r="D14" s="11" t="s">
        <v>2229</v>
      </c>
      <c r="E14" s="10" t="s">
        <v>62</v>
      </c>
      <c r="F14" s="10" t="s">
        <v>63</v>
      </c>
      <c r="G14" s="10" t="s">
        <v>64</v>
      </c>
      <c r="H14" s="47" t="s">
        <v>49</v>
      </c>
      <c r="I14" s="10" t="s">
        <v>54</v>
      </c>
      <c r="J14" s="34"/>
      <c r="K14" s="34"/>
    </row>
    <row r="15" spans="1:11" ht="18" hidden="1" customHeight="1" x14ac:dyDescent="0.4">
      <c r="A15" s="6">
        <f t="shared" si="0"/>
        <v>14</v>
      </c>
      <c r="B15" s="7" t="s">
        <v>10</v>
      </c>
      <c r="C15" s="7" t="s">
        <v>65</v>
      </c>
      <c r="D15" s="8" t="s">
        <v>2229</v>
      </c>
      <c r="E15" s="7" t="s">
        <v>66</v>
      </c>
      <c r="F15" s="7" t="s">
        <v>67</v>
      </c>
      <c r="G15" s="7" t="s">
        <v>68</v>
      </c>
      <c r="H15" s="48" t="s">
        <v>49</v>
      </c>
      <c r="I15" s="7" t="s">
        <v>69</v>
      </c>
      <c r="J15" s="34"/>
      <c r="K15" s="34"/>
    </row>
    <row r="16" spans="1:11" ht="18" hidden="1" customHeight="1" x14ac:dyDescent="0.4">
      <c r="A16" s="9">
        <f t="shared" si="0"/>
        <v>15</v>
      </c>
      <c r="B16" s="10" t="s">
        <v>10</v>
      </c>
      <c r="C16" s="10" t="s">
        <v>70</v>
      </c>
      <c r="D16" s="11" t="s">
        <v>2229</v>
      </c>
      <c r="E16" s="10" t="s">
        <v>71</v>
      </c>
      <c r="F16" s="10" t="s">
        <v>72</v>
      </c>
      <c r="G16" s="10" t="s">
        <v>73</v>
      </c>
      <c r="H16" s="48" t="s">
        <v>49</v>
      </c>
      <c r="I16" s="10" t="s">
        <v>74</v>
      </c>
      <c r="J16" s="34"/>
      <c r="K16" s="34"/>
    </row>
    <row r="17" spans="1:11" ht="18" hidden="1" customHeight="1" x14ac:dyDescent="0.4">
      <c r="A17" s="6">
        <f t="shared" si="0"/>
        <v>16</v>
      </c>
      <c r="B17" s="7" t="s">
        <v>10</v>
      </c>
      <c r="C17" s="7" t="s">
        <v>75</v>
      </c>
      <c r="D17" s="8" t="s">
        <v>2229</v>
      </c>
      <c r="E17" s="7" t="s">
        <v>76</v>
      </c>
      <c r="F17" s="7" t="s">
        <v>77</v>
      </c>
      <c r="G17" s="7" t="s">
        <v>78</v>
      </c>
      <c r="H17" s="48" t="s">
        <v>49</v>
      </c>
      <c r="I17" s="7" t="s">
        <v>79</v>
      </c>
      <c r="J17" s="34"/>
      <c r="K17" s="34"/>
    </row>
    <row r="18" spans="1:11" ht="18" customHeight="1" x14ac:dyDescent="0.4">
      <c r="A18" s="9">
        <f t="shared" si="0"/>
        <v>17</v>
      </c>
      <c r="B18" s="10" t="s">
        <v>10</v>
      </c>
      <c r="C18" s="10" t="s">
        <v>23</v>
      </c>
      <c r="D18" s="11" t="s">
        <v>17</v>
      </c>
      <c r="E18" s="10" t="s">
        <v>80</v>
      </c>
      <c r="F18" s="10" t="s">
        <v>81</v>
      </c>
      <c r="G18" s="10" t="s">
        <v>82</v>
      </c>
      <c r="H18" s="47" t="s">
        <v>15</v>
      </c>
      <c r="I18" s="10" t="s">
        <v>83</v>
      </c>
      <c r="J18" s="34" t="s">
        <v>2155</v>
      </c>
      <c r="K18" s="34">
        <v>25</v>
      </c>
    </row>
    <row r="19" spans="1:11" ht="18" hidden="1" customHeight="1" x14ac:dyDescent="0.4">
      <c r="A19" s="6">
        <f t="shared" si="0"/>
        <v>18</v>
      </c>
      <c r="B19" s="7" t="s">
        <v>10</v>
      </c>
      <c r="C19" s="7" t="s">
        <v>23</v>
      </c>
      <c r="D19" s="8" t="s">
        <v>2229</v>
      </c>
      <c r="E19" s="7" t="s">
        <v>84</v>
      </c>
      <c r="F19" s="7" t="s">
        <v>72</v>
      </c>
      <c r="G19" s="7" t="s">
        <v>85</v>
      </c>
      <c r="H19" s="48" t="s">
        <v>49</v>
      </c>
      <c r="I19" s="7" t="s">
        <v>86</v>
      </c>
      <c r="J19" s="34"/>
      <c r="K19" s="34"/>
    </row>
    <row r="20" spans="1:11" ht="18" hidden="1" customHeight="1" x14ac:dyDescent="0.4">
      <c r="A20" s="9">
        <f t="shared" si="0"/>
        <v>19</v>
      </c>
      <c r="B20" s="10" t="s">
        <v>10</v>
      </c>
      <c r="C20" s="10" t="s">
        <v>23</v>
      </c>
      <c r="D20" s="11" t="s">
        <v>2229</v>
      </c>
      <c r="E20" s="10" t="s">
        <v>46</v>
      </c>
      <c r="F20" s="10" t="s">
        <v>87</v>
      </c>
      <c r="G20" s="10" t="s">
        <v>88</v>
      </c>
      <c r="H20" s="48" t="s">
        <v>49</v>
      </c>
      <c r="I20" s="10" t="s">
        <v>89</v>
      </c>
      <c r="J20" s="34"/>
      <c r="K20" s="34"/>
    </row>
    <row r="21" spans="1:11" ht="18" hidden="1" customHeight="1" x14ac:dyDescent="0.4">
      <c r="A21" s="6">
        <f t="shared" si="0"/>
        <v>20</v>
      </c>
      <c r="B21" s="7" t="s">
        <v>10</v>
      </c>
      <c r="C21" s="7" t="s">
        <v>23</v>
      </c>
      <c r="D21" s="8" t="s">
        <v>2229</v>
      </c>
      <c r="E21" s="7" t="s">
        <v>90</v>
      </c>
      <c r="F21" s="7" t="s">
        <v>91</v>
      </c>
      <c r="G21" s="7" t="s">
        <v>92</v>
      </c>
      <c r="H21" s="48" t="s">
        <v>49</v>
      </c>
      <c r="I21" s="7" t="s">
        <v>93</v>
      </c>
      <c r="J21" s="34"/>
      <c r="K21" s="34"/>
    </row>
    <row r="22" spans="1:11" ht="18" hidden="1" customHeight="1" x14ac:dyDescent="0.4">
      <c r="A22" s="9">
        <f t="shared" si="0"/>
        <v>21</v>
      </c>
      <c r="B22" s="10" t="s">
        <v>10</v>
      </c>
      <c r="C22" s="10" t="s">
        <v>23</v>
      </c>
      <c r="D22" s="11" t="s">
        <v>2229</v>
      </c>
      <c r="E22" s="10" t="s">
        <v>94</v>
      </c>
      <c r="F22" s="10" t="s">
        <v>95</v>
      </c>
      <c r="G22" s="10" t="s">
        <v>96</v>
      </c>
      <c r="H22" s="48" t="s">
        <v>49</v>
      </c>
      <c r="I22" s="10" t="s">
        <v>97</v>
      </c>
      <c r="J22" s="34"/>
      <c r="K22" s="34"/>
    </row>
    <row r="23" spans="1:11" ht="18" hidden="1" customHeight="1" x14ac:dyDescent="0.4">
      <c r="A23" s="6">
        <f t="shared" si="0"/>
        <v>22</v>
      </c>
      <c r="B23" s="7" t="s">
        <v>10</v>
      </c>
      <c r="C23" s="7" t="s">
        <v>23</v>
      </c>
      <c r="D23" s="8" t="s">
        <v>2229</v>
      </c>
      <c r="E23" s="7" t="s">
        <v>98</v>
      </c>
      <c r="F23" s="7" t="s">
        <v>99</v>
      </c>
      <c r="G23" s="7" t="s">
        <v>100</v>
      </c>
      <c r="H23" s="48" t="s">
        <v>49</v>
      </c>
      <c r="I23" s="7" t="s">
        <v>101</v>
      </c>
      <c r="J23" s="34"/>
      <c r="K23" s="34"/>
    </row>
    <row r="24" spans="1:11" ht="18" hidden="1" customHeight="1" x14ac:dyDescent="0.4">
      <c r="A24" s="9">
        <f t="shared" si="0"/>
        <v>23</v>
      </c>
      <c r="B24" s="10" t="s">
        <v>10</v>
      </c>
      <c r="C24" s="10" t="s">
        <v>23</v>
      </c>
      <c r="D24" s="11" t="s">
        <v>2229</v>
      </c>
      <c r="E24" s="10" t="s">
        <v>102</v>
      </c>
      <c r="F24" s="10" t="s">
        <v>103</v>
      </c>
      <c r="G24" s="10" t="s">
        <v>104</v>
      </c>
      <c r="H24" s="47" t="s">
        <v>49</v>
      </c>
      <c r="I24" s="10" t="s">
        <v>105</v>
      </c>
      <c r="J24" s="34"/>
      <c r="K24" s="34"/>
    </row>
    <row r="25" spans="1:11" ht="18" customHeight="1" x14ac:dyDescent="0.4">
      <c r="A25" s="9"/>
      <c r="B25" s="10" t="s">
        <v>10</v>
      </c>
      <c r="C25" s="10" t="s">
        <v>23</v>
      </c>
      <c r="D25" s="11" t="s">
        <v>17</v>
      </c>
      <c r="E25" s="10" t="s">
        <v>42</v>
      </c>
      <c r="F25" s="10" t="s">
        <v>2196</v>
      </c>
      <c r="G25" s="10" t="s">
        <v>2198</v>
      </c>
      <c r="H25" s="47" t="s">
        <v>15</v>
      </c>
      <c r="I25" s="10" t="s">
        <v>2197</v>
      </c>
      <c r="J25" s="34" t="s">
        <v>2155</v>
      </c>
      <c r="K25" s="34">
        <v>26</v>
      </c>
    </row>
    <row r="26" spans="1:11" ht="18" hidden="1" customHeight="1" x14ac:dyDescent="0.4">
      <c r="A26" s="6">
        <f t="shared" ref="A26:A65" si="1">IF(COUNTA(B26:I26)=0,"",ROW()-1)</f>
        <v>25</v>
      </c>
      <c r="B26" s="7" t="s">
        <v>10</v>
      </c>
      <c r="C26" s="7" t="s">
        <v>23</v>
      </c>
      <c r="D26" s="8" t="s">
        <v>2229</v>
      </c>
      <c r="E26" s="7" t="s">
        <v>106</v>
      </c>
      <c r="F26" s="7" t="s">
        <v>107</v>
      </c>
      <c r="G26" s="7" t="s">
        <v>96</v>
      </c>
      <c r="H26" s="47" t="s">
        <v>49</v>
      </c>
      <c r="I26" s="7" t="s">
        <v>108</v>
      </c>
      <c r="J26" s="34"/>
      <c r="K26" s="34"/>
    </row>
    <row r="27" spans="1:11" ht="18" hidden="1" customHeight="1" x14ac:dyDescent="0.4">
      <c r="A27" s="9">
        <f t="shared" si="1"/>
        <v>26</v>
      </c>
      <c r="B27" s="10" t="s">
        <v>10</v>
      </c>
      <c r="C27" s="10" t="s">
        <v>23</v>
      </c>
      <c r="D27" s="11" t="s">
        <v>2229</v>
      </c>
      <c r="E27" s="10" t="s">
        <v>109</v>
      </c>
      <c r="F27" s="10" t="s">
        <v>110</v>
      </c>
      <c r="G27" s="10" t="s">
        <v>111</v>
      </c>
      <c r="H27" s="48" t="s">
        <v>49</v>
      </c>
      <c r="I27" s="10" t="s">
        <v>112</v>
      </c>
      <c r="J27" s="34"/>
      <c r="K27" s="34"/>
    </row>
    <row r="28" spans="1:11" ht="18" hidden="1" customHeight="1" x14ac:dyDescent="0.4">
      <c r="A28" s="6">
        <f t="shared" si="1"/>
        <v>27</v>
      </c>
      <c r="B28" s="7" t="s">
        <v>10</v>
      </c>
      <c r="C28" s="7" t="s">
        <v>23</v>
      </c>
      <c r="D28" s="8" t="s">
        <v>2229</v>
      </c>
      <c r="E28" s="7" t="s">
        <v>84</v>
      </c>
      <c r="F28" s="7" t="s">
        <v>113</v>
      </c>
      <c r="G28" s="7" t="s">
        <v>114</v>
      </c>
      <c r="H28" s="47" t="s">
        <v>49</v>
      </c>
      <c r="I28" s="7" t="s">
        <v>115</v>
      </c>
      <c r="J28" s="34"/>
      <c r="K28" s="34"/>
    </row>
    <row r="29" spans="1:11" ht="18" customHeight="1" x14ac:dyDescent="0.4">
      <c r="A29" s="9">
        <f t="shared" si="1"/>
        <v>28</v>
      </c>
      <c r="B29" s="10" t="s">
        <v>10</v>
      </c>
      <c r="C29" s="10" t="s">
        <v>23</v>
      </c>
      <c r="D29" s="11" t="s">
        <v>17</v>
      </c>
      <c r="E29" s="10" t="s">
        <v>106</v>
      </c>
      <c r="F29" s="10" t="s">
        <v>116</v>
      </c>
      <c r="G29" s="10" t="s">
        <v>117</v>
      </c>
      <c r="H29" s="48" t="s">
        <v>15</v>
      </c>
      <c r="I29" s="10" t="s">
        <v>118</v>
      </c>
      <c r="J29" s="34" t="s">
        <v>2155</v>
      </c>
      <c r="K29" s="34">
        <v>18</v>
      </c>
    </row>
    <row r="30" spans="1:11" ht="18" customHeight="1" x14ac:dyDescent="0.4">
      <c r="A30" s="9">
        <f t="shared" si="1"/>
        <v>29</v>
      </c>
      <c r="B30" s="10" t="s">
        <v>548</v>
      </c>
      <c r="C30" s="10" t="s">
        <v>549</v>
      </c>
      <c r="D30" s="11" t="s">
        <v>2173</v>
      </c>
      <c r="E30" s="10" t="s">
        <v>550</v>
      </c>
      <c r="F30" s="10" t="s">
        <v>551</v>
      </c>
      <c r="G30" s="10" t="s">
        <v>552</v>
      </c>
      <c r="H30" s="46" t="s">
        <v>15</v>
      </c>
      <c r="I30" s="10" t="s">
        <v>553</v>
      </c>
      <c r="J30" s="34" t="s">
        <v>2155</v>
      </c>
      <c r="K30" s="34">
        <v>1</v>
      </c>
    </row>
    <row r="31" spans="1:11" ht="18" hidden="1" customHeight="1" x14ac:dyDescent="0.4">
      <c r="A31" s="6">
        <f t="shared" si="1"/>
        <v>30</v>
      </c>
      <c r="B31" s="7" t="s">
        <v>10</v>
      </c>
      <c r="C31" s="7" t="s">
        <v>23</v>
      </c>
      <c r="D31" s="8" t="s">
        <v>2229</v>
      </c>
      <c r="E31" s="7" t="s">
        <v>46</v>
      </c>
      <c r="F31" s="7" t="s">
        <v>119</v>
      </c>
      <c r="G31" s="7" t="s">
        <v>120</v>
      </c>
      <c r="H31" s="48" t="s">
        <v>49</v>
      </c>
      <c r="I31" s="7" t="s">
        <v>121</v>
      </c>
      <c r="J31" s="34"/>
      <c r="K31" s="34"/>
    </row>
    <row r="32" spans="1:11" ht="18" hidden="1" customHeight="1" x14ac:dyDescent="0.4">
      <c r="A32" s="9">
        <f t="shared" si="1"/>
        <v>31</v>
      </c>
      <c r="B32" s="10" t="s">
        <v>10</v>
      </c>
      <c r="C32" s="10" t="s">
        <v>23</v>
      </c>
      <c r="D32" s="11" t="s">
        <v>2229</v>
      </c>
      <c r="E32" s="10" t="s">
        <v>122</v>
      </c>
      <c r="F32" s="10" t="s">
        <v>123</v>
      </c>
      <c r="G32" s="10" t="s">
        <v>124</v>
      </c>
      <c r="H32" s="47" t="s">
        <v>49</v>
      </c>
      <c r="I32" s="10" t="s">
        <v>125</v>
      </c>
      <c r="J32" s="34"/>
      <c r="K32" s="34"/>
    </row>
    <row r="33" spans="1:11" ht="18" hidden="1" customHeight="1" x14ac:dyDescent="0.4">
      <c r="A33" s="6">
        <f t="shared" si="1"/>
        <v>32</v>
      </c>
      <c r="B33" s="7" t="s">
        <v>10</v>
      </c>
      <c r="C33" s="7" t="s">
        <v>23</v>
      </c>
      <c r="D33" s="8" t="s">
        <v>2229</v>
      </c>
      <c r="E33" s="7" t="s">
        <v>126</v>
      </c>
      <c r="F33" s="7" t="s">
        <v>127</v>
      </c>
      <c r="G33" s="7" t="s">
        <v>128</v>
      </c>
      <c r="H33" s="47" t="s">
        <v>49</v>
      </c>
      <c r="I33" s="7" t="s">
        <v>125</v>
      </c>
      <c r="J33" s="34"/>
      <c r="K33" s="34"/>
    </row>
    <row r="34" spans="1:11" ht="18" hidden="1" customHeight="1" x14ac:dyDescent="0.4">
      <c r="A34" s="9">
        <f t="shared" si="1"/>
        <v>33</v>
      </c>
      <c r="B34" s="10" t="s">
        <v>10</v>
      </c>
      <c r="C34" s="10" t="s">
        <v>129</v>
      </c>
      <c r="D34" s="11" t="s">
        <v>2229</v>
      </c>
      <c r="E34" s="10" t="s">
        <v>130</v>
      </c>
      <c r="F34" s="10" t="s">
        <v>131</v>
      </c>
      <c r="G34" s="10"/>
      <c r="H34" s="48" t="s">
        <v>49</v>
      </c>
      <c r="I34" s="10" t="s">
        <v>132</v>
      </c>
      <c r="J34" s="34"/>
      <c r="K34" s="34"/>
    </row>
    <row r="35" spans="1:11" ht="18" hidden="1" customHeight="1" x14ac:dyDescent="0.4">
      <c r="A35" s="6">
        <f t="shared" si="1"/>
        <v>34</v>
      </c>
      <c r="B35" s="7" t="s">
        <v>10</v>
      </c>
      <c r="C35" s="7" t="s">
        <v>129</v>
      </c>
      <c r="D35" s="8" t="s">
        <v>2229</v>
      </c>
      <c r="E35" s="7" t="s">
        <v>133</v>
      </c>
      <c r="F35" s="7" t="s">
        <v>134</v>
      </c>
      <c r="G35" s="7" t="s">
        <v>135</v>
      </c>
      <c r="H35" s="47" t="s">
        <v>49</v>
      </c>
      <c r="I35" s="7" t="s">
        <v>136</v>
      </c>
      <c r="J35" s="34"/>
      <c r="K35" s="34"/>
    </row>
    <row r="36" spans="1:11" ht="18" hidden="1" customHeight="1" x14ac:dyDescent="0.4">
      <c r="A36" s="9">
        <f t="shared" si="1"/>
        <v>35</v>
      </c>
      <c r="B36" s="10" t="s">
        <v>10</v>
      </c>
      <c r="C36" s="10" t="s">
        <v>129</v>
      </c>
      <c r="D36" s="11" t="s">
        <v>2229</v>
      </c>
      <c r="E36" s="10" t="s">
        <v>137</v>
      </c>
      <c r="F36" s="10" t="s">
        <v>138</v>
      </c>
      <c r="G36" s="10"/>
      <c r="H36" s="47" t="s">
        <v>49</v>
      </c>
      <c r="I36" s="10" t="s">
        <v>139</v>
      </c>
      <c r="J36" s="34"/>
      <c r="K36" s="34"/>
    </row>
    <row r="37" spans="1:11" ht="18" customHeight="1" x14ac:dyDescent="0.4">
      <c r="A37" s="6">
        <f t="shared" si="1"/>
        <v>36</v>
      </c>
      <c r="B37" s="7" t="s">
        <v>10</v>
      </c>
      <c r="C37" s="7" t="s">
        <v>129</v>
      </c>
      <c r="D37" s="8" t="s">
        <v>17</v>
      </c>
      <c r="E37" s="7" t="s">
        <v>140</v>
      </c>
      <c r="F37" s="7" t="s">
        <v>141</v>
      </c>
      <c r="G37" s="7"/>
      <c r="H37" s="47" t="s">
        <v>15</v>
      </c>
      <c r="I37" s="7" t="s">
        <v>142</v>
      </c>
      <c r="J37" s="34" t="s">
        <v>2155</v>
      </c>
      <c r="K37" s="34">
        <v>17</v>
      </c>
    </row>
    <row r="38" spans="1:11" ht="18" hidden="1" customHeight="1" x14ac:dyDescent="0.4">
      <c r="A38" s="9">
        <f t="shared" si="1"/>
        <v>37</v>
      </c>
      <c r="B38" s="10" t="s">
        <v>10</v>
      </c>
      <c r="C38" s="10" t="s">
        <v>129</v>
      </c>
      <c r="D38" s="11" t="s">
        <v>2229</v>
      </c>
      <c r="E38" s="10" t="s">
        <v>143</v>
      </c>
      <c r="F38" s="10" t="s">
        <v>144</v>
      </c>
      <c r="G38" s="10"/>
      <c r="H38" s="47" t="s">
        <v>49</v>
      </c>
      <c r="I38" s="10" t="s">
        <v>145</v>
      </c>
      <c r="J38" s="34"/>
      <c r="K38" s="34"/>
    </row>
    <row r="39" spans="1:11" ht="18" hidden="1" customHeight="1" x14ac:dyDescent="0.4">
      <c r="A39" s="6">
        <f t="shared" si="1"/>
        <v>38</v>
      </c>
      <c r="B39" s="7" t="s">
        <v>10</v>
      </c>
      <c r="C39" s="7" t="s">
        <v>129</v>
      </c>
      <c r="D39" s="8" t="s">
        <v>2229</v>
      </c>
      <c r="E39" s="7" t="s">
        <v>146</v>
      </c>
      <c r="F39" s="7" t="s">
        <v>147</v>
      </c>
      <c r="G39" s="7"/>
      <c r="H39" s="48" t="s">
        <v>49</v>
      </c>
      <c r="I39" s="7" t="s">
        <v>148</v>
      </c>
      <c r="J39" s="34"/>
      <c r="K39" s="34"/>
    </row>
    <row r="40" spans="1:11" ht="18" hidden="1" customHeight="1" x14ac:dyDescent="0.4">
      <c r="A40" s="9">
        <f t="shared" si="1"/>
        <v>39</v>
      </c>
      <c r="B40" s="10" t="s">
        <v>10</v>
      </c>
      <c r="C40" s="10" t="s">
        <v>129</v>
      </c>
      <c r="D40" s="11" t="s">
        <v>2229</v>
      </c>
      <c r="E40" s="10" t="s">
        <v>149</v>
      </c>
      <c r="F40" s="10" t="s">
        <v>150</v>
      </c>
      <c r="G40" s="10" t="s">
        <v>151</v>
      </c>
      <c r="H40" s="47" t="s">
        <v>49</v>
      </c>
      <c r="I40" s="10" t="s">
        <v>152</v>
      </c>
      <c r="J40" s="34"/>
      <c r="K40" s="34"/>
    </row>
    <row r="41" spans="1:11" ht="18" hidden="1" customHeight="1" x14ac:dyDescent="0.4">
      <c r="A41" s="6">
        <f t="shared" si="1"/>
        <v>40</v>
      </c>
      <c r="B41" s="7" t="s">
        <v>10</v>
      </c>
      <c r="C41" s="7" t="s">
        <v>129</v>
      </c>
      <c r="D41" s="8" t="s">
        <v>2229</v>
      </c>
      <c r="E41" s="7" t="s">
        <v>46</v>
      </c>
      <c r="F41" s="7" t="s">
        <v>153</v>
      </c>
      <c r="G41" s="7"/>
      <c r="H41" s="48" t="s">
        <v>49</v>
      </c>
      <c r="I41" s="7" t="s">
        <v>154</v>
      </c>
      <c r="J41" s="34"/>
      <c r="K41" s="34"/>
    </row>
    <row r="42" spans="1:11" ht="18" hidden="1" customHeight="1" x14ac:dyDescent="0.4">
      <c r="A42" s="9">
        <f t="shared" si="1"/>
        <v>41</v>
      </c>
      <c r="B42" s="10" t="s">
        <v>10</v>
      </c>
      <c r="C42" s="10" t="s">
        <v>129</v>
      </c>
      <c r="D42" s="11" t="s">
        <v>2229</v>
      </c>
      <c r="E42" s="10" t="s">
        <v>155</v>
      </c>
      <c r="F42" s="10" t="s">
        <v>156</v>
      </c>
      <c r="G42" s="10" t="s">
        <v>157</v>
      </c>
      <c r="H42" s="47" t="s">
        <v>49</v>
      </c>
      <c r="I42" s="10" t="s">
        <v>158</v>
      </c>
      <c r="J42" s="34"/>
      <c r="K42" s="34"/>
    </row>
    <row r="43" spans="1:11" ht="18" hidden="1" customHeight="1" x14ac:dyDescent="0.4">
      <c r="A43" s="6">
        <f t="shared" si="1"/>
        <v>42</v>
      </c>
      <c r="B43" s="7" t="s">
        <v>10</v>
      </c>
      <c r="C43" s="7" t="s">
        <v>129</v>
      </c>
      <c r="D43" s="8" t="s">
        <v>2229</v>
      </c>
      <c r="E43" s="7" t="s">
        <v>159</v>
      </c>
      <c r="F43" s="7" t="s">
        <v>160</v>
      </c>
      <c r="G43" s="7"/>
      <c r="H43" s="46" t="s">
        <v>49</v>
      </c>
      <c r="I43" s="7" t="s">
        <v>161</v>
      </c>
      <c r="J43" s="34"/>
      <c r="K43" s="34"/>
    </row>
    <row r="44" spans="1:11" ht="18" hidden="1" customHeight="1" x14ac:dyDescent="0.4">
      <c r="A44" s="9">
        <f t="shared" si="1"/>
        <v>43</v>
      </c>
      <c r="B44" s="10" t="s">
        <v>10</v>
      </c>
      <c r="C44" s="10" t="s">
        <v>129</v>
      </c>
      <c r="D44" s="11" t="s">
        <v>2229</v>
      </c>
      <c r="E44" s="10" t="s">
        <v>66</v>
      </c>
      <c r="F44" s="10" t="s">
        <v>162</v>
      </c>
      <c r="G44" s="10"/>
      <c r="H44" s="48" t="s">
        <v>49</v>
      </c>
      <c r="I44" s="10" t="s">
        <v>163</v>
      </c>
      <c r="J44" s="34"/>
      <c r="K44" s="34"/>
    </row>
    <row r="45" spans="1:11" ht="18" customHeight="1" x14ac:dyDescent="0.4">
      <c r="A45" s="6">
        <f t="shared" si="1"/>
        <v>44</v>
      </c>
      <c r="B45" s="7" t="s">
        <v>10</v>
      </c>
      <c r="C45" s="7" t="s">
        <v>129</v>
      </c>
      <c r="D45" s="8" t="s">
        <v>17</v>
      </c>
      <c r="E45" s="7" t="s">
        <v>164</v>
      </c>
      <c r="F45" s="7" t="s">
        <v>165</v>
      </c>
      <c r="G45" s="7" t="s">
        <v>166</v>
      </c>
      <c r="H45" s="46" t="s">
        <v>15</v>
      </c>
      <c r="I45" s="7" t="s">
        <v>167</v>
      </c>
      <c r="J45" s="34" t="s">
        <v>2155</v>
      </c>
      <c r="K45" s="34">
        <v>30</v>
      </c>
    </row>
    <row r="46" spans="1:11" ht="18" hidden="1" customHeight="1" x14ac:dyDescent="0.4">
      <c r="A46" s="9">
        <f t="shared" si="1"/>
        <v>45</v>
      </c>
      <c r="B46" s="10" t="s">
        <v>10</v>
      </c>
      <c r="C46" s="10" t="s">
        <v>129</v>
      </c>
      <c r="D46" s="11" t="s">
        <v>2229</v>
      </c>
      <c r="E46" s="10" t="s">
        <v>168</v>
      </c>
      <c r="F46" s="10" t="s">
        <v>169</v>
      </c>
      <c r="G46" s="10"/>
      <c r="H46" s="48" t="s">
        <v>49</v>
      </c>
      <c r="I46" s="10" t="s">
        <v>170</v>
      </c>
      <c r="J46" s="34"/>
      <c r="K46" s="34"/>
    </row>
    <row r="47" spans="1:11" ht="18" customHeight="1" x14ac:dyDescent="0.4">
      <c r="A47" s="6">
        <f t="shared" si="1"/>
        <v>46</v>
      </c>
      <c r="B47" s="7" t="s">
        <v>10</v>
      </c>
      <c r="C47" s="7" t="s">
        <v>129</v>
      </c>
      <c r="D47" s="8" t="s">
        <v>17</v>
      </c>
      <c r="E47" s="7" t="s">
        <v>171</v>
      </c>
      <c r="F47" s="7" t="s">
        <v>172</v>
      </c>
      <c r="G47" s="7" t="s">
        <v>173</v>
      </c>
      <c r="H47" s="46" t="s">
        <v>15</v>
      </c>
      <c r="I47" s="7" t="s">
        <v>174</v>
      </c>
      <c r="J47" s="34" t="s">
        <v>2155</v>
      </c>
      <c r="K47" s="34">
        <v>16</v>
      </c>
    </row>
    <row r="48" spans="1:11" ht="18" customHeight="1" x14ac:dyDescent="0.4">
      <c r="A48" s="9">
        <f t="shared" si="1"/>
        <v>47</v>
      </c>
      <c r="B48" s="10" t="s">
        <v>10</v>
      </c>
      <c r="C48" s="10" t="s">
        <v>129</v>
      </c>
      <c r="D48" s="11" t="s">
        <v>17</v>
      </c>
      <c r="E48" s="10" t="s">
        <v>175</v>
      </c>
      <c r="F48" s="10" t="s">
        <v>176</v>
      </c>
      <c r="G48" s="10" t="s">
        <v>176</v>
      </c>
      <c r="H48" s="46" t="s">
        <v>15</v>
      </c>
      <c r="I48" s="10" t="s">
        <v>177</v>
      </c>
      <c r="J48" s="34" t="s">
        <v>2155</v>
      </c>
      <c r="K48" s="34">
        <v>31</v>
      </c>
    </row>
    <row r="49" spans="1:11" ht="18" customHeight="1" x14ac:dyDescent="0.4">
      <c r="A49" s="6">
        <f t="shared" si="1"/>
        <v>48</v>
      </c>
      <c r="B49" s="7" t="s">
        <v>10</v>
      </c>
      <c r="C49" s="7" t="s">
        <v>129</v>
      </c>
      <c r="D49" s="8" t="s">
        <v>17</v>
      </c>
      <c r="E49" s="7" t="s">
        <v>178</v>
      </c>
      <c r="F49" s="7" t="s">
        <v>179</v>
      </c>
      <c r="G49" s="7" t="s">
        <v>180</v>
      </c>
      <c r="H49" s="47" t="s">
        <v>15</v>
      </c>
      <c r="I49" s="7" t="s">
        <v>181</v>
      </c>
      <c r="J49" s="34" t="s">
        <v>2155</v>
      </c>
      <c r="K49" s="34">
        <v>15</v>
      </c>
    </row>
    <row r="50" spans="1:11" ht="18" hidden="1" customHeight="1" x14ac:dyDescent="0.4">
      <c r="A50" s="9">
        <f t="shared" si="1"/>
        <v>49</v>
      </c>
      <c r="B50" s="10" t="s">
        <v>10</v>
      </c>
      <c r="C50" s="10" t="s">
        <v>129</v>
      </c>
      <c r="D50" s="11" t="s">
        <v>2229</v>
      </c>
      <c r="E50" s="10" t="s">
        <v>182</v>
      </c>
      <c r="F50" s="10" t="s">
        <v>183</v>
      </c>
      <c r="G50" s="10" t="s">
        <v>184</v>
      </c>
      <c r="H50" s="48" t="s">
        <v>49</v>
      </c>
      <c r="I50" s="10" t="s">
        <v>185</v>
      </c>
      <c r="J50" s="34"/>
      <c r="K50" s="34"/>
    </row>
    <row r="51" spans="1:11" ht="18" customHeight="1" x14ac:dyDescent="0.4">
      <c r="A51" s="6">
        <f t="shared" si="1"/>
        <v>50</v>
      </c>
      <c r="B51" s="7" t="s">
        <v>10</v>
      </c>
      <c r="C51" s="7" t="s">
        <v>129</v>
      </c>
      <c r="D51" s="8" t="s">
        <v>17</v>
      </c>
      <c r="E51" s="7" t="s">
        <v>186</v>
      </c>
      <c r="F51" s="7" t="s">
        <v>187</v>
      </c>
      <c r="G51" s="7" t="s">
        <v>188</v>
      </c>
      <c r="H51" s="46" t="s">
        <v>15</v>
      </c>
      <c r="I51" s="7" t="s">
        <v>189</v>
      </c>
      <c r="J51" s="34" t="s">
        <v>2155</v>
      </c>
      <c r="K51" s="34">
        <v>32</v>
      </c>
    </row>
    <row r="52" spans="1:11" ht="18" hidden="1" customHeight="1" x14ac:dyDescent="0.4">
      <c r="A52" s="9">
        <f t="shared" si="1"/>
        <v>51</v>
      </c>
      <c r="B52" s="10" t="s">
        <v>10</v>
      </c>
      <c r="C52" s="10" t="s">
        <v>129</v>
      </c>
      <c r="D52" s="11" t="s">
        <v>2229</v>
      </c>
      <c r="E52" s="10" t="s">
        <v>190</v>
      </c>
      <c r="F52" s="10" t="s">
        <v>82</v>
      </c>
      <c r="G52" s="10" t="s">
        <v>191</v>
      </c>
      <c r="H52" s="47" t="s">
        <v>49</v>
      </c>
      <c r="I52" s="10" t="s">
        <v>192</v>
      </c>
      <c r="J52" s="34"/>
      <c r="K52" s="34"/>
    </row>
    <row r="53" spans="1:11" ht="18" hidden="1" customHeight="1" x14ac:dyDescent="0.4">
      <c r="A53" s="6">
        <f t="shared" si="1"/>
        <v>52</v>
      </c>
      <c r="B53" s="7" t="s">
        <v>10</v>
      </c>
      <c r="C53" s="7" t="s">
        <v>129</v>
      </c>
      <c r="D53" s="8" t="s">
        <v>2229</v>
      </c>
      <c r="E53" s="7" t="s">
        <v>193</v>
      </c>
      <c r="F53" s="7" t="s">
        <v>194</v>
      </c>
      <c r="G53" s="7" t="s">
        <v>195</v>
      </c>
      <c r="H53" s="48" t="s">
        <v>49</v>
      </c>
      <c r="I53" s="7" t="s">
        <v>196</v>
      </c>
      <c r="J53" s="34"/>
      <c r="K53" s="34"/>
    </row>
    <row r="54" spans="1:11" ht="18" customHeight="1" x14ac:dyDescent="0.4">
      <c r="A54" s="9">
        <f t="shared" si="1"/>
        <v>53</v>
      </c>
      <c r="B54" s="10" t="s">
        <v>10</v>
      </c>
      <c r="C54" s="10" t="s">
        <v>129</v>
      </c>
      <c r="D54" s="11" t="s">
        <v>17</v>
      </c>
      <c r="E54" s="10" t="s">
        <v>149</v>
      </c>
      <c r="F54" s="10" t="s">
        <v>197</v>
      </c>
      <c r="G54" s="10" t="s">
        <v>198</v>
      </c>
      <c r="H54" s="46" t="s">
        <v>15</v>
      </c>
      <c r="I54" s="10" t="s">
        <v>199</v>
      </c>
      <c r="J54" s="34" t="s">
        <v>2155</v>
      </c>
      <c r="K54" s="34">
        <v>14</v>
      </c>
    </row>
    <row r="55" spans="1:11" ht="18" customHeight="1" x14ac:dyDescent="0.4">
      <c r="A55" s="6">
        <f t="shared" si="1"/>
        <v>54</v>
      </c>
      <c r="B55" s="7" t="s">
        <v>10</v>
      </c>
      <c r="C55" s="7" t="s">
        <v>129</v>
      </c>
      <c r="D55" s="8" t="s">
        <v>17</v>
      </c>
      <c r="E55" s="7" t="s">
        <v>200</v>
      </c>
      <c r="F55" s="7" t="s">
        <v>201</v>
      </c>
      <c r="G55" s="7"/>
      <c r="H55" s="46" t="s">
        <v>15</v>
      </c>
      <c r="I55" s="7" t="s">
        <v>202</v>
      </c>
      <c r="J55" s="34" t="s">
        <v>2155</v>
      </c>
      <c r="K55" s="34">
        <v>33</v>
      </c>
    </row>
    <row r="56" spans="1:11" ht="18" hidden="1" customHeight="1" x14ac:dyDescent="0.4">
      <c r="A56" s="9">
        <f t="shared" si="1"/>
        <v>55</v>
      </c>
      <c r="B56" s="10" t="s">
        <v>10</v>
      </c>
      <c r="C56" s="10" t="s">
        <v>129</v>
      </c>
      <c r="D56" s="11" t="s">
        <v>2229</v>
      </c>
      <c r="E56" s="10" t="s">
        <v>203</v>
      </c>
      <c r="F56" s="10" t="s">
        <v>204</v>
      </c>
      <c r="G56" s="10"/>
      <c r="H56" s="48" t="s">
        <v>49</v>
      </c>
      <c r="I56" s="10" t="s">
        <v>205</v>
      </c>
      <c r="J56" s="34"/>
      <c r="K56" s="34"/>
    </row>
    <row r="57" spans="1:11" ht="18" hidden="1" customHeight="1" x14ac:dyDescent="0.4">
      <c r="A57" s="6">
        <f t="shared" si="1"/>
        <v>56</v>
      </c>
      <c r="B57" s="7" t="s">
        <v>10</v>
      </c>
      <c r="C57" s="7" t="s">
        <v>129</v>
      </c>
      <c r="D57" s="8" t="s">
        <v>2229</v>
      </c>
      <c r="E57" s="7" t="s">
        <v>206</v>
      </c>
      <c r="F57" s="7" t="s">
        <v>207</v>
      </c>
      <c r="G57" s="7"/>
      <c r="H57" s="48" t="s">
        <v>49</v>
      </c>
      <c r="I57" s="7" t="s">
        <v>208</v>
      </c>
      <c r="J57" s="34"/>
      <c r="K57" s="34"/>
    </row>
    <row r="58" spans="1:11" ht="18" customHeight="1" x14ac:dyDescent="0.4">
      <c r="A58" s="9">
        <f t="shared" si="1"/>
        <v>57</v>
      </c>
      <c r="B58" s="10" t="s">
        <v>10</v>
      </c>
      <c r="C58" s="10" t="s">
        <v>129</v>
      </c>
      <c r="D58" s="11" t="s">
        <v>17</v>
      </c>
      <c r="E58" s="10" t="s">
        <v>209</v>
      </c>
      <c r="F58" s="10" t="s">
        <v>210</v>
      </c>
      <c r="G58" s="10"/>
      <c r="H58" s="46" t="s">
        <v>15</v>
      </c>
      <c r="I58" s="10" t="s">
        <v>211</v>
      </c>
      <c r="J58" s="34" t="s">
        <v>2155</v>
      </c>
      <c r="K58" s="34">
        <v>13</v>
      </c>
    </row>
    <row r="59" spans="1:11" ht="18" hidden="1" customHeight="1" x14ac:dyDescent="0.4">
      <c r="A59" s="6">
        <f t="shared" si="1"/>
        <v>58</v>
      </c>
      <c r="B59" s="7" t="s">
        <v>10</v>
      </c>
      <c r="C59" s="7" t="s">
        <v>129</v>
      </c>
      <c r="D59" s="8" t="s">
        <v>2229</v>
      </c>
      <c r="E59" s="7" t="s">
        <v>212</v>
      </c>
      <c r="F59" s="7" t="s">
        <v>213</v>
      </c>
      <c r="G59" s="7"/>
      <c r="H59" s="48" t="s">
        <v>49</v>
      </c>
      <c r="I59" s="7" t="s">
        <v>214</v>
      </c>
      <c r="J59" s="34"/>
      <c r="K59" s="34"/>
    </row>
    <row r="60" spans="1:11" ht="18" hidden="1" customHeight="1" x14ac:dyDescent="0.4">
      <c r="A60" s="9">
        <f t="shared" si="1"/>
        <v>59</v>
      </c>
      <c r="B60" s="10" t="s">
        <v>10</v>
      </c>
      <c r="C60" s="10" t="s">
        <v>28</v>
      </c>
      <c r="D60" s="11" t="s">
        <v>2229</v>
      </c>
      <c r="E60" s="10" t="s">
        <v>215</v>
      </c>
      <c r="F60" s="10" t="s">
        <v>216</v>
      </c>
      <c r="G60" s="10" t="s">
        <v>157</v>
      </c>
      <c r="H60" s="48" t="s">
        <v>49</v>
      </c>
      <c r="I60" s="10" t="s">
        <v>217</v>
      </c>
      <c r="J60" s="34"/>
      <c r="K60" s="34"/>
    </row>
    <row r="61" spans="1:11" ht="18" customHeight="1" x14ac:dyDescent="0.4">
      <c r="A61" s="6">
        <f t="shared" si="1"/>
        <v>60</v>
      </c>
      <c r="B61" s="7" t="s">
        <v>10</v>
      </c>
      <c r="C61" s="7" t="s">
        <v>28</v>
      </c>
      <c r="D61" s="8" t="s">
        <v>17</v>
      </c>
      <c r="E61" s="7" t="s">
        <v>218</v>
      </c>
      <c r="F61" s="7" t="s">
        <v>219</v>
      </c>
      <c r="G61" s="7" t="s">
        <v>220</v>
      </c>
      <c r="H61" s="46" t="s">
        <v>15</v>
      </c>
      <c r="I61" s="7" t="s">
        <v>217</v>
      </c>
      <c r="J61" s="34" t="s">
        <v>2155</v>
      </c>
      <c r="K61" s="34">
        <v>29</v>
      </c>
    </row>
    <row r="62" spans="1:11" ht="18" hidden="1" customHeight="1" x14ac:dyDescent="0.4">
      <c r="A62" s="9">
        <f t="shared" si="1"/>
        <v>61</v>
      </c>
      <c r="B62" s="10" t="s">
        <v>10</v>
      </c>
      <c r="C62" s="10" t="s">
        <v>221</v>
      </c>
      <c r="D62" s="11" t="s">
        <v>2229</v>
      </c>
      <c r="E62" s="10" t="s">
        <v>222</v>
      </c>
      <c r="F62" s="10" t="s">
        <v>120</v>
      </c>
      <c r="G62" s="10" t="s">
        <v>223</v>
      </c>
      <c r="H62" s="46" t="s">
        <v>49</v>
      </c>
      <c r="I62" s="10" t="s">
        <v>224</v>
      </c>
      <c r="J62" s="34"/>
      <c r="K62" s="34"/>
    </row>
    <row r="63" spans="1:11" ht="18" customHeight="1" x14ac:dyDescent="0.4">
      <c r="A63" s="6">
        <f t="shared" si="1"/>
        <v>62</v>
      </c>
      <c r="B63" s="7" t="s">
        <v>10</v>
      </c>
      <c r="C63" s="7" t="s">
        <v>221</v>
      </c>
      <c r="D63" s="8" t="s">
        <v>17</v>
      </c>
      <c r="E63" s="7" t="s">
        <v>225</v>
      </c>
      <c r="F63" s="7" t="s">
        <v>226</v>
      </c>
      <c r="G63" s="7" t="s">
        <v>68</v>
      </c>
      <c r="H63" s="46" t="s">
        <v>15</v>
      </c>
      <c r="I63" s="7" t="s">
        <v>227</v>
      </c>
      <c r="J63" s="34" t="s">
        <v>2155</v>
      </c>
      <c r="K63" s="34">
        <v>12</v>
      </c>
    </row>
    <row r="64" spans="1:11" ht="18" hidden="1" customHeight="1" x14ac:dyDescent="0.4">
      <c r="A64" s="9">
        <f t="shared" si="1"/>
        <v>63</v>
      </c>
      <c r="B64" s="10" t="s">
        <v>10</v>
      </c>
      <c r="C64" s="10" t="s">
        <v>228</v>
      </c>
      <c r="D64" s="11" t="s">
        <v>2229</v>
      </c>
      <c r="E64" s="10" t="s">
        <v>229</v>
      </c>
      <c r="F64" s="10" t="s">
        <v>230</v>
      </c>
      <c r="G64" s="10" t="s">
        <v>231</v>
      </c>
      <c r="H64" s="46" t="s">
        <v>49</v>
      </c>
      <c r="I64" s="10" t="s">
        <v>232</v>
      </c>
      <c r="J64" s="34"/>
      <c r="K64" s="34"/>
    </row>
    <row r="65" spans="1:11" ht="18" hidden="1" customHeight="1" x14ac:dyDescent="0.4">
      <c r="A65" s="6">
        <f t="shared" si="1"/>
        <v>64</v>
      </c>
      <c r="B65" s="7" t="s">
        <v>10</v>
      </c>
      <c r="C65" s="7" t="s">
        <v>233</v>
      </c>
      <c r="D65" s="8" t="s">
        <v>2229</v>
      </c>
      <c r="E65" s="7" t="s">
        <v>62</v>
      </c>
      <c r="F65" s="7" t="s">
        <v>234</v>
      </c>
      <c r="G65" s="7" t="s">
        <v>235</v>
      </c>
      <c r="H65" s="47" t="s">
        <v>49</v>
      </c>
      <c r="I65" s="7" t="s">
        <v>236</v>
      </c>
      <c r="J65" s="34"/>
      <c r="K65" s="34"/>
    </row>
    <row r="66" spans="1:11" ht="18" customHeight="1" x14ac:dyDescent="0.4">
      <c r="A66" s="6"/>
      <c r="B66" s="7"/>
      <c r="C66" s="7"/>
      <c r="D66" s="8" t="s">
        <v>17</v>
      </c>
      <c r="E66" s="50"/>
      <c r="F66" s="50"/>
      <c r="G66" s="50"/>
      <c r="H66" s="47" t="s">
        <v>15</v>
      </c>
      <c r="I66" s="7" t="s">
        <v>2219</v>
      </c>
      <c r="J66" s="34" t="s">
        <v>2156</v>
      </c>
      <c r="K66" s="34">
        <v>12</v>
      </c>
    </row>
    <row r="67" spans="1:11" ht="18" customHeight="1" x14ac:dyDescent="0.4">
      <c r="A67" s="6"/>
      <c r="B67" s="7"/>
      <c r="C67" s="7" t="s">
        <v>2205</v>
      </c>
      <c r="D67" s="8" t="s">
        <v>17</v>
      </c>
      <c r="E67" s="7" t="s">
        <v>1635</v>
      </c>
      <c r="F67" s="7" t="s">
        <v>2206</v>
      </c>
      <c r="G67" s="7" t="s">
        <v>2207</v>
      </c>
      <c r="H67" s="47" t="s">
        <v>15</v>
      </c>
      <c r="I67" s="7" t="s">
        <v>2208</v>
      </c>
      <c r="J67" s="34" t="s">
        <v>2156</v>
      </c>
      <c r="K67" s="34">
        <v>33</v>
      </c>
    </row>
    <row r="68" spans="1:11" ht="18" hidden="1" customHeight="1" x14ac:dyDescent="0.4">
      <c r="A68" s="9">
        <f t="shared" ref="A68:A77" si="2">IF(COUNTA(B68:I68)=0,"",ROW()-1)</f>
        <v>67</v>
      </c>
      <c r="B68" s="10" t="s">
        <v>10</v>
      </c>
      <c r="C68" s="10" t="s">
        <v>28</v>
      </c>
      <c r="D68" s="11" t="s">
        <v>2229</v>
      </c>
      <c r="E68" s="10" t="s">
        <v>237</v>
      </c>
      <c r="F68" s="10" t="s">
        <v>238</v>
      </c>
      <c r="G68" s="10" t="s">
        <v>239</v>
      </c>
      <c r="H68" s="48" t="s">
        <v>49</v>
      </c>
      <c r="I68" s="10" t="s">
        <v>217</v>
      </c>
      <c r="J68" s="34"/>
      <c r="K68" s="34"/>
    </row>
    <row r="69" spans="1:11" ht="18" hidden="1" customHeight="1" x14ac:dyDescent="0.4">
      <c r="A69" s="6">
        <f t="shared" si="2"/>
        <v>68</v>
      </c>
      <c r="B69" s="7" t="s">
        <v>10</v>
      </c>
      <c r="C69" s="7" t="s">
        <v>28</v>
      </c>
      <c r="D69" s="8" t="s">
        <v>2229</v>
      </c>
      <c r="E69" s="7" t="s">
        <v>240</v>
      </c>
      <c r="F69" s="7" t="s">
        <v>48</v>
      </c>
      <c r="G69" s="7" t="s">
        <v>241</v>
      </c>
      <c r="H69" s="48" t="s">
        <v>49</v>
      </c>
      <c r="I69" s="7" t="s">
        <v>217</v>
      </c>
      <c r="J69" s="34"/>
      <c r="K69" s="34"/>
    </row>
    <row r="70" spans="1:11" ht="18" hidden="1" customHeight="1" x14ac:dyDescent="0.4">
      <c r="A70" s="9">
        <f t="shared" si="2"/>
        <v>69</v>
      </c>
      <c r="B70" s="10" t="s">
        <v>10</v>
      </c>
      <c r="C70" s="10" t="s">
        <v>28</v>
      </c>
      <c r="D70" s="11" t="s">
        <v>2229</v>
      </c>
      <c r="E70" s="10" t="s">
        <v>242</v>
      </c>
      <c r="F70" s="10" t="s">
        <v>243</v>
      </c>
      <c r="G70" s="10" t="s">
        <v>244</v>
      </c>
      <c r="H70" s="47" t="s">
        <v>49</v>
      </c>
      <c r="I70" s="10" t="s">
        <v>217</v>
      </c>
      <c r="J70" s="34"/>
      <c r="K70" s="34"/>
    </row>
    <row r="71" spans="1:11" ht="18" hidden="1" customHeight="1" x14ac:dyDescent="0.4">
      <c r="A71" s="6">
        <f t="shared" si="2"/>
        <v>70</v>
      </c>
      <c r="B71" s="7" t="s">
        <v>10</v>
      </c>
      <c r="C71" s="7" t="s">
        <v>28</v>
      </c>
      <c r="D71" s="8" t="s">
        <v>2229</v>
      </c>
      <c r="E71" s="7" t="s">
        <v>245</v>
      </c>
      <c r="F71" s="7" t="s">
        <v>96</v>
      </c>
      <c r="G71" s="7" t="s">
        <v>246</v>
      </c>
      <c r="H71" s="48" t="s">
        <v>49</v>
      </c>
      <c r="I71" s="7" t="s">
        <v>217</v>
      </c>
      <c r="J71" s="34"/>
      <c r="K71" s="34"/>
    </row>
    <row r="72" spans="1:11" ht="18" customHeight="1" x14ac:dyDescent="0.4">
      <c r="A72" s="9">
        <f t="shared" si="2"/>
        <v>71</v>
      </c>
      <c r="B72" s="10" t="s">
        <v>10</v>
      </c>
      <c r="C72" s="10" t="s">
        <v>32</v>
      </c>
      <c r="D72" s="11" t="s">
        <v>17</v>
      </c>
      <c r="E72" s="10" t="s">
        <v>247</v>
      </c>
      <c r="F72" s="10" t="s">
        <v>216</v>
      </c>
      <c r="G72" s="10" t="s">
        <v>157</v>
      </c>
      <c r="H72" s="46" t="s">
        <v>15</v>
      </c>
      <c r="I72" s="10" t="s">
        <v>248</v>
      </c>
      <c r="J72" s="34" t="s">
        <v>2155</v>
      </c>
      <c r="K72" s="34">
        <v>28</v>
      </c>
    </row>
    <row r="73" spans="1:11" ht="18" hidden="1" customHeight="1" x14ac:dyDescent="0.4">
      <c r="A73" s="6">
        <f t="shared" si="2"/>
        <v>72</v>
      </c>
      <c r="B73" s="7" t="s">
        <v>10</v>
      </c>
      <c r="C73" s="7" t="s">
        <v>28</v>
      </c>
      <c r="D73" s="8" t="s">
        <v>2229</v>
      </c>
      <c r="E73" s="7" t="s">
        <v>249</v>
      </c>
      <c r="F73" s="7" t="s">
        <v>250</v>
      </c>
      <c r="G73" s="7" t="s">
        <v>251</v>
      </c>
      <c r="H73" s="48" t="s">
        <v>49</v>
      </c>
      <c r="I73" s="7" t="s">
        <v>217</v>
      </c>
      <c r="J73" s="34"/>
      <c r="K73" s="34"/>
    </row>
    <row r="74" spans="1:11" ht="18" customHeight="1" x14ac:dyDescent="0.4">
      <c r="A74" s="9">
        <f t="shared" si="2"/>
        <v>73</v>
      </c>
      <c r="B74" s="10" t="s">
        <v>10</v>
      </c>
      <c r="C74" s="10" t="s">
        <v>221</v>
      </c>
      <c r="D74" s="11" t="s">
        <v>17</v>
      </c>
      <c r="E74" s="10" t="s">
        <v>252</v>
      </c>
      <c r="F74" s="10" t="s">
        <v>253</v>
      </c>
      <c r="G74" s="10" t="s">
        <v>73</v>
      </c>
      <c r="H74" s="46" t="s">
        <v>15</v>
      </c>
      <c r="I74" s="10" t="s">
        <v>254</v>
      </c>
      <c r="J74" s="34" t="s">
        <v>2155</v>
      </c>
      <c r="K74" s="34">
        <v>34</v>
      </c>
    </row>
    <row r="75" spans="1:11" ht="18" customHeight="1" x14ac:dyDescent="0.4">
      <c r="A75" s="6">
        <f t="shared" si="2"/>
        <v>74</v>
      </c>
      <c r="B75" s="7" t="s">
        <v>10</v>
      </c>
      <c r="C75" s="7" t="s">
        <v>255</v>
      </c>
      <c r="D75" s="8" t="s">
        <v>17</v>
      </c>
      <c r="E75" s="7" t="s">
        <v>256</v>
      </c>
      <c r="F75" s="7" t="s">
        <v>257</v>
      </c>
      <c r="G75" s="7" t="s">
        <v>258</v>
      </c>
      <c r="H75" s="46" t="s">
        <v>15</v>
      </c>
      <c r="I75" s="7" t="s">
        <v>259</v>
      </c>
      <c r="J75" s="34" t="s">
        <v>2155</v>
      </c>
      <c r="K75" s="34">
        <v>11</v>
      </c>
    </row>
    <row r="76" spans="1:11" ht="18" customHeight="1" x14ac:dyDescent="0.4">
      <c r="A76" s="9">
        <f t="shared" si="2"/>
        <v>75</v>
      </c>
      <c r="B76" s="10" t="s">
        <v>10</v>
      </c>
      <c r="C76" s="10" t="s">
        <v>255</v>
      </c>
      <c r="D76" s="11" t="s">
        <v>17</v>
      </c>
      <c r="E76" s="10" t="s">
        <v>46</v>
      </c>
      <c r="F76" s="10" t="s">
        <v>260</v>
      </c>
      <c r="G76" s="10" t="s">
        <v>261</v>
      </c>
      <c r="H76" s="47" t="s">
        <v>15</v>
      </c>
      <c r="I76" s="10" t="s">
        <v>262</v>
      </c>
      <c r="J76" s="34" t="s">
        <v>2155</v>
      </c>
      <c r="K76" s="34">
        <v>10</v>
      </c>
    </row>
    <row r="77" spans="1:11" ht="18" customHeight="1" x14ac:dyDescent="0.4">
      <c r="A77" s="6">
        <f t="shared" si="2"/>
        <v>76</v>
      </c>
      <c r="B77" s="7" t="s">
        <v>10</v>
      </c>
      <c r="C77" s="7" t="s">
        <v>263</v>
      </c>
      <c r="D77" s="8" t="s">
        <v>17</v>
      </c>
      <c r="E77" s="7" t="s">
        <v>218</v>
      </c>
      <c r="F77" s="7" t="s">
        <v>264</v>
      </c>
      <c r="G77" s="7" t="s">
        <v>265</v>
      </c>
      <c r="H77" s="46" t="s">
        <v>15</v>
      </c>
      <c r="I77" s="7" t="s">
        <v>266</v>
      </c>
      <c r="J77" s="34" t="s">
        <v>2155</v>
      </c>
      <c r="K77" s="34">
        <v>35</v>
      </c>
    </row>
    <row r="78" spans="1:11" ht="18" customHeight="1" x14ac:dyDescent="0.4">
      <c r="A78" s="6"/>
      <c r="B78" s="7"/>
      <c r="C78" s="7" t="s">
        <v>263</v>
      </c>
      <c r="D78" s="8" t="s">
        <v>17</v>
      </c>
      <c r="E78" s="7" t="s">
        <v>1472</v>
      </c>
      <c r="F78" s="7" t="s">
        <v>2193</v>
      </c>
      <c r="G78" s="7"/>
      <c r="H78" s="46" t="s">
        <v>15</v>
      </c>
      <c r="I78" s="7" t="s">
        <v>2199</v>
      </c>
      <c r="J78" s="34" t="s">
        <v>2155</v>
      </c>
      <c r="K78" s="34">
        <v>36</v>
      </c>
    </row>
    <row r="79" spans="1:11" ht="18" hidden="1" customHeight="1" x14ac:dyDescent="0.4">
      <c r="A79" s="9">
        <f t="shared" ref="A79:A110" si="3">IF(COUNTA(B79:I79)=0,"",ROW()-1)</f>
        <v>78</v>
      </c>
      <c r="B79" s="10" t="s">
        <v>10</v>
      </c>
      <c r="C79" s="10" t="s">
        <v>41</v>
      </c>
      <c r="D79" s="11" t="s">
        <v>2229</v>
      </c>
      <c r="E79" s="10" t="s">
        <v>84</v>
      </c>
      <c r="F79" s="10" t="s">
        <v>267</v>
      </c>
      <c r="G79" s="10" t="s">
        <v>268</v>
      </c>
      <c r="H79" s="48" t="s">
        <v>49</v>
      </c>
      <c r="I79" s="10" t="s">
        <v>269</v>
      </c>
      <c r="J79" s="34"/>
      <c r="K79" s="34"/>
    </row>
    <row r="80" spans="1:11" ht="18" hidden="1" customHeight="1" x14ac:dyDescent="0.4">
      <c r="A80" s="6">
        <f t="shared" si="3"/>
        <v>79</v>
      </c>
      <c r="B80" s="7" t="s">
        <v>10</v>
      </c>
      <c r="C80" s="7" t="s">
        <v>41</v>
      </c>
      <c r="D80" s="8" t="s">
        <v>2229</v>
      </c>
      <c r="E80" s="7" t="s">
        <v>222</v>
      </c>
      <c r="F80" s="7" t="s">
        <v>230</v>
      </c>
      <c r="G80" s="7" t="s">
        <v>270</v>
      </c>
      <c r="H80" s="47" t="s">
        <v>49</v>
      </c>
      <c r="I80" s="7" t="s">
        <v>271</v>
      </c>
      <c r="J80" s="34"/>
      <c r="K80" s="34"/>
    </row>
    <row r="81" spans="1:11" ht="18" hidden="1" customHeight="1" x14ac:dyDescent="0.4">
      <c r="A81" s="9">
        <f t="shared" si="3"/>
        <v>80</v>
      </c>
      <c r="B81" s="10" t="s">
        <v>10</v>
      </c>
      <c r="C81" s="10" t="s">
        <v>41</v>
      </c>
      <c r="D81" s="11" t="s">
        <v>2229</v>
      </c>
      <c r="E81" s="10" t="s">
        <v>272</v>
      </c>
      <c r="F81" s="10" t="s">
        <v>273</v>
      </c>
      <c r="G81" s="10" t="s">
        <v>274</v>
      </c>
      <c r="H81" s="47" t="s">
        <v>49</v>
      </c>
      <c r="I81" s="10" t="s">
        <v>271</v>
      </c>
      <c r="J81" s="34"/>
      <c r="K81" s="34"/>
    </row>
    <row r="82" spans="1:11" ht="18" customHeight="1" x14ac:dyDescent="0.4">
      <c r="A82" s="6">
        <f t="shared" si="3"/>
        <v>81</v>
      </c>
      <c r="B82" s="7" t="s">
        <v>10</v>
      </c>
      <c r="C82" s="7" t="s">
        <v>41</v>
      </c>
      <c r="D82" s="8" t="s">
        <v>17</v>
      </c>
      <c r="E82" s="7" t="s">
        <v>275</v>
      </c>
      <c r="F82" s="7" t="s">
        <v>276</v>
      </c>
      <c r="G82" s="7" t="s">
        <v>277</v>
      </c>
      <c r="H82" s="46" t="s">
        <v>15</v>
      </c>
      <c r="I82" s="7" t="s">
        <v>271</v>
      </c>
      <c r="J82" s="34" t="s">
        <v>2155</v>
      </c>
      <c r="K82" s="34">
        <v>38</v>
      </c>
    </row>
    <row r="83" spans="1:11" ht="18" hidden="1" customHeight="1" x14ac:dyDescent="0.4">
      <c r="A83" s="9">
        <f t="shared" si="3"/>
        <v>82</v>
      </c>
      <c r="B83" s="10" t="s">
        <v>10</v>
      </c>
      <c r="C83" s="10" t="s">
        <v>41</v>
      </c>
      <c r="D83" s="11" t="s">
        <v>2229</v>
      </c>
      <c r="E83" s="10" t="s">
        <v>278</v>
      </c>
      <c r="F83" s="10" t="s">
        <v>279</v>
      </c>
      <c r="G83" s="10" t="s">
        <v>280</v>
      </c>
      <c r="H83" s="48" t="s">
        <v>49</v>
      </c>
      <c r="I83" s="10" t="s">
        <v>271</v>
      </c>
      <c r="J83" s="34"/>
      <c r="K83" s="34"/>
    </row>
    <row r="84" spans="1:11" ht="18" hidden="1" customHeight="1" x14ac:dyDescent="0.4">
      <c r="A84" s="6">
        <f t="shared" si="3"/>
        <v>83</v>
      </c>
      <c r="B84" s="7" t="s">
        <v>10</v>
      </c>
      <c r="C84" s="7" t="s">
        <v>41</v>
      </c>
      <c r="D84" s="8" t="s">
        <v>2229</v>
      </c>
      <c r="E84" s="7" t="s">
        <v>281</v>
      </c>
      <c r="F84" s="7" t="s">
        <v>282</v>
      </c>
      <c r="G84" s="7" t="s">
        <v>283</v>
      </c>
      <c r="H84" s="48" t="s">
        <v>49</v>
      </c>
      <c r="I84" s="7" t="s">
        <v>284</v>
      </c>
      <c r="J84" s="34"/>
      <c r="K84" s="34"/>
    </row>
    <row r="85" spans="1:11" ht="18" hidden="1" customHeight="1" x14ac:dyDescent="0.4">
      <c r="A85" s="9">
        <f t="shared" si="3"/>
        <v>84</v>
      </c>
      <c r="B85" s="10" t="s">
        <v>10</v>
      </c>
      <c r="C85" s="10" t="s">
        <v>41</v>
      </c>
      <c r="D85" s="11" t="s">
        <v>2229</v>
      </c>
      <c r="E85" s="10" t="s">
        <v>59</v>
      </c>
      <c r="F85" s="10" t="s">
        <v>285</v>
      </c>
      <c r="G85" s="10" t="s">
        <v>230</v>
      </c>
      <c r="H85" s="48" t="s">
        <v>49</v>
      </c>
      <c r="I85" s="10" t="s">
        <v>286</v>
      </c>
      <c r="J85" s="34"/>
      <c r="K85" s="34"/>
    </row>
    <row r="86" spans="1:11" ht="18" hidden="1" customHeight="1" x14ac:dyDescent="0.4">
      <c r="A86" s="6">
        <f t="shared" si="3"/>
        <v>85</v>
      </c>
      <c r="B86" s="7" t="s">
        <v>10</v>
      </c>
      <c r="C86" s="7" t="s">
        <v>41</v>
      </c>
      <c r="D86" s="8" t="s">
        <v>2229</v>
      </c>
      <c r="E86" s="7" t="s">
        <v>287</v>
      </c>
      <c r="F86" s="7" t="s">
        <v>288</v>
      </c>
      <c r="G86" s="7" t="s">
        <v>289</v>
      </c>
      <c r="H86" s="48" t="s">
        <v>49</v>
      </c>
      <c r="I86" s="7" t="s">
        <v>286</v>
      </c>
      <c r="J86" s="34"/>
      <c r="K86" s="34"/>
    </row>
    <row r="87" spans="1:11" ht="18" hidden="1" customHeight="1" x14ac:dyDescent="0.4">
      <c r="A87" s="9">
        <f t="shared" si="3"/>
        <v>86</v>
      </c>
      <c r="B87" s="10" t="s">
        <v>10</v>
      </c>
      <c r="C87" s="10" t="s">
        <v>41</v>
      </c>
      <c r="D87" s="11" t="s">
        <v>2229</v>
      </c>
      <c r="E87" s="10" t="s">
        <v>290</v>
      </c>
      <c r="F87" s="10" t="s">
        <v>291</v>
      </c>
      <c r="G87" s="10" t="s">
        <v>292</v>
      </c>
      <c r="H87" s="48" t="s">
        <v>49</v>
      </c>
      <c r="I87" s="10" t="s">
        <v>286</v>
      </c>
      <c r="J87" s="34"/>
      <c r="K87" s="34"/>
    </row>
    <row r="88" spans="1:11" ht="18" hidden="1" customHeight="1" x14ac:dyDescent="0.4">
      <c r="A88" s="6">
        <f t="shared" si="3"/>
        <v>87</v>
      </c>
      <c r="B88" s="7" t="s">
        <v>10</v>
      </c>
      <c r="C88" s="7" t="s">
        <v>41</v>
      </c>
      <c r="D88" s="8" t="s">
        <v>2229</v>
      </c>
      <c r="E88" s="7" t="s">
        <v>293</v>
      </c>
      <c r="F88" s="7" t="s">
        <v>294</v>
      </c>
      <c r="G88" s="7" t="s">
        <v>295</v>
      </c>
      <c r="H88" s="48" t="s">
        <v>49</v>
      </c>
      <c r="I88" s="7" t="s">
        <v>286</v>
      </c>
      <c r="J88" s="34"/>
      <c r="K88" s="34"/>
    </row>
    <row r="89" spans="1:11" ht="18" hidden="1" customHeight="1" x14ac:dyDescent="0.4">
      <c r="A89" s="9">
        <f t="shared" si="3"/>
        <v>88</v>
      </c>
      <c r="B89" s="10" t="s">
        <v>10</v>
      </c>
      <c r="C89" s="10" t="s">
        <v>41</v>
      </c>
      <c r="D89" s="11" t="s">
        <v>2229</v>
      </c>
      <c r="E89" s="10" t="s">
        <v>171</v>
      </c>
      <c r="F89" s="10" t="s">
        <v>296</v>
      </c>
      <c r="G89" s="10" t="s">
        <v>297</v>
      </c>
      <c r="H89" s="47" t="s">
        <v>49</v>
      </c>
      <c r="I89" s="10" t="s">
        <v>298</v>
      </c>
      <c r="J89" s="34"/>
      <c r="K89" s="34"/>
    </row>
    <row r="90" spans="1:11" ht="18" customHeight="1" x14ac:dyDescent="0.4">
      <c r="A90" s="6">
        <f t="shared" si="3"/>
        <v>89</v>
      </c>
      <c r="B90" s="7" t="s">
        <v>10</v>
      </c>
      <c r="C90" s="7" t="s">
        <v>41</v>
      </c>
      <c r="D90" s="8" t="s">
        <v>17</v>
      </c>
      <c r="E90" s="7" t="s">
        <v>215</v>
      </c>
      <c r="F90" s="7" t="s">
        <v>299</v>
      </c>
      <c r="G90" s="7" t="s">
        <v>300</v>
      </c>
      <c r="H90" s="46" t="s">
        <v>15</v>
      </c>
      <c r="I90" s="7" t="s">
        <v>298</v>
      </c>
      <c r="J90" s="34" t="s">
        <v>2155</v>
      </c>
      <c r="K90" s="34">
        <v>8</v>
      </c>
    </row>
    <row r="91" spans="1:11" ht="18" customHeight="1" x14ac:dyDescent="0.4">
      <c r="A91" s="9">
        <f t="shared" si="3"/>
        <v>90</v>
      </c>
      <c r="B91" s="10" t="s">
        <v>10</v>
      </c>
      <c r="C91" s="10" t="s">
        <v>41</v>
      </c>
      <c r="D91" s="11" t="s">
        <v>17</v>
      </c>
      <c r="E91" s="10" t="s">
        <v>301</v>
      </c>
      <c r="F91" s="10" t="s">
        <v>302</v>
      </c>
      <c r="G91" s="10" t="s">
        <v>303</v>
      </c>
      <c r="H91" s="46" t="s">
        <v>15</v>
      </c>
      <c r="I91" s="10" t="s">
        <v>304</v>
      </c>
      <c r="J91" s="34" t="s">
        <v>2155</v>
      </c>
      <c r="K91" s="34">
        <v>9</v>
      </c>
    </row>
    <row r="92" spans="1:11" ht="18" hidden="1" customHeight="1" x14ac:dyDescent="0.4">
      <c r="A92" s="6">
        <f t="shared" si="3"/>
        <v>91</v>
      </c>
      <c r="B92" s="7" t="s">
        <v>10</v>
      </c>
      <c r="C92" s="7" t="s">
        <v>41</v>
      </c>
      <c r="D92" s="8" t="s">
        <v>2229</v>
      </c>
      <c r="E92" s="7" t="s">
        <v>305</v>
      </c>
      <c r="F92" s="7" t="s">
        <v>306</v>
      </c>
      <c r="G92" s="7" t="s">
        <v>307</v>
      </c>
      <c r="H92" s="47" t="s">
        <v>49</v>
      </c>
      <c r="I92" s="7" t="s">
        <v>308</v>
      </c>
      <c r="J92" s="34"/>
      <c r="K92" s="34"/>
    </row>
    <row r="93" spans="1:11" ht="18" customHeight="1" x14ac:dyDescent="0.4">
      <c r="A93" s="9">
        <f t="shared" si="3"/>
        <v>92</v>
      </c>
      <c r="B93" s="10" t="s">
        <v>10</v>
      </c>
      <c r="C93" s="10" t="s">
        <v>41</v>
      </c>
      <c r="D93" s="11" t="s">
        <v>17</v>
      </c>
      <c r="E93" s="10" t="s">
        <v>309</v>
      </c>
      <c r="F93" s="10" t="s">
        <v>310</v>
      </c>
      <c r="G93" s="10" t="s">
        <v>311</v>
      </c>
      <c r="H93" s="46" t="s">
        <v>15</v>
      </c>
      <c r="I93" s="10" t="s">
        <v>308</v>
      </c>
      <c r="J93" s="34" t="s">
        <v>2155</v>
      </c>
      <c r="K93" s="34">
        <v>37</v>
      </c>
    </row>
    <row r="94" spans="1:11" ht="18" customHeight="1" x14ac:dyDescent="0.4">
      <c r="A94" s="6">
        <f t="shared" si="3"/>
        <v>93</v>
      </c>
      <c r="B94" s="7" t="s">
        <v>10</v>
      </c>
      <c r="C94" s="7" t="s">
        <v>45</v>
      </c>
      <c r="D94" s="8" t="s">
        <v>17</v>
      </c>
      <c r="E94" s="7" t="s">
        <v>312</v>
      </c>
      <c r="F94" s="7" t="s">
        <v>313</v>
      </c>
      <c r="G94" s="7" t="s">
        <v>123</v>
      </c>
      <c r="H94" s="46" t="s">
        <v>15</v>
      </c>
      <c r="I94" s="7" t="s">
        <v>314</v>
      </c>
      <c r="J94" s="34" t="s">
        <v>2155</v>
      </c>
      <c r="K94" s="34">
        <v>7</v>
      </c>
    </row>
    <row r="95" spans="1:11" ht="18" hidden="1" customHeight="1" x14ac:dyDescent="0.4">
      <c r="A95" s="9">
        <f t="shared" si="3"/>
        <v>94</v>
      </c>
      <c r="B95" s="10" t="s">
        <v>10</v>
      </c>
      <c r="C95" s="10" t="s">
        <v>45</v>
      </c>
      <c r="D95" s="11" t="s">
        <v>2229</v>
      </c>
      <c r="E95" s="10" t="s">
        <v>315</v>
      </c>
      <c r="F95" s="10" t="s">
        <v>316</v>
      </c>
      <c r="G95" s="10" t="s">
        <v>317</v>
      </c>
      <c r="H95" s="47" t="s">
        <v>49</v>
      </c>
      <c r="I95" s="10" t="s">
        <v>318</v>
      </c>
      <c r="J95" s="34"/>
      <c r="K95" s="34"/>
    </row>
    <row r="96" spans="1:11" ht="18" hidden="1" customHeight="1" x14ac:dyDescent="0.4">
      <c r="A96" s="6">
        <f t="shared" si="3"/>
        <v>95</v>
      </c>
      <c r="B96" s="7" t="s">
        <v>10</v>
      </c>
      <c r="C96" s="7" t="s">
        <v>45</v>
      </c>
      <c r="D96" s="8" t="s">
        <v>2229</v>
      </c>
      <c r="E96" s="7" t="s">
        <v>319</v>
      </c>
      <c r="F96" s="7" t="s">
        <v>320</v>
      </c>
      <c r="G96" s="7" t="s">
        <v>321</v>
      </c>
      <c r="H96" s="48" t="s">
        <v>49</v>
      </c>
      <c r="I96" s="7" t="s">
        <v>318</v>
      </c>
      <c r="J96" s="34"/>
      <c r="K96" s="34"/>
    </row>
    <row r="97" spans="1:11" ht="18" hidden="1" customHeight="1" x14ac:dyDescent="0.4">
      <c r="A97" s="9">
        <f t="shared" si="3"/>
        <v>96</v>
      </c>
      <c r="B97" s="10" t="s">
        <v>10</v>
      </c>
      <c r="C97" s="10" t="s">
        <v>45</v>
      </c>
      <c r="D97" s="11" t="s">
        <v>2229</v>
      </c>
      <c r="E97" s="10" t="s">
        <v>46</v>
      </c>
      <c r="F97" s="10" t="s">
        <v>322</v>
      </c>
      <c r="G97" s="10" t="s">
        <v>323</v>
      </c>
      <c r="H97" s="47" t="s">
        <v>49</v>
      </c>
      <c r="I97" s="10" t="s">
        <v>318</v>
      </c>
      <c r="J97" s="34"/>
      <c r="K97" s="34"/>
    </row>
    <row r="98" spans="1:11" ht="18" customHeight="1" x14ac:dyDescent="0.4">
      <c r="A98" s="6">
        <f t="shared" si="3"/>
        <v>97</v>
      </c>
      <c r="B98" s="7" t="s">
        <v>10</v>
      </c>
      <c r="C98" s="7" t="s">
        <v>45</v>
      </c>
      <c r="D98" s="8" t="s">
        <v>17</v>
      </c>
      <c r="E98" s="7" t="s">
        <v>324</v>
      </c>
      <c r="F98" s="7" t="s">
        <v>325</v>
      </c>
      <c r="G98" s="7" t="s">
        <v>326</v>
      </c>
      <c r="H98" s="47" t="s">
        <v>15</v>
      </c>
      <c r="I98" s="7" t="s">
        <v>318</v>
      </c>
      <c r="J98" s="34" t="s">
        <v>2155</v>
      </c>
      <c r="K98" s="34">
        <v>41</v>
      </c>
    </row>
    <row r="99" spans="1:11" ht="18" hidden="1" customHeight="1" x14ac:dyDescent="0.4">
      <c r="A99" s="9">
        <f t="shared" si="3"/>
        <v>98</v>
      </c>
      <c r="B99" s="10" t="s">
        <v>10</v>
      </c>
      <c r="C99" s="10" t="s">
        <v>45</v>
      </c>
      <c r="D99" s="11" t="s">
        <v>2229</v>
      </c>
      <c r="E99" s="10" t="s">
        <v>327</v>
      </c>
      <c r="F99" s="10" t="s">
        <v>13</v>
      </c>
      <c r="G99" s="10" t="s">
        <v>328</v>
      </c>
      <c r="H99" s="47" t="s">
        <v>49</v>
      </c>
      <c r="I99" s="10" t="s">
        <v>318</v>
      </c>
      <c r="J99" s="34"/>
      <c r="K99" s="34"/>
    </row>
    <row r="100" spans="1:11" ht="18" hidden="1" customHeight="1" x14ac:dyDescent="0.4">
      <c r="A100" s="6">
        <f t="shared" si="3"/>
        <v>99</v>
      </c>
      <c r="B100" s="7" t="s">
        <v>10</v>
      </c>
      <c r="C100" s="7" t="s">
        <v>45</v>
      </c>
      <c r="D100" s="8" t="s">
        <v>2229</v>
      </c>
      <c r="E100" s="7" t="s">
        <v>329</v>
      </c>
      <c r="F100" s="7" t="s">
        <v>219</v>
      </c>
      <c r="G100" s="7" t="s">
        <v>310</v>
      </c>
      <c r="H100" s="47" t="s">
        <v>49</v>
      </c>
      <c r="I100" s="7" t="s">
        <v>318</v>
      </c>
      <c r="J100" s="34"/>
      <c r="K100" s="34"/>
    </row>
    <row r="101" spans="1:11" ht="18" hidden="1" customHeight="1" x14ac:dyDescent="0.4">
      <c r="A101" s="9">
        <f t="shared" si="3"/>
        <v>100</v>
      </c>
      <c r="B101" s="10" t="s">
        <v>10</v>
      </c>
      <c r="C101" s="10" t="s">
        <v>45</v>
      </c>
      <c r="D101" s="11" t="s">
        <v>2229</v>
      </c>
      <c r="E101" s="10" t="s">
        <v>330</v>
      </c>
      <c r="F101" s="10" t="s">
        <v>331</v>
      </c>
      <c r="G101" s="10" t="s">
        <v>332</v>
      </c>
      <c r="H101" s="47" t="s">
        <v>49</v>
      </c>
      <c r="I101" s="10" t="s">
        <v>318</v>
      </c>
      <c r="J101" s="34"/>
      <c r="K101" s="34"/>
    </row>
    <row r="102" spans="1:11" ht="18" hidden="1" customHeight="1" x14ac:dyDescent="0.4">
      <c r="A102" s="6">
        <f t="shared" si="3"/>
        <v>101</v>
      </c>
      <c r="B102" s="7" t="s">
        <v>10</v>
      </c>
      <c r="C102" s="7" t="s">
        <v>45</v>
      </c>
      <c r="D102" s="8" t="s">
        <v>2229</v>
      </c>
      <c r="E102" s="7" t="s">
        <v>333</v>
      </c>
      <c r="F102" s="7" t="s">
        <v>334</v>
      </c>
      <c r="G102" s="7" t="s">
        <v>335</v>
      </c>
      <c r="H102" s="47" t="s">
        <v>49</v>
      </c>
      <c r="I102" s="7" t="s">
        <v>318</v>
      </c>
      <c r="J102" s="34"/>
      <c r="K102" s="34"/>
    </row>
    <row r="103" spans="1:11" ht="18" hidden="1" customHeight="1" x14ac:dyDescent="0.4">
      <c r="A103" s="9">
        <f t="shared" si="3"/>
        <v>102</v>
      </c>
      <c r="B103" s="10" t="s">
        <v>10</v>
      </c>
      <c r="C103" s="10" t="s">
        <v>45</v>
      </c>
      <c r="D103" s="11" t="s">
        <v>2229</v>
      </c>
      <c r="E103" s="10" t="s">
        <v>336</v>
      </c>
      <c r="F103" s="10" t="s">
        <v>337</v>
      </c>
      <c r="G103" s="10" t="s">
        <v>338</v>
      </c>
      <c r="H103" s="47" t="s">
        <v>49</v>
      </c>
      <c r="I103" s="10" t="s">
        <v>318</v>
      </c>
      <c r="J103" s="34"/>
      <c r="K103" s="34"/>
    </row>
    <row r="104" spans="1:11" ht="18" hidden="1" customHeight="1" x14ac:dyDescent="0.4">
      <c r="A104" s="6">
        <f t="shared" si="3"/>
        <v>103</v>
      </c>
      <c r="B104" s="7" t="s">
        <v>10</v>
      </c>
      <c r="C104" s="7" t="s">
        <v>45</v>
      </c>
      <c r="D104" s="8" t="s">
        <v>2229</v>
      </c>
      <c r="E104" s="7" t="s">
        <v>339</v>
      </c>
      <c r="F104" s="7" t="s">
        <v>340</v>
      </c>
      <c r="G104" s="7" t="s">
        <v>341</v>
      </c>
      <c r="H104" s="46" t="s">
        <v>49</v>
      </c>
      <c r="I104" s="7" t="s">
        <v>318</v>
      </c>
      <c r="J104" s="34"/>
      <c r="K104" s="34"/>
    </row>
    <row r="105" spans="1:11" ht="18" customHeight="1" x14ac:dyDescent="0.4">
      <c r="A105" s="9">
        <f t="shared" si="3"/>
        <v>104</v>
      </c>
      <c r="B105" s="10" t="s">
        <v>10</v>
      </c>
      <c r="C105" s="10" t="s">
        <v>45</v>
      </c>
      <c r="D105" s="11" t="s">
        <v>17</v>
      </c>
      <c r="E105" s="10" t="s">
        <v>90</v>
      </c>
      <c r="F105" s="10" t="s">
        <v>342</v>
      </c>
      <c r="G105" s="10" t="s">
        <v>30</v>
      </c>
      <c r="H105" s="46" t="s">
        <v>15</v>
      </c>
      <c r="I105" s="10" t="s">
        <v>318</v>
      </c>
      <c r="J105" s="34" t="s">
        <v>2155</v>
      </c>
      <c r="K105" s="34">
        <v>4</v>
      </c>
    </row>
    <row r="106" spans="1:11" ht="18" hidden="1" customHeight="1" x14ac:dyDescent="0.4">
      <c r="A106" s="6">
        <f t="shared" si="3"/>
        <v>105</v>
      </c>
      <c r="B106" s="7" t="s">
        <v>10</v>
      </c>
      <c r="C106" s="7" t="s">
        <v>45</v>
      </c>
      <c r="D106" s="8" t="s">
        <v>2229</v>
      </c>
      <c r="E106" s="7" t="s">
        <v>171</v>
      </c>
      <c r="F106" s="7" t="s">
        <v>265</v>
      </c>
      <c r="G106" s="7" t="s">
        <v>343</v>
      </c>
      <c r="H106" s="48" t="s">
        <v>49</v>
      </c>
      <c r="I106" s="7" t="s">
        <v>318</v>
      </c>
      <c r="J106" s="34"/>
      <c r="K106" s="34"/>
    </row>
    <row r="107" spans="1:11" ht="18" hidden="1" customHeight="1" x14ac:dyDescent="0.4">
      <c r="A107" s="9">
        <f t="shared" si="3"/>
        <v>106</v>
      </c>
      <c r="B107" s="10" t="s">
        <v>10</v>
      </c>
      <c r="C107" s="10" t="s">
        <v>45</v>
      </c>
      <c r="D107" s="11" t="s">
        <v>2229</v>
      </c>
      <c r="E107" s="10" t="s">
        <v>90</v>
      </c>
      <c r="F107" s="10" t="s">
        <v>344</v>
      </c>
      <c r="G107" s="10" t="s">
        <v>345</v>
      </c>
      <c r="H107" s="47" t="s">
        <v>49</v>
      </c>
      <c r="I107" s="10" t="s">
        <v>346</v>
      </c>
      <c r="J107" s="34"/>
      <c r="K107" s="34"/>
    </row>
    <row r="108" spans="1:11" ht="18" customHeight="1" x14ac:dyDescent="0.4">
      <c r="A108" s="6">
        <f t="shared" si="3"/>
        <v>107</v>
      </c>
      <c r="B108" s="7" t="s">
        <v>10</v>
      </c>
      <c r="C108" s="7" t="s">
        <v>45</v>
      </c>
      <c r="D108" s="8" t="s">
        <v>17</v>
      </c>
      <c r="E108" s="7" t="s">
        <v>347</v>
      </c>
      <c r="F108" s="7" t="s">
        <v>348</v>
      </c>
      <c r="G108" s="7" t="s">
        <v>349</v>
      </c>
      <c r="H108" s="47" t="s">
        <v>15</v>
      </c>
      <c r="I108" s="7" t="s">
        <v>350</v>
      </c>
      <c r="J108" s="34" t="s">
        <v>2155</v>
      </c>
      <c r="K108" s="34">
        <v>40</v>
      </c>
    </row>
    <row r="109" spans="1:11" ht="18" hidden="1" customHeight="1" x14ac:dyDescent="0.4">
      <c r="A109" s="9">
        <f t="shared" si="3"/>
        <v>108</v>
      </c>
      <c r="B109" s="10" t="s">
        <v>10</v>
      </c>
      <c r="C109" s="10" t="s">
        <v>45</v>
      </c>
      <c r="D109" s="11" t="s">
        <v>2229</v>
      </c>
      <c r="E109" s="10" t="s">
        <v>351</v>
      </c>
      <c r="F109" s="10" t="s">
        <v>285</v>
      </c>
      <c r="G109" s="10" t="s">
        <v>352</v>
      </c>
      <c r="H109" s="48" t="s">
        <v>49</v>
      </c>
      <c r="I109" s="10" t="s">
        <v>353</v>
      </c>
      <c r="J109" s="34"/>
      <c r="K109" s="34"/>
    </row>
    <row r="110" spans="1:11" ht="18" hidden="1" customHeight="1" x14ac:dyDescent="0.4">
      <c r="A110" s="6">
        <f t="shared" si="3"/>
        <v>109</v>
      </c>
      <c r="B110" s="7" t="s">
        <v>10</v>
      </c>
      <c r="C110" s="7" t="s">
        <v>45</v>
      </c>
      <c r="D110" s="8" t="s">
        <v>2229</v>
      </c>
      <c r="E110" s="7" t="s">
        <v>354</v>
      </c>
      <c r="F110" s="7" t="s">
        <v>355</v>
      </c>
      <c r="G110" s="7" t="s">
        <v>356</v>
      </c>
      <c r="H110" s="47" t="s">
        <v>49</v>
      </c>
      <c r="I110" s="7" t="s">
        <v>353</v>
      </c>
      <c r="J110" s="34"/>
      <c r="K110" s="34"/>
    </row>
    <row r="111" spans="1:11" ht="18" hidden="1" customHeight="1" x14ac:dyDescent="0.4">
      <c r="A111" s="9">
        <f t="shared" ref="A111:A142" si="4">IF(COUNTA(B111:I111)=0,"",ROW()-1)</f>
        <v>110</v>
      </c>
      <c r="B111" s="10" t="s">
        <v>10</v>
      </c>
      <c r="C111" s="10" t="s">
        <v>45</v>
      </c>
      <c r="D111" s="11" t="s">
        <v>2229</v>
      </c>
      <c r="E111" s="10" t="s">
        <v>357</v>
      </c>
      <c r="F111" s="10" t="s">
        <v>358</v>
      </c>
      <c r="G111" s="10" t="s">
        <v>359</v>
      </c>
      <c r="H111" s="47" t="s">
        <v>49</v>
      </c>
      <c r="I111" s="10" t="s">
        <v>353</v>
      </c>
      <c r="J111" s="34"/>
      <c r="K111" s="34"/>
    </row>
    <row r="112" spans="1:11" ht="18" hidden="1" customHeight="1" x14ac:dyDescent="0.4">
      <c r="A112" s="6">
        <f t="shared" si="4"/>
        <v>111</v>
      </c>
      <c r="B112" s="7" t="s">
        <v>10</v>
      </c>
      <c r="C112" s="7" t="s">
        <v>45</v>
      </c>
      <c r="D112" s="8" t="s">
        <v>2229</v>
      </c>
      <c r="E112" s="7" t="s">
        <v>360</v>
      </c>
      <c r="F112" s="7" t="s">
        <v>361</v>
      </c>
      <c r="G112" s="7" t="s">
        <v>355</v>
      </c>
      <c r="H112" s="47" t="s">
        <v>49</v>
      </c>
      <c r="I112" s="7" t="s">
        <v>353</v>
      </c>
      <c r="J112" s="34"/>
      <c r="K112" s="34"/>
    </row>
    <row r="113" spans="1:11" ht="18" hidden="1" customHeight="1" x14ac:dyDescent="0.4">
      <c r="A113" s="9">
        <f t="shared" si="4"/>
        <v>112</v>
      </c>
      <c r="B113" s="10" t="s">
        <v>10</v>
      </c>
      <c r="C113" s="10" t="s">
        <v>45</v>
      </c>
      <c r="D113" s="11" t="s">
        <v>2229</v>
      </c>
      <c r="E113" s="10" t="s">
        <v>362</v>
      </c>
      <c r="F113" s="10" t="s">
        <v>363</v>
      </c>
      <c r="G113" s="10" t="s">
        <v>364</v>
      </c>
      <c r="H113" s="48" t="s">
        <v>49</v>
      </c>
      <c r="I113" s="10" t="s">
        <v>353</v>
      </c>
      <c r="J113" s="34"/>
      <c r="K113" s="34"/>
    </row>
    <row r="114" spans="1:11" ht="18" hidden="1" customHeight="1" x14ac:dyDescent="0.4">
      <c r="A114" s="6">
        <f t="shared" si="4"/>
        <v>113</v>
      </c>
      <c r="B114" s="7" t="s">
        <v>10</v>
      </c>
      <c r="C114" s="7" t="s">
        <v>45</v>
      </c>
      <c r="D114" s="8" t="s">
        <v>2229</v>
      </c>
      <c r="E114" s="7" t="s">
        <v>365</v>
      </c>
      <c r="F114" s="7" t="s">
        <v>366</v>
      </c>
      <c r="G114" s="7" t="s">
        <v>367</v>
      </c>
      <c r="H114" s="47" t="s">
        <v>49</v>
      </c>
      <c r="I114" s="7" t="s">
        <v>353</v>
      </c>
      <c r="J114" s="34"/>
      <c r="K114" s="34"/>
    </row>
    <row r="115" spans="1:11" ht="18" hidden="1" customHeight="1" x14ac:dyDescent="0.4">
      <c r="A115" s="9">
        <f t="shared" si="4"/>
        <v>114</v>
      </c>
      <c r="B115" s="10" t="s">
        <v>10</v>
      </c>
      <c r="C115" s="10" t="s">
        <v>45</v>
      </c>
      <c r="D115" s="11" t="s">
        <v>2229</v>
      </c>
      <c r="E115" s="10" t="s">
        <v>66</v>
      </c>
      <c r="F115" s="10" t="s">
        <v>368</v>
      </c>
      <c r="G115" s="10" t="s">
        <v>30</v>
      </c>
      <c r="H115" s="47" t="s">
        <v>49</v>
      </c>
      <c r="I115" s="10" t="s">
        <v>353</v>
      </c>
      <c r="J115" s="34"/>
      <c r="K115" s="34"/>
    </row>
    <row r="116" spans="1:11" ht="18" hidden="1" customHeight="1" x14ac:dyDescent="0.4">
      <c r="A116" s="6">
        <f t="shared" si="4"/>
        <v>115</v>
      </c>
      <c r="B116" s="7" t="s">
        <v>10</v>
      </c>
      <c r="C116" s="7" t="s">
        <v>45</v>
      </c>
      <c r="D116" s="8" t="s">
        <v>2229</v>
      </c>
      <c r="E116" s="7" t="s">
        <v>369</v>
      </c>
      <c r="F116" s="7" t="s">
        <v>370</v>
      </c>
      <c r="G116" s="7" t="s">
        <v>371</v>
      </c>
      <c r="H116" s="47" t="s">
        <v>49</v>
      </c>
      <c r="I116" s="7" t="s">
        <v>353</v>
      </c>
      <c r="J116" s="34"/>
      <c r="K116" s="34"/>
    </row>
    <row r="117" spans="1:11" ht="18" hidden="1" customHeight="1" x14ac:dyDescent="0.4">
      <c r="A117" s="9">
        <f t="shared" si="4"/>
        <v>116</v>
      </c>
      <c r="B117" s="10" t="s">
        <v>10</v>
      </c>
      <c r="C117" s="10" t="s">
        <v>45</v>
      </c>
      <c r="D117" s="11" t="s">
        <v>2229</v>
      </c>
      <c r="E117" s="10" t="s">
        <v>372</v>
      </c>
      <c r="F117" s="10" t="s">
        <v>373</v>
      </c>
      <c r="G117" s="10" t="s">
        <v>374</v>
      </c>
      <c r="H117" s="47" t="s">
        <v>49</v>
      </c>
      <c r="I117" s="10" t="s">
        <v>353</v>
      </c>
      <c r="J117" s="34"/>
      <c r="K117" s="34"/>
    </row>
    <row r="118" spans="1:11" ht="18" hidden="1" customHeight="1" x14ac:dyDescent="0.4">
      <c r="A118" s="6">
        <f t="shared" si="4"/>
        <v>117</v>
      </c>
      <c r="B118" s="7" t="s">
        <v>10</v>
      </c>
      <c r="C118" s="7" t="s">
        <v>45</v>
      </c>
      <c r="D118" s="8" t="s">
        <v>2229</v>
      </c>
      <c r="E118" s="7" t="s">
        <v>375</v>
      </c>
      <c r="F118" s="7" t="s">
        <v>376</v>
      </c>
      <c r="G118" s="7" t="s">
        <v>230</v>
      </c>
      <c r="H118" s="47" t="s">
        <v>49</v>
      </c>
      <c r="I118" s="7" t="s">
        <v>353</v>
      </c>
      <c r="J118" s="34"/>
      <c r="K118" s="34"/>
    </row>
    <row r="119" spans="1:11" ht="18" customHeight="1" x14ac:dyDescent="0.4">
      <c r="A119" s="9">
        <f t="shared" si="4"/>
        <v>118</v>
      </c>
      <c r="B119" s="10" t="s">
        <v>10</v>
      </c>
      <c r="C119" s="10" t="s">
        <v>45</v>
      </c>
      <c r="D119" s="11" t="s">
        <v>17</v>
      </c>
      <c r="E119" s="10" t="s">
        <v>377</v>
      </c>
      <c r="F119" s="10" t="s">
        <v>378</v>
      </c>
      <c r="G119" s="10" t="s">
        <v>68</v>
      </c>
      <c r="H119" s="46" t="s">
        <v>15</v>
      </c>
      <c r="I119" s="10" t="s">
        <v>350</v>
      </c>
      <c r="J119" s="34" t="s">
        <v>2155</v>
      </c>
      <c r="K119" s="34">
        <v>39</v>
      </c>
    </row>
    <row r="120" spans="1:11" ht="18" customHeight="1" x14ac:dyDescent="0.4">
      <c r="A120" s="6">
        <f t="shared" si="4"/>
        <v>119</v>
      </c>
      <c r="B120" s="7" t="s">
        <v>10</v>
      </c>
      <c r="C120" s="7" t="s">
        <v>45</v>
      </c>
      <c r="D120" s="8" t="s">
        <v>17</v>
      </c>
      <c r="E120" s="7" t="s">
        <v>256</v>
      </c>
      <c r="F120" s="7" t="s">
        <v>379</v>
      </c>
      <c r="G120" s="7" t="s">
        <v>68</v>
      </c>
      <c r="H120" s="46" t="s">
        <v>15</v>
      </c>
      <c r="I120" s="7" t="s">
        <v>350</v>
      </c>
      <c r="J120" s="34" t="s">
        <v>2155</v>
      </c>
      <c r="K120" s="34">
        <v>6</v>
      </c>
    </row>
    <row r="121" spans="1:11" ht="18" customHeight="1" x14ac:dyDescent="0.4">
      <c r="A121" s="9">
        <f t="shared" si="4"/>
        <v>120</v>
      </c>
      <c r="B121" s="10" t="s">
        <v>10</v>
      </c>
      <c r="C121" s="10" t="s">
        <v>45</v>
      </c>
      <c r="D121" s="11" t="s">
        <v>17</v>
      </c>
      <c r="E121" s="10" t="s">
        <v>380</v>
      </c>
      <c r="F121" s="10" t="s">
        <v>381</v>
      </c>
      <c r="G121" s="10" t="s">
        <v>382</v>
      </c>
      <c r="H121" s="47" t="s">
        <v>15</v>
      </c>
      <c r="I121" s="10" t="s">
        <v>350</v>
      </c>
      <c r="J121" s="34" t="s">
        <v>2155</v>
      </c>
      <c r="K121" s="34">
        <v>42</v>
      </c>
    </row>
    <row r="122" spans="1:11" ht="18" customHeight="1" x14ac:dyDescent="0.4">
      <c r="A122" s="6">
        <f t="shared" si="4"/>
        <v>121</v>
      </c>
      <c r="B122" s="7" t="s">
        <v>10</v>
      </c>
      <c r="C122" s="7" t="s">
        <v>45</v>
      </c>
      <c r="D122" s="8" t="s">
        <v>17</v>
      </c>
      <c r="E122" s="7" t="s">
        <v>383</v>
      </c>
      <c r="F122" s="7" t="s">
        <v>68</v>
      </c>
      <c r="G122" s="7" t="s">
        <v>96</v>
      </c>
      <c r="H122" s="46" t="s">
        <v>15</v>
      </c>
      <c r="I122" s="7" t="s">
        <v>350</v>
      </c>
      <c r="J122" s="34" t="s">
        <v>2155</v>
      </c>
      <c r="K122" s="34">
        <v>5</v>
      </c>
    </row>
    <row r="123" spans="1:11" ht="18" hidden="1" customHeight="1" x14ac:dyDescent="0.4">
      <c r="A123" s="9">
        <f t="shared" si="4"/>
        <v>122</v>
      </c>
      <c r="B123" s="10" t="s">
        <v>10</v>
      </c>
      <c r="C123" s="10" t="s">
        <v>45</v>
      </c>
      <c r="D123" s="11" t="s">
        <v>2229</v>
      </c>
      <c r="E123" s="10" t="s">
        <v>312</v>
      </c>
      <c r="F123" s="10" t="s">
        <v>384</v>
      </c>
      <c r="G123" s="10" t="s">
        <v>385</v>
      </c>
      <c r="H123" s="47" t="s">
        <v>49</v>
      </c>
      <c r="I123" s="10" t="s">
        <v>350</v>
      </c>
      <c r="J123" s="34"/>
      <c r="K123" s="34"/>
    </row>
    <row r="124" spans="1:11" ht="18" customHeight="1" x14ac:dyDescent="0.4">
      <c r="A124" s="6">
        <f t="shared" si="4"/>
        <v>123</v>
      </c>
      <c r="B124" s="7" t="s">
        <v>10</v>
      </c>
      <c r="C124" s="7" t="s">
        <v>45</v>
      </c>
      <c r="D124" s="8" t="s">
        <v>17</v>
      </c>
      <c r="E124" s="7" t="s">
        <v>386</v>
      </c>
      <c r="F124" s="7" t="s">
        <v>72</v>
      </c>
      <c r="G124" s="7" t="s">
        <v>387</v>
      </c>
      <c r="H124" s="46" t="s">
        <v>15</v>
      </c>
      <c r="I124" s="7" t="s">
        <v>350</v>
      </c>
      <c r="J124" s="34" t="s">
        <v>2155</v>
      </c>
      <c r="K124" s="34">
        <v>43</v>
      </c>
    </row>
    <row r="125" spans="1:11" ht="18" customHeight="1" x14ac:dyDescent="0.4">
      <c r="A125" s="9">
        <f t="shared" si="4"/>
        <v>124</v>
      </c>
      <c r="B125" s="10" t="s">
        <v>10</v>
      </c>
      <c r="C125" s="10" t="s">
        <v>45</v>
      </c>
      <c r="D125" s="11" t="s">
        <v>17</v>
      </c>
      <c r="E125" s="10" t="s">
        <v>357</v>
      </c>
      <c r="F125" s="10" t="s">
        <v>388</v>
      </c>
      <c r="G125" s="10" t="s">
        <v>241</v>
      </c>
      <c r="H125" s="46" t="s">
        <v>15</v>
      </c>
      <c r="I125" s="10" t="s">
        <v>350</v>
      </c>
      <c r="J125" s="34" t="s">
        <v>2155</v>
      </c>
      <c r="K125" s="34">
        <v>45</v>
      </c>
    </row>
    <row r="126" spans="1:11" ht="18" hidden="1" customHeight="1" x14ac:dyDescent="0.4">
      <c r="A126" s="6">
        <f t="shared" si="4"/>
        <v>125</v>
      </c>
      <c r="B126" s="7" t="s">
        <v>10</v>
      </c>
      <c r="C126" s="7" t="s">
        <v>45</v>
      </c>
      <c r="D126" s="8" t="s">
        <v>2229</v>
      </c>
      <c r="E126" s="7" t="s">
        <v>389</v>
      </c>
      <c r="F126" s="7" t="s">
        <v>390</v>
      </c>
      <c r="G126" s="7" t="s">
        <v>391</v>
      </c>
      <c r="H126" s="47" t="s">
        <v>49</v>
      </c>
      <c r="I126" s="7" t="s">
        <v>392</v>
      </c>
      <c r="J126" s="34"/>
      <c r="K126" s="34"/>
    </row>
    <row r="127" spans="1:11" ht="18" customHeight="1" x14ac:dyDescent="0.4">
      <c r="A127" s="9">
        <f t="shared" si="4"/>
        <v>126</v>
      </c>
      <c r="B127" s="10" t="s">
        <v>10</v>
      </c>
      <c r="C127" s="10" t="s">
        <v>45</v>
      </c>
      <c r="D127" s="11" t="s">
        <v>17</v>
      </c>
      <c r="E127" s="10" t="s">
        <v>393</v>
      </c>
      <c r="F127" s="10" t="s">
        <v>72</v>
      </c>
      <c r="G127" s="10" t="s">
        <v>394</v>
      </c>
      <c r="H127" s="47" t="s">
        <v>15</v>
      </c>
      <c r="I127" s="10" t="s">
        <v>392</v>
      </c>
      <c r="J127" s="34" t="s">
        <v>2155</v>
      </c>
      <c r="K127" s="34">
        <v>3</v>
      </c>
    </row>
    <row r="128" spans="1:11" ht="18" customHeight="1" x14ac:dyDescent="0.4">
      <c r="A128" s="6">
        <f t="shared" si="4"/>
        <v>127</v>
      </c>
      <c r="B128" s="7" t="s">
        <v>10</v>
      </c>
      <c r="C128" s="7" t="s">
        <v>45</v>
      </c>
      <c r="D128" s="8" t="s">
        <v>17</v>
      </c>
      <c r="E128" s="7" t="s">
        <v>347</v>
      </c>
      <c r="F128" s="7" t="s">
        <v>395</v>
      </c>
      <c r="G128" s="7" t="s">
        <v>77</v>
      </c>
      <c r="H128" s="48" t="s">
        <v>15</v>
      </c>
      <c r="I128" s="7" t="s">
        <v>392</v>
      </c>
      <c r="J128" s="34" t="s">
        <v>2155</v>
      </c>
      <c r="K128" s="34">
        <v>44</v>
      </c>
    </row>
    <row r="129" spans="1:11" ht="18" hidden="1" customHeight="1" x14ac:dyDescent="0.4">
      <c r="A129" s="9">
        <f t="shared" si="4"/>
        <v>128</v>
      </c>
      <c r="B129" s="10" t="s">
        <v>10</v>
      </c>
      <c r="C129" s="10" t="s">
        <v>45</v>
      </c>
      <c r="D129" s="11" t="s">
        <v>2229</v>
      </c>
      <c r="E129" s="10" t="s">
        <v>354</v>
      </c>
      <c r="F129" s="10" t="s">
        <v>396</v>
      </c>
      <c r="G129" s="10" t="s">
        <v>397</v>
      </c>
      <c r="H129" s="47" t="s">
        <v>49</v>
      </c>
      <c r="I129" s="10" t="s">
        <v>392</v>
      </c>
      <c r="J129" s="34"/>
      <c r="K129" s="34"/>
    </row>
    <row r="130" spans="1:11" ht="18" customHeight="1" x14ac:dyDescent="0.4">
      <c r="A130" s="6">
        <f t="shared" si="4"/>
        <v>129</v>
      </c>
      <c r="B130" s="7" t="s">
        <v>10</v>
      </c>
      <c r="C130" s="7" t="s">
        <v>45</v>
      </c>
      <c r="D130" s="8" t="s">
        <v>17</v>
      </c>
      <c r="E130" s="7" t="s">
        <v>398</v>
      </c>
      <c r="F130" s="7" t="s">
        <v>399</v>
      </c>
      <c r="G130" s="7" t="s">
        <v>400</v>
      </c>
      <c r="H130" s="47" t="s">
        <v>40</v>
      </c>
      <c r="I130" s="7" t="s">
        <v>392</v>
      </c>
      <c r="J130" s="34"/>
      <c r="K130" s="34"/>
    </row>
    <row r="131" spans="1:11" ht="18" hidden="1" customHeight="1" x14ac:dyDescent="0.4">
      <c r="A131" s="9">
        <f t="shared" si="4"/>
        <v>130</v>
      </c>
      <c r="B131" s="10" t="s">
        <v>10</v>
      </c>
      <c r="C131" s="10" t="s">
        <v>401</v>
      </c>
      <c r="D131" s="11" t="s">
        <v>2229</v>
      </c>
      <c r="E131" s="10" t="s">
        <v>347</v>
      </c>
      <c r="F131" s="10" t="s">
        <v>402</v>
      </c>
      <c r="G131" s="10" t="s">
        <v>403</v>
      </c>
      <c r="H131" s="48" t="s">
        <v>49</v>
      </c>
      <c r="I131" s="10" t="s">
        <v>404</v>
      </c>
      <c r="J131" s="34"/>
      <c r="K131" s="34"/>
    </row>
    <row r="132" spans="1:11" ht="18" customHeight="1" x14ac:dyDescent="0.4">
      <c r="A132" s="6">
        <f t="shared" si="4"/>
        <v>131</v>
      </c>
      <c r="B132" s="7" t="s">
        <v>10</v>
      </c>
      <c r="C132" s="7" t="s">
        <v>401</v>
      </c>
      <c r="D132" s="8" t="s">
        <v>17</v>
      </c>
      <c r="E132" s="7" t="s">
        <v>405</v>
      </c>
      <c r="F132" s="7" t="s">
        <v>406</v>
      </c>
      <c r="G132" s="7" t="s">
        <v>407</v>
      </c>
      <c r="H132" s="46" t="s">
        <v>15</v>
      </c>
      <c r="I132" s="7" t="s">
        <v>408</v>
      </c>
      <c r="J132" s="34" t="s">
        <v>2156</v>
      </c>
      <c r="K132" s="34">
        <v>23</v>
      </c>
    </row>
    <row r="133" spans="1:11" ht="18" customHeight="1" x14ac:dyDescent="0.4">
      <c r="A133" s="9">
        <f t="shared" si="4"/>
        <v>132</v>
      </c>
      <c r="B133" s="10" t="s">
        <v>10</v>
      </c>
      <c r="C133" s="10" t="s">
        <v>401</v>
      </c>
      <c r="D133" s="11" t="s">
        <v>17</v>
      </c>
      <c r="E133" s="10" t="s">
        <v>409</v>
      </c>
      <c r="F133" s="10" t="s">
        <v>410</v>
      </c>
      <c r="G133" s="10" t="s">
        <v>411</v>
      </c>
      <c r="H133" s="46" t="s">
        <v>15</v>
      </c>
      <c r="I133" s="10" t="s">
        <v>412</v>
      </c>
      <c r="J133" s="34" t="s">
        <v>2156</v>
      </c>
      <c r="K133" s="34">
        <v>19</v>
      </c>
    </row>
    <row r="134" spans="1:11" ht="18" hidden="1" customHeight="1" x14ac:dyDescent="0.4">
      <c r="A134" s="6">
        <f t="shared" si="4"/>
        <v>133</v>
      </c>
      <c r="B134" s="7" t="s">
        <v>10</v>
      </c>
      <c r="C134" s="7" t="s">
        <v>401</v>
      </c>
      <c r="D134" s="8" t="s">
        <v>2229</v>
      </c>
      <c r="E134" s="7" t="s">
        <v>413</v>
      </c>
      <c r="F134" s="7" t="s">
        <v>184</v>
      </c>
      <c r="G134" s="7" t="s">
        <v>414</v>
      </c>
      <c r="H134" s="48" t="s">
        <v>49</v>
      </c>
      <c r="I134" s="7" t="s">
        <v>415</v>
      </c>
      <c r="J134" s="34"/>
      <c r="K134" s="34"/>
    </row>
    <row r="135" spans="1:11" ht="18" hidden="1" customHeight="1" x14ac:dyDescent="0.4">
      <c r="A135" s="9">
        <f t="shared" si="4"/>
        <v>134</v>
      </c>
      <c r="B135" s="10" t="s">
        <v>10</v>
      </c>
      <c r="C135" s="10" t="s">
        <v>401</v>
      </c>
      <c r="D135" s="11" t="s">
        <v>2229</v>
      </c>
      <c r="E135" s="10" t="s">
        <v>416</v>
      </c>
      <c r="F135" s="10" t="s">
        <v>417</v>
      </c>
      <c r="G135" s="10" t="s">
        <v>418</v>
      </c>
      <c r="H135" s="48" t="s">
        <v>49</v>
      </c>
      <c r="I135" s="10" t="s">
        <v>419</v>
      </c>
      <c r="J135" s="34"/>
      <c r="K135" s="34"/>
    </row>
    <row r="136" spans="1:11" ht="18" hidden="1" customHeight="1" x14ac:dyDescent="0.4">
      <c r="A136" s="6">
        <f t="shared" si="4"/>
        <v>135</v>
      </c>
      <c r="B136" s="7" t="s">
        <v>10</v>
      </c>
      <c r="C136" s="7" t="s">
        <v>401</v>
      </c>
      <c r="D136" s="8" t="s">
        <v>2229</v>
      </c>
      <c r="E136" s="7" t="s">
        <v>420</v>
      </c>
      <c r="F136" s="7" t="s">
        <v>421</v>
      </c>
      <c r="G136" s="7" t="s">
        <v>283</v>
      </c>
      <c r="H136" s="48" t="s">
        <v>49</v>
      </c>
      <c r="I136" s="7" t="s">
        <v>422</v>
      </c>
      <c r="J136" s="34"/>
      <c r="K136" s="34"/>
    </row>
    <row r="137" spans="1:11" ht="18" customHeight="1" x14ac:dyDescent="0.4">
      <c r="A137" s="9">
        <f t="shared" si="4"/>
        <v>136</v>
      </c>
      <c r="B137" s="10" t="s">
        <v>10</v>
      </c>
      <c r="C137" s="10" t="s">
        <v>401</v>
      </c>
      <c r="D137" s="11" t="s">
        <v>17</v>
      </c>
      <c r="E137" s="10" t="s">
        <v>423</v>
      </c>
      <c r="F137" s="10" t="s">
        <v>424</v>
      </c>
      <c r="G137" s="10" t="s">
        <v>425</v>
      </c>
      <c r="H137" s="46" t="s">
        <v>15</v>
      </c>
      <c r="I137" s="10" t="s">
        <v>426</v>
      </c>
      <c r="J137" s="34" t="s">
        <v>2156</v>
      </c>
      <c r="K137" s="34">
        <v>24</v>
      </c>
    </row>
    <row r="138" spans="1:11" ht="18" customHeight="1" x14ac:dyDescent="0.4">
      <c r="A138" s="6">
        <f t="shared" si="4"/>
        <v>137</v>
      </c>
      <c r="B138" s="7" t="s">
        <v>10</v>
      </c>
      <c r="C138" s="7" t="s">
        <v>427</v>
      </c>
      <c r="D138" s="8" t="s">
        <v>17</v>
      </c>
      <c r="E138" s="7" t="s">
        <v>218</v>
      </c>
      <c r="F138" s="7" t="s">
        <v>428</v>
      </c>
      <c r="G138" s="7" t="s">
        <v>429</v>
      </c>
      <c r="H138" s="46" t="s">
        <v>15</v>
      </c>
      <c r="I138" s="7" t="s">
        <v>430</v>
      </c>
      <c r="J138" s="34" t="s">
        <v>2156</v>
      </c>
      <c r="K138" s="34">
        <v>9</v>
      </c>
    </row>
    <row r="139" spans="1:11" ht="18" hidden="1" customHeight="1" x14ac:dyDescent="0.4">
      <c r="A139" s="9">
        <f t="shared" si="4"/>
        <v>138</v>
      </c>
      <c r="B139" s="10" t="s">
        <v>10</v>
      </c>
      <c r="C139" s="10" t="s">
        <v>401</v>
      </c>
      <c r="D139" s="11" t="s">
        <v>2229</v>
      </c>
      <c r="E139" s="10" t="s">
        <v>278</v>
      </c>
      <c r="F139" s="10" t="s">
        <v>250</v>
      </c>
      <c r="G139" s="10" t="s">
        <v>431</v>
      </c>
      <c r="H139" s="48" t="s">
        <v>49</v>
      </c>
      <c r="I139" s="10" t="s">
        <v>432</v>
      </c>
      <c r="J139" s="34"/>
      <c r="K139" s="34"/>
    </row>
    <row r="140" spans="1:11" ht="18" customHeight="1" x14ac:dyDescent="0.4">
      <c r="A140" s="6">
        <f t="shared" si="4"/>
        <v>139</v>
      </c>
      <c r="B140" s="7" t="s">
        <v>548</v>
      </c>
      <c r="C140" s="7" t="s">
        <v>554</v>
      </c>
      <c r="D140" s="8" t="s">
        <v>2173</v>
      </c>
      <c r="E140" s="7" t="s">
        <v>555</v>
      </c>
      <c r="F140" s="7" t="s">
        <v>556</v>
      </c>
      <c r="G140" s="7" t="s">
        <v>557</v>
      </c>
      <c r="H140" s="46" t="s">
        <v>15</v>
      </c>
      <c r="I140" s="7" t="s">
        <v>558</v>
      </c>
      <c r="J140" s="34" t="s">
        <v>2155</v>
      </c>
      <c r="K140" s="34">
        <v>2</v>
      </c>
    </row>
    <row r="141" spans="1:11" s="2" customFormat="1" ht="18" hidden="1" customHeight="1" x14ac:dyDescent="0.4">
      <c r="A141" s="9">
        <f t="shared" si="4"/>
        <v>140</v>
      </c>
      <c r="B141" s="10" t="s">
        <v>10</v>
      </c>
      <c r="C141" s="10"/>
      <c r="D141" s="11" t="s">
        <v>2229</v>
      </c>
      <c r="E141" s="10" t="s">
        <v>102</v>
      </c>
      <c r="F141" s="10" t="s">
        <v>437</v>
      </c>
      <c r="G141" s="10" t="s">
        <v>438</v>
      </c>
      <c r="H141" s="47" t="s">
        <v>49</v>
      </c>
      <c r="I141" s="10" t="s">
        <v>2153</v>
      </c>
      <c r="J141" s="34"/>
      <c r="K141" s="34"/>
    </row>
    <row r="142" spans="1:11" ht="18" customHeight="1" x14ac:dyDescent="0.4">
      <c r="A142" s="6">
        <f t="shared" si="4"/>
        <v>141</v>
      </c>
      <c r="B142" s="7" t="s">
        <v>10</v>
      </c>
      <c r="C142" s="7" t="s">
        <v>65</v>
      </c>
      <c r="D142" s="8" t="s">
        <v>17</v>
      </c>
      <c r="E142" s="7" t="s">
        <v>439</v>
      </c>
      <c r="F142" s="7" t="s">
        <v>440</v>
      </c>
      <c r="G142" s="7" t="s">
        <v>88</v>
      </c>
      <c r="H142" s="46" t="s">
        <v>15</v>
      </c>
      <c r="I142" s="7" t="s">
        <v>441</v>
      </c>
      <c r="J142" s="34" t="s">
        <v>2156</v>
      </c>
      <c r="K142" s="34">
        <v>27</v>
      </c>
    </row>
    <row r="143" spans="1:11" ht="18" customHeight="1" x14ac:dyDescent="0.4">
      <c r="A143" s="9">
        <f t="shared" ref="A143:A174" si="5">IF(COUNTA(B143:I143)=0,"",ROW()-1)</f>
        <v>142</v>
      </c>
      <c r="B143" s="10" t="s">
        <v>10</v>
      </c>
      <c r="C143" s="10" t="s">
        <v>442</v>
      </c>
      <c r="D143" s="11" t="s">
        <v>17</v>
      </c>
      <c r="E143" s="10" t="s">
        <v>443</v>
      </c>
      <c r="F143" s="10" t="s">
        <v>231</v>
      </c>
      <c r="G143" s="10" t="s">
        <v>96</v>
      </c>
      <c r="H143" s="46" t="s">
        <v>15</v>
      </c>
      <c r="I143" s="10" t="s">
        <v>444</v>
      </c>
      <c r="J143" s="34" t="s">
        <v>2156</v>
      </c>
      <c r="K143" s="34">
        <v>38</v>
      </c>
    </row>
    <row r="144" spans="1:11" ht="18" customHeight="1" x14ac:dyDescent="0.4">
      <c r="A144" s="6">
        <f t="shared" si="5"/>
        <v>143</v>
      </c>
      <c r="B144" s="7" t="s">
        <v>10</v>
      </c>
      <c r="C144" s="7"/>
      <c r="D144" s="8" t="s">
        <v>17</v>
      </c>
      <c r="E144" s="7" t="s">
        <v>445</v>
      </c>
      <c r="F144" s="7" t="s">
        <v>446</v>
      </c>
      <c r="G144" s="7" t="s">
        <v>447</v>
      </c>
      <c r="H144" s="46" t="s">
        <v>15</v>
      </c>
      <c r="I144" s="7" t="s">
        <v>448</v>
      </c>
      <c r="J144" s="34" t="s">
        <v>2156</v>
      </c>
      <c r="K144" s="34">
        <v>39</v>
      </c>
    </row>
    <row r="145" spans="1:11" ht="18" hidden="1" customHeight="1" x14ac:dyDescent="0.4">
      <c r="A145" s="9">
        <f t="shared" si="5"/>
        <v>144</v>
      </c>
      <c r="B145" s="10" t="s">
        <v>10</v>
      </c>
      <c r="C145" s="10"/>
      <c r="D145" s="11" t="s">
        <v>2229</v>
      </c>
      <c r="E145" s="10" t="s">
        <v>449</v>
      </c>
      <c r="F145" s="10" t="s">
        <v>450</v>
      </c>
      <c r="G145" s="10"/>
      <c r="H145" s="48" t="s">
        <v>49</v>
      </c>
      <c r="I145" s="10" t="s">
        <v>451</v>
      </c>
      <c r="J145" s="34"/>
      <c r="K145" s="34"/>
    </row>
    <row r="146" spans="1:11" ht="18" hidden="1" customHeight="1" x14ac:dyDescent="0.4">
      <c r="A146" s="6">
        <f t="shared" si="5"/>
        <v>145</v>
      </c>
      <c r="B146" s="7" t="s">
        <v>10</v>
      </c>
      <c r="C146" s="7"/>
      <c r="D146" s="8" t="s">
        <v>2229</v>
      </c>
      <c r="E146" s="7" t="s">
        <v>347</v>
      </c>
      <c r="F146" s="7" t="s">
        <v>452</v>
      </c>
      <c r="G146" s="7" t="s">
        <v>453</v>
      </c>
      <c r="H146" s="48" t="s">
        <v>49</v>
      </c>
      <c r="I146" s="7" t="s">
        <v>454</v>
      </c>
      <c r="J146" s="34"/>
      <c r="K146" s="34"/>
    </row>
    <row r="147" spans="1:11" ht="18" hidden="1" customHeight="1" x14ac:dyDescent="0.4">
      <c r="A147" s="9">
        <f t="shared" si="5"/>
        <v>146</v>
      </c>
      <c r="B147" s="10" t="s">
        <v>10</v>
      </c>
      <c r="C147" s="10"/>
      <c r="D147" s="11" t="s">
        <v>2229</v>
      </c>
      <c r="E147" s="10" t="s">
        <v>455</v>
      </c>
      <c r="F147" s="10" t="s">
        <v>456</v>
      </c>
      <c r="G147" s="10"/>
      <c r="H147" s="47" t="s">
        <v>49</v>
      </c>
      <c r="I147" s="10" t="s">
        <v>457</v>
      </c>
      <c r="J147" s="34"/>
      <c r="K147" s="34"/>
    </row>
    <row r="148" spans="1:11" ht="18" hidden="1" customHeight="1" x14ac:dyDescent="0.4">
      <c r="A148" s="6">
        <f t="shared" si="5"/>
        <v>147</v>
      </c>
      <c r="B148" s="7" t="s">
        <v>10</v>
      </c>
      <c r="C148" s="7"/>
      <c r="D148" s="8" t="s">
        <v>2229</v>
      </c>
      <c r="E148" s="7" t="s">
        <v>24</v>
      </c>
      <c r="F148" s="7" t="s">
        <v>458</v>
      </c>
      <c r="G148" s="7"/>
      <c r="H148" s="47" t="s">
        <v>49</v>
      </c>
      <c r="I148" s="7" t="s">
        <v>459</v>
      </c>
      <c r="J148" s="34"/>
      <c r="K148" s="34"/>
    </row>
    <row r="149" spans="1:11" ht="18" hidden="1" customHeight="1" x14ac:dyDescent="0.4">
      <c r="A149" s="9">
        <f t="shared" si="5"/>
        <v>148</v>
      </c>
      <c r="B149" s="10" t="s">
        <v>10</v>
      </c>
      <c r="C149" s="10" t="s">
        <v>65</v>
      </c>
      <c r="D149" s="11" t="s">
        <v>2229</v>
      </c>
      <c r="E149" s="10" t="s">
        <v>460</v>
      </c>
      <c r="F149" s="10" t="s">
        <v>461</v>
      </c>
      <c r="G149" s="10" t="s">
        <v>462</v>
      </c>
      <c r="H149" s="48" t="s">
        <v>49</v>
      </c>
      <c r="I149" s="10" t="s">
        <v>463</v>
      </c>
      <c r="J149" s="34"/>
      <c r="K149" s="34"/>
    </row>
    <row r="150" spans="1:11" ht="18" hidden="1" customHeight="1" x14ac:dyDescent="0.4">
      <c r="A150" s="6">
        <f t="shared" si="5"/>
        <v>149</v>
      </c>
      <c r="B150" s="7" t="s">
        <v>10</v>
      </c>
      <c r="C150" s="7"/>
      <c r="D150" s="8" t="s">
        <v>2229</v>
      </c>
      <c r="E150" s="7" t="s">
        <v>464</v>
      </c>
      <c r="F150" s="7" t="s">
        <v>123</v>
      </c>
      <c r="G150" s="7" t="s">
        <v>465</v>
      </c>
      <c r="H150" s="48" t="s">
        <v>49</v>
      </c>
      <c r="I150" s="7" t="s">
        <v>466</v>
      </c>
      <c r="J150" s="34"/>
      <c r="K150" s="34"/>
    </row>
    <row r="151" spans="1:11" ht="18" hidden="1" customHeight="1" x14ac:dyDescent="0.4">
      <c r="A151" s="9">
        <f t="shared" si="5"/>
        <v>150</v>
      </c>
      <c r="B151" s="10" t="s">
        <v>10</v>
      </c>
      <c r="C151" s="10" t="s">
        <v>442</v>
      </c>
      <c r="D151" s="11" t="s">
        <v>2229</v>
      </c>
      <c r="E151" s="10" t="s">
        <v>324</v>
      </c>
      <c r="F151" s="10" t="s">
        <v>467</v>
      </c>
      <c r="G151" s="10" t="s">
        <v>468</v>
      </c>
      <c r="H151" s="48" t="s">
        <v>49</v>
      </c>
      <c r="I151" s="10" t="s">
        <v>469</v>
      </c>
      <c r="J151" s="34"/>
      <c r="K151" s="34"/>
    </row>
    <row r="152" spans="1:11" ht="18" hidden="1" customHeight="1" x14ac:dyDescent="0.4">
      <c r="A152" s="6">
        <f t="shared" si="5"/>
        <v>151</v>
      </c>
      <c r="B152" s="7" t="s">
        <v>10</v>
      </c>
      <c r="C152" s="7"/>
      <c r="D152" s="8" t="s">
        <v>2229</v>
      </c>
      <c r="E152" s="7" t="s">
        <v>470</v>
      </c>
      <c r="F152" s="7" t="s">
        <v>317</v>
      </c>
      <c r="G152" s="7"/>
      <c r="H152" s="47" t="s">
        <v>49</v>
      </c>
      <c r="I152" s="7" t="s">
        <v>471</v>
      </c>
      <c r="J152" s="34"/>
      <c r="K152" s="34"/>
    </row>
    <row r="153" spans="1:11" ht="18" hidden="1" customHeight="1" x14ac:dyDescent="0.4">
      <c r="A153" s="9">
        <f t="shared" si="5"/>
        <v>152</v>
      </c>
      <c r="B153" s="10" t="s">
        <v>10</v>
      </c>
      <c r="C153" s="10" t="s">
        <v>442</v>
      </c>
      <c r="D153" s="11" t="s">
        <v>2229</v>
      </c>
      <c r="E153" s="10" t="s">
        <v>439</v>
      </c>
      <c r="F153" s="10" t="s">
        <v>472</v>
      </c>
      <c r="G153" s="10" t="s">
        <v>279</v>
      </c>
      <c r="H153" s="47" t="s">
        <v>49</v>
      </c>
      <c r="I153" s="10" t="s">
        <v>473</v>
      </c>
      <c r="J153" s="34"/>
      <c r="K153" s="34"/>
    </row>
    <row r="154" spans="1:11" ht="18" hidden="1" customHeight="1" x14ac:dyDescent="0.4">
      <c r="A154" s="9">
        <f t="shared" si="5"/>
        <v>153</v>
      </c>
      <c r="B154" s="10" t="s">
        <v>10</v>
      </c>
      <c r="C154" s="10"/>
      <c r="D154" s="11" t="s">
        <v>2229</v>
      </c>
      <c r="E154" s="10" t="s">
        <v>476</v>
      </c>
      <c r="F154" s="10" t="s">
        <v>477</v>
      </c>
      <c r="G154" s="10"/>
      <c r="H154" s="48" t="s">
        <v>49</v>
      </c>
      <c r="I154" s="10" t="s">
        <v>478</v>
      </c>
      <c r="J154" s="34"/>
      <c r="K154" s="34"/>
    </row>
    <row r="155" spans="1:11" ht="18" hidden="1" customHeight="1" x14ac:dyDescent="0.4">
      <c r="A155" s="6">
        <f t="shared" si="5"/>
        <v>154</v>
      </c>
      <c r="B155" s="7" t="s">
        <v>10</v>
      </c>
      <c r="C155" s="7"/>
      <c r="D155" s="8" t="s">
        <v>2229</v>
      </c>
      <c r="E155" s="7" t="s">
        <v>62</v>
      </c>
      <c r="F155" s="7" t="s">
        <v>479</v>
      </c>
      <c r="G155" s="7"/>
      <c r="H155" s="48" t="s">
        <v>49</v>
      </c>
      <c r="I155" s="7" t="s">
        <v>478</v>
      </c>
      <c r="J155" s="34"/>
      <c r="K155" s="34"/>
    </row>
    <row r="156" spans="1:11" ht="18" hidden="1" customHeight="1" x14ac:dyDescent="0.4">
      <c r="A156" s="9">
        <f t="shared" si="5"/>
        <v>155</v>
      </c>
      <c r="B156" s="10" t="s">
        <v>10</v>
      </c>
      <c r="C156" s="10"/>
      <c r="D156" s="11" t="s">
        <v>2229</v>
      </c>
      <c r="E156" s="10" t="s">
        <v>84</v>
      </c>
      <c r="F156" s="10" t="s">
        <v>480</v>
      </c>
      <c r="G156" s="10"/>
      <c r="H156" s="48" t="s">
        <v>49</v>
      </c>
      <c r="I156" s="10" t="s">
        <v>478</v>
      </c>
      <c r="J156" s="34"/>
      <c r="K156" s="34"/>
    </row>
    <row r="157" spans="1:11" ht="18" hidden="1" customHeight="1" x14ac:dyDescent="0.4">
      <c r="A157" s="6">
        <f t="shared" si="5"/>
        <v>156</v>
      </c>
      <c r="B157" s="7" t="s">
        <v>10</v>
      </c>
      <c r="C157" s="7"/>
      <c r="D157" s="8" t="s">
        <v>2229</v>
      </c>
      <c r="E157" s="7" t="s">
        <v>464</v>
      </c>
      <c r="F157" s="7" t="s">
        <v>481</v>
      </c>
      <c r="G157" s="7"/>
      <c r="H157" s="48" t="s">
        <v>49</v>
      </c>
      <c r="I157" s="7" t="s">
        <v>482</v>
      </c>
      <c r="J157" s="34"/>
      <c r="K157" s="34"/>
    </row>
    <row r="158" spans="1:11" ht="18" hidden="1" customHeight="1" x14ac:dyDescent="0.4">
      <c r="A158" s="9">
        <f t="shared" si="5"/>
        <v>157</v>
      </c>
      <c r="B158" s="10" t="s">
        <v>10</v>
      </c>
      <c r="C158" s="10"/>
      <c r="D158" s="11" t="s">
        <v>2229</v>
      </c>
      <c r="E158" s="10" t="s">
        <v>351</v>
      </c>
      <c r="F158" s="10" t="s">
        <v>483</v>
      </c>
      <c r="G158" s="10"/>
      <c r="H158" s="48" t="s">
        <v>49</v>
      </c>
      <c r="I158" s="10" t="s">
        <v>484</v>
      </c>
      <c r="J158" s="34"/>
      <c r="K158" s="34"/>
    </row>
    <row r="159" spans="1:11" ht="18" hidden="1" customHeight="1" x14ac:dyDescent="0.4">
      <c r="A159" s="6">
        <f t="shared" si="5"/>
        <v>158</v>
      </c>
      <c r="B159" s="7" t="s">
        <v>10</v>
      </c>
      <c r="C159" s="7"/>
      <c r="D159" s="8" t="s">
        <v>2229</v>
      </c>
      <c r="E159" s="7" t="s">
        <v>333</v>
      </c>
      <c r="F159" s="7" t="s">
        <v>485</v>
      </c>
      <c r="G159" s="7" t="s">
        <v>486</v>
      </c>
      <c r="H159" s="47" t="s">
        <v>49</v>
      </c>
      <c r="I159" s="7" t="s">
        <v>487</v>
      </c>
      <c r="J159" s="34"/>
      <c r="K159" s="34"/>
    </row>
    <row r="160" spans="1:11" ht="18" hidden="1" customHeight="1" x14ac:dyDescent="0.4">
      <c r="A160" s="9">
        <f t="shared" si="5"/>
        <v>159</v>
      </c>
      <c r="B160" s="10" t="s">
        <v>10</v>
      </c>
      <c r="C160" s="10"/>
      <c r="D160" s="11" t="s">
        <v>2229</v>
      </c>
      <c r="E160" s="10" t="s">
        <v>488</v>
      </c>
      <c r="F160" s="10" t="s">
        <v>310</v>
      </c>
      <c r="G160" s="10" t="s">
        <v>489</v>
      </c>
      <c r="H160" s="47" t="s">
        <v>49</v>
      </c>
      <c r="I160" s="10" t="s">
        <v>490</v>
      </c>
      <c r="J160" s="34"/>
      <c r="K160" s="34"/>
    </row>
    <row r="161" spans="1:11" ht="18" hidden="1" customHeight="1" x14ac:dyDescent="0.4">
      <c r="A161" s="6">
        <f t="shared" si="5"/>
        <v>160</v>
      </c>
      <c r="B161" s="7" t="s">
        <v>10</v>
      </c>
      <c r="C161" s="7"/>
      <c r="D161" s="8" t="s">
        <v>2229</v>
      </c>
      <c r="E161" s="7" t="s">
        <v>476</v>
      </c>
      <c r="F161" s="7" t="s">
        <v>491</v>
      </c>
      <c r="G161" s="7"/>
      <c r="H161" s="47" t="s">
        <v>49</v>
      </c>
      <c r="I161" s="7" t="s">
        <v>492</v>
      </c>
      <c r="J161" s="34"/>
      <c r="K161" s="34"/>
    </row>
    <row r="162" spans="1:11" ht="18" hidden="1" customHeight="1" x14ac:dyDescent="0.4">
      <c r="A162" s="9">
        <f t="shared" si="5"/>
        <v>161</v>
      </c>
      <c r="B162" s="10" t="s">
        <v>10</v>
      </c>
      <c r="C162" s="10" t="s">
        <v>493</v>
      </c>
      <c r="D162" s="11" t="s">
        <v>2229</v>
      </c>
      <c r="E162" s="10" t="s">
        <v>494</v>
      </c>
      <c r="F162" s="10" t="s">
        <v>495</v>
      </c>
      <c r="G162" s="10" t="s">
        <v>157</v>
      </c>
      <c r="H162" s="48" t="s">
        <v>49</v>
      </c>
      <c r="I162" s="10" t="s">
        <v>496</v>
      </c>
      <c r="J162" s="34"/>
      <c r="K162" s="34"/>
    </row>
    <row r="163" spans="1:11" ht="18" hidden="1" customHeight="1" x14ac:dyDescent="0.4">
      <c r="A163" s="6">
        <f t="shared" si="5"/>
        <v>162</v>
      </c>
      <c r="B163" s="7" t="s">
        <v>10</v>
      </c>
      <c r="C163" s="7"/>
      <c r="D163" s="8" t="s">
        <v>2229</v>
      </c>
      <c r="E163" s="7" t="s">
        <v>497</v>
      </c>
      <c r="F163" s="7" t="s">
        <v>295</v>
      </c>
      <c r="G163" s="7" t="s">
        <v>301</v>
      </c>
      <c r="H163" s="47" t="s">
        <v>49</v>
      </c>
      <c r="I163" s="7" t="s">
        <v>498</v>
      </c>
      <c r="J163" s="34"/>
      <c r="K163" s="34"/>
    </row>
    <row r="164" spans="1:11" ht="18" customHeight="1" x14ac:dyDescent="0.4">
      <c r="A164" s="9">
        <f t="shared" si="5"/>
        <v>163</v>
      </c>
      <c r="B164" s="10" t="s">
        <v>10</v>
      </c>
      <c r="C164" s="10"/>
      <c r="D164" s="11" t="s">
        <v>17</v>
      </c>
      <c r="E164" s="10" t="s">
        <v>499</v>
      </c>
      <c r="F164" s="10" t="s">
        <v>219</v>
      </c>
      <c r="G164" s="10" t="s">
        <v>216</v>
      </c>
      <c r="H164" s="46" t="s">
        <v>15</v>
      </c>
      <c r="I164" s="10" t="s">
        <v>500</v>
      </c>
      <c r="J164" s="34" t="s">
        <v>2158</v>
      </c>
      <c r="K164" s="34">
        <v>44</v>
      </c>
    </row>
    <row r="165" spans="1:11" ht="18" customHeight="1" x14ac:dyDescent="0.4">
      <c r="A165" s="6">
        <f t="shared" si="5"/>
        <v>164</v>
      </c>
      <c r="B165" s="7" t="s">
        <v>10</v>
      </c>
      <c r="C165" s="7"/>
      <c r="D165" s="8" t="s">
        <v>17</v>
      </c>
      <c r="E165" s="7" t="s">
        <v>501</v>
      </c>
      <c r="F165" s="7" t="s">
        <v>219</v>
      </c>
      <c r="G165" s="7" t="s">
        <v>216</v>
      </c>
      <c r="H165" s="46" t="s">
        <v>15</v>
      </c>
      <c r="I165" s="7" t="s">
        <v>502</v>
      </c>
      <c r="J165" s="34" t="s">
        <v>2158</v>
      </c>
      <c r="K165" s="34">
        <v>42</v>
      </c>
    </row>
    <row r="166" spans="1:11" ht="18" customHeight="1" x14ac:dyDescent="0.4">
      <c r="A166" s="9">
        <f t="shared" si="5"/>
        <v>165</v>
      </c>
      <c r="B166" s="10" t="s">
        <v>10</v>
      </c>
      <c r="C166" s="10"/>
      <c r="D166" s="11" t="s">
        <v>17</v>
      </c>
      <c r="E166" s="10" t="s">
        <v>503</v>
      </c>
      <c r="F166" s="10" t="s">
        <v>72</v>
      </c>
      <c r="G166" s="10" t="s">
        <v>504</v>
      </c>
      <c r="H166" s="46" t="s">
        <v>15</v>
      </c>
      <c r="I166" s="10" t="s">
        <v>2187</v>
      </c>
      <c r="J166" s="34" t="s">
        <v>2158</v>
      </c>
      <c r="K166" s="34">
        <v>32</v>
      </c>
    </row>
    <row r="167" spans="1:11" ht="18" hidden="1" customHeight="1" x14ac:dyDescent="0.4">
      <c r="A167" s="6">
        <f t="shared" si="5"/>
        <v>166</v>
      </c>
      <c r="B167" s="7" t="s">
        <v>10</v>
      </c>
      <c r="C167" s="7" t="s">
        <v>32</v>
      </c>
      <c r="D167" s="8" t="s">
        <v>2229</v>
      </c>
      <c r="E167" s="7" t="s">
        <v>505</v>
      </c>
      <c r="F167" s="7" t="s">
        <v>506</v>
      </c>
      <c r="G167" s="7"/>
      <c r="H167" s="48" t="s">
        <v>49</v>
      </c>
      <c r="I167" s="7" t="s">
        <v>507</v>
      </c>
      <c r="J167" s="34"/>
      <c r="K167" s="34"/>
    </row>
    <row r="168" spans="1:11" ht="18" hidden="1" customHeight="1" x14ac:dyDescent="0.4">
      <c r="A168" s="9">
        <f t="shared" si="5"/>
        <v>167</v>
      </c>
      <c r="B168" s="10" t="s">
        <v>10</v>
      </c>
      <c r="C168" s="10" t="s">
        <v>442</v>
      </c>
      <c r="D168" s="11" t="s">
        <v>2229</v>
      </c>
      <c r="E168" s="10" t="s">
        <v>351</v>
      </c>
      <c r="F168" s="10" t="s">
        <v>508</v>
      </c>
      <c r="G168" s="10"/>
      <c r="H168" s="48" t="s">
        <v>49</v>
      </c>
      <c r="I168" s="10" t="s">
        <v>509</v>
      </c>
      <c r="J168" s="34"/>
      <c r="K168" s="34"/>
    </row>
    <row r="169" spans="1:11" ht="18" customHeight="1" x14ac:dyDescent="0.4">
      <c r="A169" s="6">
        <f t="shared" si="5"/>
        <v>168</v>
      </c>
      <c r="B169" s="7" t="s">
        <v>10</v>
      </c>
      <c r="C169" s="7" t="s">
        <v>442</v>
      </c>
      <c r="D169" s="8" t="s">
        <v>17</v>
      </c>
      <c r="E169" s="7" t="s">
        <v>510</v>
      </c>
      <c r="F169" s="7" t="s">
        <v>511</v>
      </c>
      <c r="G169" s="7" t="s">
        <v>512</v>
      </c>
      <c r="H169" s="46" t="s">
        <v>15</v>
      </c>
      <c r="I169" s="7" t="s">
        <v>513</v>
      </c>
      <c r="J169" s="34" t="s">
        <v>2157</v>
      </c>
      <c r="K169" s="34">
        <v>13</v>
      </c>
    </row>
    <row r="170" spans="1:11" ht="18" customHeight="1" x14ac:dyDescent="0.4">
      <c r="A170" s="9">
        <f t="shared" si="5"/>
        <v>169</v>
      </c>
      <c r="B170" s="10" t="s">
        <v>10</v>
      </c>
      <c r="C170" s="10" t="s">
        <v>442</v>
      </c>
      <c r="D170" s="11" t="s">
        <v>17</v>
      </c>
      <c r="E170" s="10" t="s">
        <v>514</v>
      </c>
      <c r="F170" s="10" t="s">
        <v>219</v>
      </c>
      <c r="G170" s="10" t="s">
        <v>216</v>
      </c>
      <c r="H170" s="46" t="s">
        <v>15</v>
      </c>
      <c r="I170" s="10" t="s">
        <v>515</v>
      </c>
      <c r="J170" s="34" t="s">
        <v>2158</v>
      </c>
      <c r="K170" s="34">
        <v>43</v>
      </c>
    </row>
    <row r="171" spans="1:11" ht="18" customHeight="1" x14ac:dyDescent="0.4">
      <c r="A171" s="9">
        <f t="shared" si="5"/>
        <v>170</v>
      </c>
      <c r="B171" s="24" t="s">
        <v>1182</v>
      </c>
      <c r="C171" s="24"/>
      <c r="D171" s="25" t="s">
        <v>821</v>
      </c>
      <c r="E171" s="24" t="s">
        <v>650</v>
      </c>
      <c r="F171" s="24" t="s">
        <v>1183</v>
      </c>
      <c r="G171" s="24" t="s">
        <v>1184</v>
      </c>
      <c r="H171" s="46" t="s">
        <v>15</v>
      </c>
      <c r="I171" s="24" t="s">
        <v>1185</v>
      </c>
      <c r="J171" s="34" t="s">
        <v>2155</v>
      </c>
      <c r="K171" s="34">
        <v>3</v>
      </c>
    </row>
    <row r="172" spans="1:11" ht="18" customHeight="1" x14ac:dyDescent="0.4">
      <c r="A172" s="6">
        <f t="shared" si="5"/>
        <v>171</v>
      </c>
      <c r="B172" s="24" t="s">
        <v>1182</v>
      </c>
      <c r="C172" s="24"/>
      <c r="D172" s="25" t="s">
        <v>821</v>
      </c>
      <c r="E172" s="24" t="s">
        <v>1069</v>
      </c>
      <c r="F172" s="24" t="s">
        <v>1186</v>
      </c>
      <c r="G172" s="24" t="s">
        <v>1187</v>
      </c>
      <c r="H172" s="46" t="s">
        <v>15</v>
      </c>
      <c r="I172" s="24" t="s">
        <v>1188</v>
      </c>
      <c r="J172" s="34" t="s">
        <v>2155</v>
      </c>
      <c r="K172" s="34">
        <v>4</v>
      </c>
    </row>
    <row r="173" spans="1:11" ht="18" customHeight="1" x14ac:dyDescent="0.4">
      <c r="A173" s="6">
        <f t="shared" si="5"/>
        <v>172</v>
      </c>
      <c r="B173" s="7" t="s">
        <v>10</v>
      </c>
      <c r="C173" s="7" t="s">
        <v>32</v>
      </c>
      <c r="D173" s="8" t="s">
        <v>17</v>
      </c>
      <c r="E173" s="7" t="s">
        <v>520</v>
      </c>
      <c r="F173" s="7" t="s">
        <v>521</v>
      </c>
      <c r="G173" s="7" t="s">
        <v>72</v>
      </c>
      <c r="H173" s="46" t="s">
        <v>15</v>
      </c>
      <c r="I173" s="7" t="s">
        <v>522</v>
      </c>
      <c r="J173" s="34" t="s">
        <v>2156</v>
      </c>
      <c r="K173" s="34">
        <v>10</v>
      </c>
    </row>
    <row r="174" spans="1:11" ht="18" customHeight="1" x14ac:dyDescent="0.4">
      <c r="A174" s="9">
        <f t="shared" si="5"/>
        <v>173</v>
      </c>
      <c r="B174" s="10" t="s">
        <v>10</v>
      </c>
      <c r="C174" s="10" t="s">
        <v>442</v>
      </c>
      <c r="D174" s="11" t="s">
        <v>17</v>
      </c>
      <c r="E174" s="10" t="s">
        <v>84</v>
      </c>
      <c r="F174" s="10" t="s">
        <v>523</v>
      </c>
      <c r="G174" s="10"/>
      <c r="H174" s="47" t="s">
        <v>15</v>
      </c>
      <c r="I174" s="10" t="s">
        <v>524</v>
      </c>
      <c r="J174" s="34" t="s">
        <v>2158</v>
      </c>
      <c r="K174" s="34">
        <v>39</v>
      </c>
    </row>
    <row r="175" spans="1:11" ht="18" customHeight="1" x14ac:dyDescent="0.4">
      <c r="A175" s="9">
        <f t="shared" ref="A175:A190" si="6">IF(COUNTA(B175:I175)=0,"",ROW()-1)</f>
        <v>174</v>
      </c>
      <c r="B175" s="24" t="s">
        <v>1182</v>
      </c>
      <c r="C175" s="24"/>
      <c r="D175" s="25" t="s">
        <v>821</v>
      </c>
      <c r="E175" s="24" t="s">
        <v>1189</v>
      </c>
      <c r="F175" s="24" t="s">
        <v>1190</v>
      </c>
      <c r="G175" s="24" t="s">
        <v>474</v>
      </c>
      <c r="H175" s="46" t="s">
        <v>15</v>
      </c>
      <c r="I175" s="24" t="s">
        <v>1191</v>
      </c>
      <c r="J175" s="34" t="s">
        <v>2155</v>
      </c>
      <c r="K175" s="34">
        <v>5</v>
      </c>
    </row>
    <row r="176" spans="1:11" ht="18" customHeight="1" x14ac:dyDescent="0.4">
      <c r="A176" s="9">
        <f t="shared" si="6"/>
        <v>175</v>
      </c>
      <c r="B176" s="10" t="s">
        <v>10</v>
      </c>
      <c r="C176" s="10" t="s">
        <v>442</v>
      </c>
      <c r="D176" s="11" t="s">
        <v>17</v>
      </c>
      <c r="E176" s="10" t="s">
        <v>527</v>
      </c>
      <c r="F176" s="10" t="s">
        <v>528</v>
      </c>
      <c r="G176" s="10"/>
      <c r="H176" s="47" t="s">
        <v>15</v>
      </c>
      <c r="I176" s="10" t="s">
        <v>529</v>
      </c>
      <c r="J176" s="34" t="s">
        <v>2157</v>
      </c>
      <c r="K176" s="34">
        <v>34</v>
      </c>
    </row>
    <row r="177" spans="1:79" ht="18" customHeight="1" x14ac:dyDescent="0.4">
      <c r="A177" s="6">
        <f t="shared" si="6"/>
        <v>176</v>
      </c>
      <c r="B177" s="24" t="s">
        <v>1182</v>
      </c>
      <c r="C177" s="24"/>
      <c r="D177" s="25" t="s">
        <v>821</v>
      </c>
      <c r="E177" s="24" t="s">
        <v>1192</v>
      </c>
      <c r="F177" s="24" t="s">
        <v>1193</v>
      </c>
      <c r="G177" s="24" t="s">
        <v>1194</v>
      </c>
      <c r="H177" s="46" t="s">
        <v>15</v>
      </c>
      <c r="I177" s="24" t="s">
        <v>1195</v>
      </c>
      <c r="J177" s="34" t="s">
        <v>2155</v>
      </c>
      <c r="K177" s="34">
        <v>6</v>
      </c>
    </row>
    <row r="178" spans="1:79" ht="18" customHeight="1" x14ac:dyDescent="0.4">
      <c r="A178" s="9">
        <f t="shared" si="6"/>
        <v>177</v>
      </c>
      <c r="B178" s="22" t="s">
        <v>1051</v>
      </c>
      <c r="C178" s="22" t="s">
        <v>1088</v>
      </c>
      <c r="D178" s="23" t="s">
        <v>2173</v>
      </c>
      <c r="E178" s="22" t="s">
        <v>1089</v>
      </c>
      <c r="F178" s="22" t="s">
        <v>1090</v>
      </c>
      <c r="G178" s="22" t="s">
        <v>96</v>
      </c>
      <c r="H178" s="46" t="s">
        <v>15</v>
      </c>
      <c r="I178" s="22" t="s">
        <v>1091</v>
      </c>
      <c r="J178" s="34" t="s">
        <v>2156</v>
      </c>
      <c r="K178" s="34">
        <v>1</v>
      </c>
    </row>
    <row r="179" spans="1:79" ht="18" customHeight="1" x14ac:dyDescent="0.4">
      <c r="A179" s="6">
        <f t="shared" si="6"/>
        <v>178</v>
      </c>
      <c r="B179" s="30" t="s">
        <v>1741</v>
      </c>
      <c r="C179" s="30"/>
      <c r="D179" s="31" t="s">
        <v>2173</v>
      </c>
      <c r="E179" s="30" t="s">
        <v>1291</v>
      </c>
      <c r="F179" s="30" t="s">
        <v>244</v>
      </c>
      <c r="G179" s="30" t="s">
        <v>1276</v>
      </c>
      <c r="H179" s="46" t="s">
        <v>15</v>
      </c>
      <c r="I179" s="30" t="s">
        <v>1766</v>
      </c>
      <c r="J179" s="34" t="s">
        <v>2156</v>
      </c>
      <c r="K179" s="34">
        <v>2</v>
      </c>
    </row>
    <row r="180" spans="1:79" ht="18" customHeight="1" x14ac:dyDescent="0.4">
      <c r="A180" s="6">
        <f t="shared" si="6"/>
        <v>179</v>
      </c>
      <c r="B180" s="26" t="s">
        <v>1207</v>
      </c>
      <c r="C180" s="14"/>
      <c r="D180" s="15" t="s">
        <v>821</v>
      </c>
      <c r="E180" s="14" t="s">
        <v>497</v>
      </c>
      <c r="F180" s="14" t="s">
        <v>1420</v>
      </c>
      <c r="G180" s="14" t="s">
        <v>1421</v>
      </c>
      <c r="H180" s="46" t="s">
        <v>15</v>
      </c>
      <c r="I180" s="10" t="s">
        <v>1422</v>
      </c>
      <c r="J180" s="34" t="s">
        <v>2156</v>
      </c>
      <c r="K180" s="34">
        <v>3</v>
      </c>
    </row>
    <row r="181" spans="1:79" ht="18" customHeight="1" x14ac:dyDescent="0.4">
      <c r="A181" s="9">
        <f t="shared" si="6"/>
        <v>180</v>
      </c>
      <c r="B181" s="24" t="s">
        <v>1182</v>
      </c>
      <c r="C181" s="24"/>
      <c r="D181" s="25" t="s">
        <v>821</v>
      </c>
      <c r="E181" s="24" t="s">
        <v>42</v>
      </c>
      <c r="F181" s="24" t="s">
        <v>1196</v>
      </c>
      <c r="G181" s="24" t="s">
        <v>1197</v>
      </c>
      <c r="H181" s="46" t="s">
        <v>15</v>
      </c>
      <c r="I181" s="24" t="s">
        <v>2215</v>
      </c>
      <c r="J181" s="34" t="s">
        <v>2155</v>
      </c>
      <c r="K181" s="34">
        <v>7</v>
      </c>
    </row>
    <row r="182" spans="1:79" s="2" customFormat="1" ht="18" customHeight="1" x14ac:dyDescent="0.4">
      <c r="A182" s="6">
        <f t="shared" si="6"/>
        <v>181</v>
      </c>
      <c r="B182" s="24" t="s">
        <v>1182</v>
      </c>
      <c r="C182" s="24"/>
      <c r="D182" s="25" t="s">
        <v>821</v>
      </c>
      <c r="E182" s="24" t="s">
        <v>1198</v>
      </c>
      <c r="F182" s="24" t="s">
        <v>1199</v>
      </c>
      <c r="G182" s="24" t="s">
        <v>1200</v>
      </c>
      <c r="H182" s="46" t="s">
        <v>15</v>
      </c>
      <c r="I182" s="24" t="s">
        <v>1201</v>
      </c>
      <c r="J182" s="34" t="s">
        <v>2155</v>
      </c>
      <c r="K182" s="34">
        <v>8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</row>
    <row r="183" spans="1:79" s="2" customFormat="1" ht="18" hidden="1" customHeight="1" x14ac:dyDescent="0.4">
      <c r="A183" s="6">
        <f t="shared" si="6"/>
        <v>182</v>
      </c>
      <c r="B183" s="7" t="s">
        <v>10</v>
      </c>
      <c r="C183" s="7" t="s">
        <v>32</v>
      </c>
      <c r="D183" s="8" t="s">
        <v>2229</v>
      </c>
      <c r="E183" s="7" t="s">
        <v>499</v>
      </c>
      <c r="F183" s="7" t="s">
        <v>72</v>
      </c>
      <c r="G183" s="7"/>
      <c r="H183" s="47" t="s">
        <v>49</v>
      </c>
      <c r="I183" s="7" t="s">
        <v>547</v>
      </c>
      <c r="J183" s="34"/>
      <c r="K183" s="34"/>
    </row>
    <row r="184" spans="1:79" ht="18" customHeight="1" x14ac:dyDescent="0.4">
      <c r="A184" s="9">
        <f t="shared" si="6"/>
        <v>183</v>
      </c>
      <c r="B184" s="24" t="s">
        <v>1182</v>
      </c>
      <c r="C184" s="24"/>
      <c r="D184" s="25" t="s">
        <v>821</v>
      </c>
      <c r="E184" s="24" t="s">
        <v>1202</v>
      </c>
      <c r="F184" s="24" t="s">
        <v>1203</v>
      </c>
      <c r="G184" s="24" t="s">
        <v>173</v>
      </c>
      <c r="H184" s="46" t="s">
        <v>15</v>
      </c>
      <c r="I184" s="24" t="s">
        <v>1201</v>
      </c>
      <c r="J184" s="34" t="s">
        <v>2155</v>
      </c>
      <c r="K184" s="34">
        <v>9</v>
      </c>
    </row>
    <row r="185" spans="1:79" ht="18" customHeight="1" x14ac:dyDescent="0.4">
      <c r="A185" s="6">
        <f t="shared" si="6"/>
        <v>184</v>
      </c>
      <c r="B185" s="24" t="s">
        <v>1182</v>
      </c>
      <c r="C185" s="24"/>
      <c r="D185" s="25" t="s">
        <v>821</v>
      </c>
      <c r="E185" s="24" t="s">
        <v>109</v>
      </c>
      <c r="F185" s="24" t="s">
        <v>1204</v>
      </c>
      <c r="G185" s="24" t="s">
        <v>1205</v>
      </c>
      <c r="H185" s="46" t="s">
        <v>15</v>
      </c>
      <c r="I185" s="24" t="s">
        <v>1206</v>
      </c>
      <c r="J185" s="34" t="s">
        <v>2155</v>
      </c>
      <c r="K185" s="34">
        <v>10</v>
      </c>
    </row>
    <row r="186" spans="1:79" s="2" customFormat="1" ht="18" hidden="1" customHeight="1" x14ac:dyDescent="0.4">
      <c r="A186" s="9">
        <f t="shared" si="6"/>
        <v>185</v>
      </c>
      <c r="B186" s="10" t="s">
        <v>548</v>
      </c>
      <c r="C186" s="10" t="s">
        <v>427</v>
      </c>
      <c r="D186" s="11" t="s">
        <v>2229</v>
      </c>
      <c r="E186" s="10" t="s">
        <v>559</v>
      </c>
      <c r="F186" s="10" t="s">
        <v>560</v>
      </c>
      <c r="G186" s="10" t="s">
        <v>561</v>
      </c>
      <c r="H186" s="48" t="s">
        <v>49</v>
      </c>
      <c r="I186" s="10" t="s">
        <v>562</v>
      </c>
      <c r="J186" s="34"/>
      <c r="K186" s="34"/>
    </row>
    <row r="187" spans="1:79" ht="18" hidden="1" customHeight="1" x14ac:dyDescent="0.4">
      <c r="A187" s="6">
        <f t="shared" si="6"/>
        <v>186</v>
      </c>
      <c r="B187" s="7" t="s">
        <v>548</v>
      </c>
      <c r="C187" s="7" t="s">
        <v>563</v>
      </c>
      <c r="D187" s="8" t="s">
        <v>2229</v>
      </c>
      <c r="E187" s="7" t="s">
        <v>564</v>
      </c>
      <c r="F187" s="7" t="s">
        <v>565</v>
      </c>
      <c r="G187" s="7" t="s">
        <v>566</v>
      </c>
      <c r="H187" s="47" t="s">
        <v>49</v>
      </c>
      <c r="I187" s="7" t="s">
        <v>567</v>
      </c>
      <c r="J187" s="34"/>
      <c r="K187" s="34"/>
    </row>
    <row r="188" spans="1:79" ht="18" customHeight="1" x14ac:dyDescent="0.4">
      <c r="A188" s="9">
        <f t="shared" si="6"/>
        <v>187</v>
      </c>
      <c r="B188" s="10" t="s">
        <v>548</v>
      </c>
      <c r="C188" s="10" t="s">
        <v>563</v>
      </c>
      <c r="D188" s="11" t="s">
        <v>17</v>
      </c>
      <c r="E188" s="10" t="s">
        <v>222</v>
      </c>
      <c r="F188" s="10" t="s">
        <v>568</v>
      </c>
      <c r="G188" s="10" t="s">
        <v>569</v>
      </c>
      <c r="H188" s="46" t="s">
        <v>15</v>
      </c>
      <c r="I188" s="10" t="s">
        <v>570</v>
      </c>
      <c r="J188" s="34" t="s">
        <v>2156</v>
      </c>
      <c r="K188" s="34">
        <v>15</v>
      </c>
    </row>
    <row r="189" spans="1:79" ht="18" hidden="1" customHeight="1" x14ac:dyDescent="0.4">
      <c r="A189" s="6">
        <f t="shared" si="6"/>
        <v>188</v>
      </c>
      <c r="B189" s="7" t="s">
        <v>548</v>
      </c>
      <c r="C189" s="7" t="s">
        <v>563</v>
      </c>
      <c r="D189" s="8" t="s">
        <v>2229</v>
      </c>
      <c r="E189" s="7" t="s">
        <v>571</v>
      </c>
      <c r="F189" s="7" t="s">
        <v>572</v>
      </c>
      <c r="G189" s="7" t="s">
        <v>230</v>
      </c>
      <c r="H189" s="48" t="s">
        <v>49</v>
      </c>
      <c r="I189" s="7" t="s">
        <v>573</v>
      </c>
      <c r="J189" s="34"/>
      <c r="K189" s="34"/>
    </row>
    <row r="190" spans="1:79" ht="18" customHeight="1" x14ac:dyDescent="0.4">
      <c r="A190" s="9">
        <f t="shared" si="6"/>
        <v>189</v>
      </c>
      <c r="B190" s="10" t="s">
        <v>548</v>
      </c>
      <c r="C190" s="10" t="s">
        <v>563</v>
      </c>
      <c r="D190" s="11" t="s">
        <v>17</v>
      </c>
      <c r="E190" s="10" t="s">
        <v>574</v>
      </c>
      <c r="F190" s="10" t="s">
        <v>575</v>
      </c>
      <c r="G190" s="10" t="s">
        <v>576</v>
      </c>
      <c r="H190" s="46" t="s">
        <v>15</v>
      </c>
      <c r="I190" s="10" t="s">
        <v>577</v>
      </c>
      <c r="J190" s="34" t="s">
        <v>2156</v>
      </c>
      <c r="K190" s="34">
        <v>28</v>
      </c>
    </row>
    <row r="191" spans="1:79" ht="18" customHeight="1" x14ac:dyDescent="0.4">
      <c r="A191" s="9"/>
      <c r="B191" s="10"/>
      <c r="C191" s="10"/>
      <c r="D191" s="11" t="s">
        <v>17</v>
      </c>
      <c r="E191" s="14" t="s">
        <v>2190</v>
      </c>
      <c r="F191" s="14" t="s">
        <v>833</v>
      </c>
      <c r="G191" s="14" t="s">
        <v>2176</v>
      </c>
      <c r="H191" s="46" t="s">
        <v>15</v>
      </c>
      <c r="I191" s="10" t="s">
        <v>2170</v>
      </c>
      <c r="J191" s="34" t="s">
        <v>2156</v>
      </c>
      <c r="K191" s="34">
        <v>29</v>
      </c>
    </row>
    <row r="192" spans="1:79" ht="18" customHeight="1" x14ac:dyDescent="0.4">
      <c r="A192" s="9"/>
      <c r="B192" s="10"/>
      <c r="C192" s="10"/>
      <c r="D192" s="11" t="s">
        <v>17</v>
      </c>
      <c r="E192" s="14" t="s">
        <v>272</v>
      </c>
      <c r="F192" s="14" t="s">
        <v>453</v>
      </c>
      <c r="G192" s="14" t="s">
        <v>306</v>
      </c>
      <c r="H192" s="46" t="s">
        <v>15</v>
      </c>
      <c r="I192" s="10" t="s">
        <v>2171</v>
      </c>
      <c r="J192" s="34" t="s">
        <v>2156</v>
      </c>
      <c r="K192" s="34">
        <v>30</v>
      </c>
    </row>
    <row r="193" spans="1:79" ht="18" hidden="1" customHeight="1" x14ac:dyDescent="0.4">
      <c r="A193" s="9"/>
      <c r="B193" s="10"/>
      <c r="C193" s="10"/>
      <c r="D193" s="11"/>
      <c r="E193" s="14" t="s">
        <v>586</v>
      </c>
      <c r="F193" s="14" t="s">
        <v>2177</v>
      </c>
      <c r="G193" s="14" t="s">
        <v>2178</v>
      </c>
      <c r="H193" s="46" t="s">
        <v>49</v>
      </c>
      <c r="I193" s="10" t="s">
        <v>2172</v>
      </c>
      <c r="J193" s="34"/>
      <c r="K193" s="34"/>
    </row>
    <row r="194" spans="1:79" ht="18" customHeight="1" x14ac:dyDescent="0.4">
      <c r="A194" s="9"/>
      <c r="B194" s="10"/>
      <c r="C194" s="10"/>
      <c r="D194" s="11" t="s">
        <v>17</v>
      </c>
      <c r="E194" s="14" t="s">
        <v>90</v>
      </c>
      <c r="F194" s="14" t="s">
        <v>135</v>
      </c>
      <c r="G194" s="14" t="s">
        <v>2189</v>
      </c>
      <c r="H194" s="46" t="s">
        <v>15</v>
      </c>
      <c r="I194" s="10" t="s">
        <v>2181</v>
      </c>
      <c r="J194" s="34" t="s">
        <v>2156</v>
      </c>
      <c r="K194" s="34">
        <v>32</v>
      </c>
    </row>
    <row r="195" spans="1:79" ht="18" hidden="1" customHeight="1" x14ac:dyDescent="0.4">
      <c r="A195" s="6">
        <f t="shared" ref="A195:A232" si="7">IF(COUNTA(B195:I195)=0,"",ROW()-1)</f>
        <v>194</v>
      </c>
      <c r="B195" s="7" t="s">
        <v>548</v>
      </c>
      <c r="C195" s="7" t="s">
        <v>578</v>
      </c>
      <c r="D195" s="8" t="s">
        <v>2229</v>
      </c>
      <c r="E195" s="7" t="s">
        <v>571</v>
      </c>
      <c r="F195" s="7" t="s">
        <v>579</v>
      </c>
      <c r="G195" s="7" t="s">
        <v>580</v>
      </c>
      <c r="H195" s="47" t="s">
        <v>49</v>
      </c>
      <c r="I195" s="7" t="s">
        <v>581</v>
      </c>
      <c r="J195" s="34"/>
      <c r="K195" s="34"/>
    </row>
    <row r="196" spans="1:79" ht="18" customHeight="1" x14ac:dyDescent="0.4">
      <c r="A196" s="9">
        <f t="shared" si="7"/>
        <v>195</v>
      </c>
      <c r="B196" s="10" t="s">
        <v>548</v>
      </c>
      <c r="C196" s="10" t="s">
        <v>582</v>
      </c>
      <c r="D196" s="11" t="s">
        <v>17</v>
      </c>
      <c r="E196" s="10" t="s">
        <v>583</v>
      </c>
      <c r="F196" s="10" t="s">
        <v>584</v>
      </c>
      <c r="G196" s="10" t="s">
        <v>355</v>
      </c>
      <c r="H196" s="46" t="s">
        <v>15</v>
      </c>
      <c r="I196" s="10" t="s">
        <v>585</v>
      </c>
      <c r="J196" s="34" t="s">
        <v>2156</v>
      </c>
      <c r="K196" s="34">
        <v>41</v>
      </c>
    </row>
    <row r="197" spans="1:79" ht="18" hidden="1" customHeight="1" x14ac:dyDescent="0.4">
      <c r="A197" s="6">
        <f t="shared" si="7"/>
        <v>196</v>
      </c>
      <c r="B197" s="7" t="s">
        <v>548</v>
      </c>
      <c r="C197" s="7" t="s">
        <v>493</v>
      </c>
      <c r="D197" s="8" t="s">
        <v>2229</v>
      </c>
      <c r="E197" s="7" t="s">
        <v>586</v>
      </c>
      <c r="F197" s="7" t="s">
        <v>587</v>
      </c>
      <c r="G197" s="7" t="s">
        <v>387</v>
      </c>
      <c r="H197" s="46" t="s">
        <v>49</v>
      </c>
      <c r="I197" s="7" t="s">
        <v>588</v>
      </c>
      <c r="J197" s="34"/>
      <c r="K197" s="34"/>
    </row>
    <row r="198" spans="1:79" s="5" customFormat="1" ht="18" hidden="1" customHeight="1" x14ac:dyDescent="0.4">
      <c r="A198" s="9">
        <f t="shared" si="7"/>
        <v>197</v>
      </c>
      <c r="B198" s="10" t="s">
        <v>548</v>
      </c>
      <c r="C198" s="10" t="s">
        <v>589</v>
      </c>
      <c r="D198" s="11" t="s">
        <v>2229</v>
      </c>
      <c r="E198" s="10" t="s">
        <v>312</v>
      </c>
      <c r="F198" s="10" t="s">
        <v>385</v>
      </c>
      <c r="G198" s="10" t="s">
        <v>343</v>
      </c>
      <c r="H198" s="47" t="s">
        <v>49</v>
      </c>
      <c r="I198" s="10" t="s">
        <v>590</v>
      </c>
      <c r="J198" s="34"/>
      <c r="K198" s="3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</row>
    <row r="199" spans="1:79" ht="18" customHeight="1" x14ac:dyDescent="0.4">
      <c r="A199" s="6">
        <f t="shared" si="7"/>
        <v>198</v>
      </c>
      <c r="B199" s="7" t="s">
        <v>591</v>
      </c>
      <c r="C199" s="7" t="s">
        <v>427</v>
      </c>
      <c r="D199" s="8" t="s">
        <v>17</v>
      </c>
      <c r="E199" s="7" t="s">
        <v>46</v>
      </c>
      <c r="F199" s="7" t="s">
        <v>592</v>
      </c>
      <c r="G199" s="7"/>
      <c r="H199" s="46" t="s">
        <v>15</v>
      </c>
      <c r="I199" s="7" t="s">
        <v>593</v>
      </c>
      <c r="J199" s="34" t="s">
        <v>2156</v>
      </c>
      <c r="K199" s="34">
        <v>36</v>
      </c>
    </row>
    <row r="200" spans="1:79" ht="18" customHeight="1" x14ac:dyDescent="0.4">
      <c r="A200" s="9">
        <f t="shared" si="7"/>
        <v>199</v>
      </c>
      <c r="B200" s="10" t="s">
        <v>591</v>
      </c>
      <c r="C200" s="10" t="s">
        <v>594</v>
      </c>
      <c r="D200" s="11" t="s">
        <v>17</v>
      </c>
      <c r="E200" s="10" t="s">
        <v>595</v>
      </c>
      <c r="F200" s="10" t="s">
        <v>596</v>
      </c>
      <c r="G200" s="10"/>
      <c r="H200" s="46" t="s">
        <v>15</v>
      </c>
      <c r="I200" s="10" t="s">
        <v>597</v>
      </c>
      <c r="J200" s="34" t="s">
        <v>2157</v>
      </c>
      <c r="K200" s="34">
        <v>23</v>
      </c>
    </row>
    <row r="201" spans="1:79" ht="18" customHeight="1" x14ac:dyDescent="0.4">
      <c r="A201" s="6">
        <f t="shared" si="7"/>
        <v>200</v>
      </c>
      <c r="B201" s="7" t="s">
        <v>591</v>
      </c>
      <c r="C201" s="7" t="s">
        <v>493</v>
      </c>
      <c r="D201" s="8" t="s">
        <v>17</v>
      </c>
      <c r="E201" s="7" t="s">
        <v>80</v>
      </c>
      <c r="F201" s="7" t="s">
        <v>598</v>
      </c>
      <c r="G201" s="7" t="s">
        <v>599</v>
      </c>
      <c r="H201" s="47" t="s">
        <v>40</v>
      </c>
      <c r="I201" s="7" t="s">
        <v>600</v>
      </c>
      <c r="J201" s="34"/>
      <c r="K201" s="34"/>
    </row>
    <row r="202" spans="1:79" ht="18" customHeight="1" x14ac:dyDescent="0.4">
      <c r="A202" s="9">
        <f t="shared" si="7"/>
        <v>201</v>
      </c>
      <c r="B202" s="10" t="s">
        <v>591</v>
      </c>
      <c r="C202" s="10" t="s">
        <v>493</v>
      </c>
      <c r="D202" s="11" t="s">
        <v>17</v>
      </c>
      <c r="E202" s="10" t="s">
        <v>601</v>
      </c>
      <c r="F202" s="10" t="s">
        <v>602</v>
      </c>
      <c r="G202" s="10" t="s">
        <v>603</v>
      </c>
      <c r="H202" s="46" t="s">
        <v>15</v>
      </c>
      <c r="I202" s="10" t="s">
        <v>604</v>
      </c>
      <c r="J202" s="34" t="s">
        <v>2156</v>
      </c>
      <c r="K202" s="34">
        <v>7</v>
      </c>
    </row>
    <row r="203" spans="1:79" ht="18" hidden="1" customHeight="1" x14ac:dyDescent="0.4">
      <c r="A203" s="6">
        <f t="shared" si="7"/>
        <v>202</v>
      </c>
      <c r="B203" s="7" t="s">
        <v>591</v>
      </c>
      <c r="C203" s="7" t="s">
        <v>605</v>
      </c>
      <c r="D203" s="8" t="s">
        <v>2229</v>
      </c>
      <c r="E203" s="7" t="s">
        <v>423</v>
      </c>
      <c r="F203" s="7" t="s">
        <v>29</v>
      </c>
      <c r="G203" s="7" t="s">
        <v>606</v>
      </c>
      <c r="H203" s="49" t="s">
        <v>49</v>
      </c>
      <c r="I203" s="7" t="s">
        <v>607</v>
      </c>
      <c r="J203" s="34"/>
      <c r="K203" s="34"/>
    </row>
    <row r="204" spans="1:79" ht="18" hidden="1" customHeight="1" x14ac:dyDescent="0.4">
      <c r="A204" s="9">
        <f t="shared" si="7"/>
        <v>203</v>
      </c>
      <c r="B204" s="10" t="s">
        <v>591</v>
      </c>
      <c r="C204" s="10" t="s">
        <v>589</v>
      </c>
      <c r="D204" s="11" t="s">
        <v>2229</v>
      </c>
      <c r="E204" s="10" t="s">
        <v>62</v>
      </c>
      <c r="F204" s="10" t="s">
        <v>608</v>
      </c>
      <c r="G204" s="10" t="s">
        <v>609</v>
      </c>
      <c r="H204" s="48" t="s">
        <v>49</v>
      </c>
      <c r="I204" s="10" t="s">
        <v>610</v>
      </c>
      <c r="J204" s="34"/>
      <c r="K204" s="34"/>
    </row>
    <row r="205" spans="1:79" s="5" customFormat="1" ht="18" hidden="1" customHeight="1" x14ac:dyDescent="0.4">
      <c r="A205" s="6">
        <f t="shared" si="7"/>
        <v>204</v>
      </c>
      <c r="B205" s="7" t="s">
        <v>591</v>
      </c>
      <c r="C205" s="7" t="s">
        <v>493</v>
      </c>
      <c r="D205" s="8" t="s">
        <v>2229</v>
      </c>
      <c r="E205" s="7" t="s">
        <v>611</v>
      </c>
      <c r="F205" s="7" t="s">
        <v>612</v>
      </c>
      <c r="G205" s="7" t="s">
        <v>317</v>
      </c>
      <c r="H205" s="47" t="s">
        <v>49</v>
      </c>
      <c r="I205" s="7" t="s">
        <v>613</v>
      </c>
      <c r="J205" s="34"/>
      <c r="K205" s="3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</row>
    <row r="206" spans="1:79" ht="18" customHeight="1" x14ac:dyDescent="0.4">
      <c r="A206" s="9">
        <f t="shared" si="7"/>
        <v>205</v>
      </c>
      <c r="B206" s="10" t="s">
        <v>614</v>
      </c>
      <c r="C206" s="10" t="s">
        <v>615</v>
      </c>
      <c r="D206" s="11" t="s">
        <v>17</v>
      </c>
      <c r="E206" s="10" t="s">
        <v>616</v>
      </c>
      <c r="F206" s="10" t="s">
        <v>68</v>
      </c>
      <c r="G206" s="10" t="s">
        <v>617</v>
      </c>
      <c r="H206" s="47" t="s">
        <v>15</v>
      </c>
      <c r="I206" s="10" t="s">
        <v>618</v>
      </c>
      <c r="J206" s="34" t="s">
        <v>2156</v>
      </c>
      <c r="K206" s="34">
        <v>14</v>
      </c>
    </row>
    <row r="207" spans="1:79" ht="18" customHeight="1" x14ac:dyDescent="0.4">
      <c r="A207" s="6">
        <f t="shared" si="7"/>
        <v>206</v>
      </c>
      <c r="B207" s="7" t="s">
        <v>614</v>
      </c>
      <c r="C207" s="7" t="s">
        <v>615</v>
      </c>
      <c r="D207" s="8" t="s">
        <v>17</v>
      </c>
      <c r="E207" s="7" t="s">
        <v>225</v>
      </c>
      <c r="F207" s="7" t="s">
        <v>619</v>
      </c>
      <c r="G207" s="7" t="s">
        <v>620</v>
      </c>
      <c r="H207" s="46" t="s">
        <v>15</v>
      </c>
      <c r="I207" s="7" t="s">
        <v>621</v>
      </c>
      <c r="J207" s="34" t="s">
        <v>2156</v>
      </c>
      <c r="K207" s="34">
        <v>35</v>
      </c>
    </row>
    <row r="208" spans="1:79" ht="18" customHeight="1" x14ac:dyDescent="0.4">
      <c r="A208" s="9">
        <f t="shared" si="7"/>
        <v>207</v>
      </c>
      <c r="B208" s="10" t="s">
        <v>614</v>
      </c>
      <c r="C208" s="10" t="s">
        <v>615</v>
      </c>
      <c r="D208" s="11" t="s">
        <v>17</v>
      </c>
      <c r="E208" s="10" t="s">
        <v>62</v>
      </c>
      <c r="F208" s="10" t="s">
        <v>276</v>
      </c>
      <c r="G208" s="10" t="s">
        <v>450</v>
      </c>
      <c r="H208" s="46" t="s">
        <v>15</v>
      </c>
      <c r="I208" s="10" t="s">
        <v>622</v>
      </c>
      <c r="J208" s="34" t="s">
        <v>2156</v>
      </c>
      <c r="K208" s="34">
        <v>31</v>
      </c>
    </row>
    <row r="209" spans="1:79" ht="18" customHeight="1" x14ac:dyDescent="0.4">
      <c r="A209" s="6">
        <f t="shared" si="7"/>
        <v>208</v>
      </c>
      <c r="B209" s="7" t="s">
        <v>614</v>
      </c>
      <c r="C209" s="7" t="s">
        <v>615</v>
      </c>
      <c r="D209" s="8" t="s">
        <v>17</v>
      </c>
      <c r="E209" s="7" t="s">
        <v>455</v>
      </c>
      <c r="F209" s="7" t="s">
        <v>623</v>
      </c>
      <c r="G209" s="7" t="s">
        <v>624</v>
      </c>
      <c r="H209" s="46" t="s">
        <v>15</v>
      </c>
      <c r="I209" s="7" t="s">
        <v>625</v>
      </c>
      <c r="J209" s="34" t="s">
        <v>2156</v>
      </c>
      <c r="K209" s="34">
        <v>13</v>
      </c>
    </row>
    <row r="210" spans="1:79" ht="18" customHeight="1" x14ac:dyDescent="0.4">
      <c r="A210" s="9">
        <f t="shared" si="7"/>
        <v>209</v>
      </c>
      <c r="B210" s="10" t="s">
        <v>614</v>
      </c>
      <c r="C210" s="10" t="s">
        <v>615</v>
      </c>
      <c r="D210" s="11" t="s">
        <v>17</v>
      </c>
      <c r="E210" s="10" t="s">
        <v>405</v>
      </c>
      <c r="F210" s="10" t="s">
        <v>626</v>
      </c>
      <c r="G210" s="10" t="s">
        <v>627</v>
      </c>
      <c r="H210" s="47" t="s">
        <v>40</v>
      </c>
      <c r="I210" s="10" t="s">
        <v>628</v>
      </c>
      <c r="J210" s="34"/>
      <c r="K210" s="34"/>
    </row>
    <row r="211" spans="1:79" ht="18" hidden="1" customHeight="1" x14ac:dyDescent="0.4">
      <c r="A211" s="6">
        <f t="shared" si="7"/>
        <v>210</v>
      </c>
      <c r="B211" s="7" t="s">
        <v>614</v>
      </c>
      <c r="C211" s="7" t="s">
        <v>615</v>
      </c>
      <c r="D211" s="8" t="s">
        <v>2229</v>
      </c>
      <c r="E211" s="7" t="s">
        <v>272</v>
      </c>
      <c r="F211" s="7" t="s">
        <v>629</v>
      </c>
      <c r="G211" s="7" t="s">
        <v>630</v>
      </c>
      <c r="H211" s="48" t="s">
        <v>49</v>
      </c>
      <c r="I211" s="7" t="s">
        <v>631</v>
      </c>
      <c r="J211" s="34"/>
      <c r="K211" s="34"/>
    </row>
    <row r="212" spans="1:79" ht="18" hidden="1" customHeight="1" x14ac:dyDescent="0.4">
      <c r="A212" s="9">
        <f t="shared" si="7"/>
        <v>211</v>
      </c>
      <c r="B212" s="10" t="s">
        <v>614</v>
      </c>
      <c r="C212" s="10" t="s">
        <v>615</v>
      </c>
      <c r="D212" s="11" t="s">
        <v>2229</v>
      </c>
      <c r="E212" s="10" t="s">
        <v>80</v>
      </c>
      <c r="F212" s="10" t="s">
        <v>632</v>
      </c>
      <c r="G212" s="10" t="s">
        <v>633</v>
      </c>
      <c r="H212" s="47" t="s">
        <v>49</v>
      </c>
      <c r="I212" s="10" t="s">
        <v>634</v>
      </c>
      <c r="J212" s="34"/>
      <c r="K212" s="34"/>
    </row>
    <row r="213" spans="1:79" ht="18" customHeight="1" x14ac:dyDescent="0.4">
      <c r="A213" s="6">
        <f t="shared" si="7"/>
        <v>212</v>
      </c>
      <c r="B213" s="7" t="s">
        <v>614</v>
      </c>
      <c r="C213" s="7" t="s">
        <v>493</v>
      </c>
      <c r="D213" s="8" t="s">
        <v>17</v>
      </c>
      <c r="E213" s="7" t="s">
        <v>635</v>
      </c>
      <c r="F213" s="7" t="s">
        <v>636</v>
      </c>
      <c r="G213" s="7" t="s">
        <v>637</v>
      </c>
      <c r="H213" s="46" t="s">
        <v>15</v>
      </c>
      <c r="I213" s="7" t="s">
        <v>638</v>
      </c>
      <c r="J213" s="34" t="s">
        <v>2156</v>
      </c>
      <c r="K213" s="34">
        <v>5</v>
      </c>
    </row>
    <row r="214" spans="1:79" ht="18" customHeight="1" x14ac:dyDescent="0.4">
      <c r="A214" s="9">
        <f t="shared" si="7"/>
        <v>213</v>
      </c>
      <c r="B214" s="10" t="s">
        <v>614</v>
      </c>
      <c r="C214" s="10" t="s">
        <v>65</v>
      </c>
      <c r="D214" s="11" t="s">
        <v>17</v>
      </c>
      <c r="E214" s="10" t="s">
        <v>476</v>
      </c>
      <c r="F214" s="10" t="s">
        <v>639</v>
      </c>
      <c r="G214" s="10" t="s">
        <v>123</v>
      </c>
      <c r="H214" s="46" t="s">
        <v>15</v>
      </c>
      <c r="I214" s="10" t="s">
        <v>640</v>
      </c>
      <c r="J214" s="34" t="s">
        <v>2156</v>
      </c>
      <c r="K214" s="34">
        <v>17</v>
      </c>
    </row>
    <row r="215" spans="1:79" ht="18" customHeight="1" x14ac:dyDescent="0.4">
      <c r="A215" s="6">
        <f t="shared" si="7"/>
        <v>214</v>
      </c>
      <c r="B215" s="7" t="s">
        <v>614</v>
      </c>
      <c r="C215" s="7"/>
      <c r="D215" s="8" t="s">
        <v>17</v>
      </c>
      <c r="E215" s="7" t="s">
        <v>247</v>
      </c>
      <c r="F215" s="7" t="s">
        <v>641</v>
      </c>
      <c r="G215" s="7" t="s">
        <v>642</v>
      </c>
      <c r="H215" s="46" t="s">
        <v>15</v>
      </c>
      <c r="I215" s="7" t="s">
        <v>643</v>
      </c>
      <c r="J215" s="34" t="s">
        <v>2156</v>
      </c>
      <c r="K215" s="34">
        <v>16</v>
      </c>
    </row>
    <row r="216" spans="1:79" ht="18" customHeight="1" x14ac:dyDescent="0.4">
      <c r="A216" s="9">
        <f t="shared" si="7"/>
        <v>215</v>
      </c>
      <c r="B216" s="10" t="s">
        <v>614</v>
      </c>
      <c r="C216" s="10"/>
      <c r="D216" s="11" t="s">
        <v>17</v>
      </c>
      <c r="E216" s="10" t="s">
        <v>80</v>
      </c>
      <c r="F216" s="10" t="s">
        <v>82</v>
      </c>
      <c r="G216" s="10" t="s">
        <v>644</v>
      </c>
      <c r="H216" s="46" t="s">
        <v>15</v>
      </c>
      <c r="I216" s="10" t="s">
        <v>645</v>
      </c>
      <c r="J216" s="34" t="s">
        <v>2157</v>
      </c>
      <c r="K216" s="34">
        <v>29</v>
      </c>
    </row>
    <row r="217" spans="1:79" ht="18" customHeight="1" x14ac:dyDescent="0.4">
      <c r="A217" s="6">
        <f t="shared" si="7"/>
        <v>216</v>
      </c>
      <c r="B217" s="7" t="s">
        <v>614</v>
      </c>
      <c r="C217" s="7"/>
      <c r="D217" s="8" t="s">
        <v>17</v>
      </c>
      <c r="E217" s="7" t="s">
        <v>646</v>
      </c>
      <c r="F217" s="7" t="s">
        <v>647</v>
      </c>
      <c r="G217" s="7" t="s">
        <v>648</v>
      </c>
      <c r="H217" s="46" t="s">
        <v>15</v>
      </c>
      <c r="I217" s="7" t="s">
        <v>649</v>
      </c>
      <c r="J217" s="34" t="s">
        <v>2156</v>
      </c>
      <c r="K217" s="34">
        <v>40</v>
      </c>
    </row>
    <row r="218" spans="1:79" ht="18" customHeight="1" x14ac:dyDescent="0.4">
      <c r="A218" s="9">
        <f t="shared" si="7"/>
        <v>217</v>
      </c>
      <c r="B218" s="10" t="s">
        <v>614</v>
      </c>
      <c r="C218" s="10"/>
      <c r="D218" s="11" t="s">
        <v>17</v>
      </c>
      <c r="E218" s="10" t="s">
        <v>650</v>
      </c>
      <c r="F218" s="10" t="s">
        <v>619</v>
      </c>
      <c r="G218" s="10" t="s">
        <v>651</v>
      </c>
      <c r="H218" s="47" t="s">
        <v>15</v>
      </c>
      <c r="I218" s="10" t="s">
        <v>652</v>
      </c>
      <c r="J218" s="34" t="s">
        <v>2156</v>
      </c>
      <c r="K218" s="34">
        <v>4</v>
      </c>
    </row>
    <row r="219" spans="1:79" ht="18" hidden="1" customHeight="1" x14ac:dyDescent="0.4">
      <c r="A219" s="6">
        <f t="shared" si="7"/>
        <v>218</v>
      </c>
      <c r="B219" s="7" t="s">
        <v>614</v>
      </c>
      <c r="C219" s="7"/>
      <c r="D219" s="8" t="s">
        <v>2229</v>
      </c>
      <c r="E219" s="7" t="s">
        <v>324</v>
      </c>
      <c r="F219" s="7" t="s">
        <v>653</v>
      </c>
      <c r="G219" s="7" t="s">
        <v>654</v>
      </c>
      <c r="H219" s="46" t="s">
        <v>49</v>
      </c>
      <c r="I219" s="7" t="s">
        <v>655</v>
      </c>
      <c r="J219" s="34"/>
      <c r="K219" s="34"/>
    </row>
    <row r="220" spans="1:79" s="5" customFormat="1" ht="18" customHeight="1" x14ac:dyDescent="0.4">
      <c r="A220" s="9">
        <f t="shared" si="7"/>
        <v>219</v>
      </c>
      <c r="B220" s="10" t="s">
        <v>614</v>
      </c>
      <c r="C220" s="10"/>
      <c r="D220" s="11" t="s">
        <v>17</v>
      </c>
      <c r="E220" s="10" t="s">
        <v>656</v>
      </c>
      <c r="F220" s="10" t="s">
        <v>657</v>
      </c>
      <c r="G220" s="10" t="s">
        <v>658</v>
      </c>
      <c r="H220" s="46" t="s">
        <v>15</v>
      </c>
      <c r="I220" s="10" t="s">
        <v>659</v>
      </c>
      <c r="J220" s="34" t="s">
        <v>2157</v>
      </c>
      <c r="K220" s="34">
        <v>25</v>
      </c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</row>
    <row r="221" spans="1:79" ht="18" customHeight="1" x14ac:dyDescent="0.4">
      <c r="A221" s="6">
        <f t="shared" si="7"/>
        <v>220</v>
      </c>
      <c r="B221" s="7" t="s">
        <v>660</v>
      </c>
      <c r="C221" s="7" t="s">
        <v>221</v>
      </c>
      <c r="D221" s="8" t="s">
        <v>17</v>
      </c>
      <c r="E221" s="7" t="s">
        <v>661</v>
      </c>
      <c r="F221" s="7" t="s">
        <v>662</v>
      </c>
      <c r="G221" s="7" t="s">
        <v>663</v>
      </c>
      <c r="H221" s="46" t="s">
        <v>15</v>
      </c>
      <c r="I221" s="7" t="s">
        <v>664</v>
      </c>
      <c r="J221" s="34" t="s">
        <v>2157</v>
      </c>
      <c r="K221" s="34">
        <v>20</v>
      </c>
    </row>
    <row r="222" spans="1:79" ht="18" hidden="1" customHeight="1" x14ac:dyDescent="0.4">
      <c r="A222" s="9">
        <f t="shared" si="7"/>
        <v>221</v>
      </c>
      <c r="B222" s="10" t="s">
        <v>660</v>
      </c>
      <c r="C222" s="10" t="s">
        <v>605</v>
      </c>
      <c r="D222" s="11" t="s">
        <v>2229</v>
      </c>
      <c r="E222" s="10" t="s">
        <v>324</v>
      </c>
      <c r="F222" s="10" t="s">
        <v>68</v>
      </c>
      <c r="G222" s="10" t="s">
        <v>665</v>
      </c>
      <c r="H222" s="48" t="s">
        <v>49</v>
      </c>
      <c r="I222" s="10" t="s">
        <v>666</v>
      </c>
      <c r="J222" s="34"/>
      <c r="K222" s="34"/>
    </row>
    <row r="223" spans="1:79" ht="18" customHeight="1" x14ac:dyDescent="0.4">
      <c r="A223" s="6">
        <f t="shared" si="7"/>
        <v>222</v>
      </c>
      <c r="B223" s="7" t="s">
        <v>660</v>
      </c>
      <c r="C223" s="7" t="s">
        <v>427</v>
      </c>
      <c r="D223" s="8" t="s">
        <v>17</v>
      </c>
      <c r="E223" s="7" t="s">
        <v>329</v>
      </c>
      <c r="F223" s="7" t="s">
        <v>667</v>
      </c>
      <c r="G223" s="7" t="s">
        <v>668</v>
      </c>
      <c r="H223" s="46" t="s">
        <v>15</v>
      </c>
      <c r="I223" s="7" t="s">
        <v>669</v>
      </c>
      <c r="J223" s="34" t="s">
        <v>2156</v>
      </c>
      <c r="K223" s="34">
        <v>18</v>
      </c>
    </row>
    <row r="224" spans="1:79" ht="18" customHeight="1" x14ac:dyDescent="0.4">
      <c r="A224" s="9">
        <f t="shared" si="7"/>
        <v>223</v>
      </c>
      <c r="B224" s="10" t="s">
        <v>660</v>
      </c>
      <c r="C224" s="10" t="s">
        <v>427</v>
      </c>
      <c r="D224" s="11" t="s">
        <v>17</v>
      </c>
      <c r="E224" s="10" t="s">
        <v>670</v>
      </c>
      <c r="F224" s="10" t="s">
        <v>671</v>
      </c>
      <c r="G224" s="10" t="s">
        <v>672</v>
      </c>
      <c r="H224" s="46" t="s">
        <v>15</v>
      </c>
      <c r="I224" s="10" t="s">
        <v>2186</v>
      </c>
      <c r="J224" s="34" t="s">
        <v>2156</v>
      </c>
      <c r="K224" s="34">
        <v>11</v>
      </c>
    </row>
    <row r="225" spans="1:11" ht="18" customHeight="1" x14ac:dyDescent="0.4">
      <c r="A225" s="6">
        <f t="shared" si="7"/>
        <v>224</v>
      </c>
      <c r="B225" s="7" t="s">
        <v>660</v>
      </c>
      <c r="C225" s="7" t="s">
        <v>427</v>
      </c>
      <c r="D225" s="8" t="s">
        <v>17</v>
      </c>
      <c r="E225" s="7" t="s">
        <v>673</v>
      </c>
      <c r="F225" s="7" t="s">
        <v>391</v>
      </c>
      <c r="G225" s="7" t="s">
        <v>674</v>
      </c>
      <c r="H225" s="46" t="s">
        <v>15</v>
      </c>
      <c r="I225" s="7" t="s">
        <v>675</v>
      </c>
      <c r="J225" s="34" t="s">
        <v>2155</v>
      </c>
      <c r="K225" s="34">
        <v>2</v>
      </c>
    </row>
    <row r="226" spans="1:11" ht="18" customHeight="1" x14ac:dyDescent="0.4">
      <c r="A226" s="9">
        <f t="shared" si="7"/>
        <v>225</v>
      </c>
      <c r="B226" s="10" t="s">
        <v>660</v>
      </c>
      <c r="C226" s="10" t="s">
        <v>427</v>
      </c>
      <c r="D226" s="11" t="s">
        <v>17</v>
      </c>
      <c r="E226" s="10" t="s">
        <v>676</v>
      </c>
      <c r="F226" s="10" t="s">
        <v>677</v>
      </c>
      <c r="G226" s="10" t="s">
        <v>678</v>
      </c>
      <c r="H226" s="46" t="s">
        <v>15</v>
      </c>
      <c r="I226" s="10" t="s">
        <v>679</v>
      </c>
      <c r="J226" s="34" t="s">
        <v>2156</v>
      </c>
      <c r="K226" s="34">
        <v>8</v>
      </c>
    </row>
    <row r="227" spans="1:11" ht="18" customHeight="1" x14ac:dyDescent="0.4">
      <c r="A227" s="6">
        <f t="shared" si="7"/>
        <v>226</v>
      </c>
      <c r="B227" s="7" t="s">
        <v>660</v>
      </c>
      <c r="C227" s="7" t="s">
        <v>427</v>
      </c>
      <c r="D227" s="8" t="s">
        <v>17</v>
      </c>
      <c r="E227" s="7" t="s">
        <v>413</v>
      </c>
      <c r="F227" s="7" t="s">
        <v>680</v>
      </c>
      <c r="G227" s="7" t="s">
        <v>123</v>
      </c>
      <c r="H227" s="46" t="s">
        <v>15</v>
      </c>
      <c r="I227" s="7" t="s">
        <v>681</v>
      </c>
      <c r="J227" s="34" t="s">
        <v>2156</v>
      </c>
      <c r="K227" s="34">
        <v>37</v>
      </c>
    </row>
    <row r="228" spans="1:11" ht="18" customHeight="1" x14ac:dyDescent="0.4">
      <c r="A228" s="9">
        <f t="shared" si="7"/>
        <v>227</v>
      </c>
      <c r="B228" s="10" t="s">
        <v>660</v>
      </c>
      <c r="C228" s="10" t="s">
        <v>427</v>
      </c>
      <c r="D228" s="11" t="s">
        <v>17</v>
      </c>
      <c r="E228" s="10" t="s">
        <v>90</v>
      </c>
      <c r="F228" s="10" t="s">
        <v>68</v>
      </c>
      <c r="G228" s="10" t="s">
        <v>682</v>
      </c>
      <c r="H228" s="46" t="s">
        <v>15</v>
      </c>
      <c r="I228" s="10" t="s">
        <v>683</v>
      </c>
      <c r="J228" s="34" t="s">
        <v>2156</v>
      </c>
      <c r="K228" s="34">
        <v>6</v>
      </c>
    </row>
    <row r="229" spans="1:11" ht="18" customHeight="1" x14ac:dyDescent="0.4">
      <c r="A229" s="6">
        <f t="shared" si="7"/>
        <v>228</v>
      </c>
      <c r="B229" s="7" t="s">
        <v>660</v>
      </c>
      <c r="C229" s="7" t="s">
        <v>594</v>
      </c>
      <c r="D229" s="8" t="s">
        <v>17</v>
      </c>
      <c r="E229" s="7" t="s">
        <v>684</v>
      </c>
      <c r="F229" s="7" t="s">
        <v>630</v>
      </c>
      <c r="G229" s="7" t="s">
        <v>685</v>
      </c>
      <c r="H229" s="46" t="s">
        <v>15</v>
      </c>
      <c r="I229" s="7" t="s">
        <v>686</v>
      </c>
      <c r="J229" s="34" t="s">
        <v>2155</v>
      </c>
      <c r="K229" s="34">
        <v>1</v>
      </c>
    </row>
    <row r="230" spans="1:11" ht="18" customHeight="1" x14ac:dyDescent="0.4">
      <c r="A230" s="9">
        <f t="shared" si="7"/>
        <v>229</v>
      </c>
      <c r="B230" s="10" t="s">
        <v>660</v>
      </c>
      <c r="C230" s="10" t="s">
        <v>594</v>
      </c>
      <c r="D230" s="11" t="s">
        <v>17</v>
      </c>
      <c r="E230" s="10" t="s">
        <v>650</v>
      </c>
      <c r="F230" s="10" t="s">
        <v>687</v>
      </c>
      <c r="G230" s="10" t="s">
        <v>688</v>
      </c>
      <c r="H230" s="46" t="s">
        <v>15</v>
      </c>
      <c r="I230" s="10" t="s">
        <v>689</v>
      </c>
      <c r="J230" s="34" t="s">
        <v>2157</v>
      </c>
      <c r="K230" s="34">
        <v>24</v>
      </c>
    </row>
    <row r="231" spans="1:11" ht="18" customHeight="1" x14ac:dyDescent="0.4">
      <c r="A231" s="6">
        <f t="shared" si="7"/>
        <v>230</v>
      </c>
      <c r="B231" s="7" t="s">
        <v>660</v>
      </c>
      <c r="C231" s="7" t="s">
        <v>594</v>
      </c>
      <c r="D231" s="8" t="s">
        <v>17</v>
      </c>
      <c r="E231" s="7" t="s">
        <v>690</v>
      </c>
      <c r="F231" s="7" t="s">
        <v>691</v>
      </c>
      <c r="G231" s="7" t="s">
        <v>692</v>
      </c>
      <c r="H231" s="46" t="s">
        <v>15</v>
      </c>
      <c r="I231" s="7" t="s">
        <v>693</v>
      </c>
      <c r="J231" s="34" t="s">
        <v>2157</v>
      </c>
      <c r="K231" s="34">
        <v>28</v>
      </c>
    </row>
    <row r="232" spans="1:11" ht="18" customHeight="1" x14ac:dyDescent="0.4">
      <c r="A232" s="9">
        <f t="shared" si="7"/>
        <v>231</v>
      </c>
      <c r="B232" s="10" t="s">
        <v>660</v>
      </c>
      <c r="C232" s="10" t="s">
        <v>594</v>
      </c>
      <c r="D232" s="11" t="s">
        <v>17</v>
      </c>
      <c r="E232" s="10" t="s">
        <v>694</v>
      </c>
      <c r="F232" s="10" t="s">
        <v>695</v>
      </c>
      <c r="G232" s="10" t="s">
        <v>72</v>
      </c>
      <c r="H232" s="46" t="s">
        <v>15</v>
      </c>
      <c r="I232" s="10" t="s">
        <v>696</v>
      </c>
      <c r="J232" s="34" t="s">
        <v>2157</v>
      </c>
      <c r="K232" s="34">
        <v>18</v>
      </c>
    </row>
    <row r="233" spans="1:11" ht="18" customHeight="1" x14ac:dyDescent="0.4">
      <c r="A233" s="9"/>
      <c r="B233" s="10"/>
      <c r="C233" s="10"/>
      <c r="D233" s="11" t="s">
        <v>17</v>
      </c>
      <c r="E233" s="10" t="s">
        <v>2211</v>
      </c>
      <c r="F233" s="10" t="s">
        <v>2212</v>
      </c>
      <c r="G233" s="10" t="s">
        <v>658</v>
      </c>
      <c r="H233" s="46" t="s">
        <v>15</v>
      </c>
      <c r="I233" s="10" t="s">
        <v>2213</v>
      </c>
      <c r="J233" s="34" t="s">
        <v>2157</v>
      </c>
      <c r="K233" s="34">
        <v>19</v>
      </c>
    </row>
    <row r="234" spans="1:11" ht="18" customHeight="1" x14ac:dyDescent="0.4">
      <c r="A234" s="6">
        <f t="shared" ref="A234:A255" si="8">IF(COUNTA(B234:I234)=0,"",ROW()-1)</f>
        <v>233</v>
      </c>
      <c r="B234" s="7" t="s">
        <v>660</v>
      </c>
      <c r="C234" s="7" t="s">
        <v>594</v>
      </c>
      <c r="D234" s="8" t="s">
        <v>17</v>
      </c>
      <c r="E234" s="7" t="s">
        <v>697</v>
      </c>
      <c r="F234" s="7" t="s">
        <v>698</v>
      </c>
      <c r="G234" s="7" t="s">
        <v>100</v>
      </c>
      <c r="H234" s="46" t="s">
        <v>15</v>
      </c>
      <c r="I234" s="7" t="s">
        <v>699</v>
      </c>
      <c r="J234" s="34" t="s">
        <v>2157</v>
      </c>
      <c r="K234" s="34">
        <v>16</v>
      </c>
    </row>
    <row r="235" spans="1:11" ht="18" customHeight="1" x14ac:dyDescent="0.4">
      <c r="A235" s="9">
        <f t="shared" si="8"/>
        <v>234</v>
      </c>
      <c r="B235" s="10" t="s">
        <v>660</v>
      </c>
      <c r="C235" s="10" t="s">
        <v>32</v>
      </c>
      <c r="D235" s="11" t="s">
        <v>17</v>
      </c>
      <c r="E235" s="10" t="s">
        <v>700</v>
      </c>
      <c r="F235" s="10" t="s">
        <v>701</v>
      </c>
      <c r="G235" s="10" t="s">
        <v>702</v>
      </c>
      <c r="H235" s="46" t="s">
        <v>15</v>
      </c>
      <c r="I235" s="10" t="s">
        <v>703</v>
      </c>
      <c r="J235" s="34" t="s">
        <v>2157</v>
      </c>
      <c r="K235" s="34">
        <v>17</v>
      </c>
    </row>
    <row r="236" spans="1:11" ht="18" customHeight="1" x14ac:dyDescent="0.4">
      <c r="A236" s="6">
        <f t="shared" si="8"/>
        <v>235</v>
      </c>
      <c r="B236" s="7" t="s">
        <v>660</v>
      </c>
      <c r="C236" s="7" t="s">
        <v>704</v>
      </c>
      <c r="D236" s="8" t="s">
        <v>17</v>
      </c>
      <c r="E236" s="7" t="s">
        <v>90</v>
      </c>
      <c r="F236" s="7" t="s">
        <v>705</v>
      </c>
      <c r="G236" s="7" t="s">
        <v>431</v>
      </c>
      <c r="H236" s="46" t="s">
        <v>15</v>
      </c>
      <c r="I236" s="7" t="s">
        <v>706</v>
      </c>
      <c r="J236" s="34" t="s">
        <v>2157</v>
      </c>
      <c r="K236" s="34">
        <v>11</v>
      </c>
    </row>
    <row r="237" spans="1:11" ht="18" customHeight="1" x14ac:dyDescent="0.4">
      <c r="A237" s="9">
        <f t="shared" si="8"/>
        <v>236</v>
      </c>
      <c r="B237" s="10" t="s">
        <v>660</v>
      </c>
      <c r="C237" s="10" t="s">
        <v>594</v>
      </c>
      <c r="D237" s="11" t="s">
        <v>17</v>
      </c>
      <c r="E237" s="10" t="s">
        <v>707</v>
      </c>
      <c r="F237" s="10" t="s">
        <v>270</v>
      </c>
      <c r="G237" s="10" t="s">
        <v>258</v>
      </c>
      <c r="H237" s="46" t="s">
        <v>15</v>
      </c>
      <c r="I237" s="10" t="s">
        <v>708</v>
      </c>
      <c r="J237" s="34" t="s">
        <v>2157</v>
      </c>
      <c r="K237" s="34">
        <v>35</v>
      </c>
    </row>
    <row r="238" spans="1:11" ht="18" customHeight="1" x14ac:dyDescent="0.4">
      <c r="A238" s="6">
        <f t="shared" si="8"/>
        <v>237</v>
      </c>
      <c r="B238" s="7" t="s">
        <v>660</v>
      </c>
      <c r="C238" s="7" t="s">
        <v>594</v>
      </c>
      <c r="D238" s="8" t="s">
        <v>17</v>
      </c>
      <c r="E238" s="7" t="s">
        <v>80</v>
      </c>
      <c r="F238" s="7" t="s">
        <v>68</v>
      </c>
      <c r="G238" s="7" t="s">
        <v>29</v>
      </c>
      <c r="H238" s="46" t="s">
        <v>15</v>
      </c>
      <c r="I238" s="7" t="s">
        <v>709</v>
      </c>
      <c r="J238" s="34" t="s">
        <v>2157</v>
      </c>
      <c r="K238" s="34">
        <v>10</v>
      </c>
    </row>
    <row r="239" spans="1:11" ht="18" customHeight="1" x14ac:dyDescent="0.4">
      <c r="A239" s="9">
        <f t="shared" si="8"/>
        <v>238</v>
      </c>
      <c r="B239" s="10" t="s">
        <v>660</v>
      </c>
      <c r="C239" s="10" t="s">
        <v>710</v>
      </c>
      <c r="D239" s="11" t="s">
        <v>17</v>
      </c>
      <c r="E239" s="10" t="s">
        <v>711</v>
      </c>
      <c r="F239" s="10" t="s">
        <v>712</v>
      </c>
      <c r="G239" s="10" t="s">
        <v>713</v>
      </c>
      <c r="H239" s="46" t="s">
        <v>15</v>
      </c>
      <c r="I239" s="10" t="s">
        <v>714</v>
      </c>
      <c r="J239" s="34" t="s">
        <v>2157</v>
      </c>
      <c r="K239" s="34">
        <v>39</v>
      </c>
    </row>
    <row r="240" spans="1:11" ht="18" customHeight="1" x14ac:dyDescent="0.4">
      <c r="A240" s="6">
        <f t="shared" si="8"/>
        <v>239</v>
      </c>
      <c r="B240" s="7" t="s">
        <v>660</v>
      </c>
      <c r="C240" s="7" t="s">
        <v>594</v>
      </c>
      <c r="D240" s="8" t="s">
        <v>17</v>
      </c>
      <c r="E240" s="7" t="s">
        <v>497</v>
      </c>
      <c r="F240" s="7" t="s">
        <v>402</v>
      </c>
      <c r="G240" s="7" t="s">
        <v>715</v>
      </c>
      <c r="H240" s="46" t="s">
        <v>15</v>
      </c>
      <c r="I240" s="7" t="s">
        <v>716</v>
      </c>
      <c r="J240" s="34" t="s">
        <v>2156</v>
      </c>
      <c r="K240" s="34">
        <v>3</v>
      </c>
    </row>
    <row r="241" spans="1:79" ht="18" customHeight="1" x14ac:dyDescent="0.4">
      <c r="A241" s="9">
        <f t="shared" si="8"/>
        <v>240</v>
      </c>
      <c r="B241" s="10" t="s">
        <v>660</v>
      </c>
      <c r="C241" s="10" t="s">
        <v>594</v>
      </c>
      <c r="D241" s="11" t="s">
        <v>17</v>
      </c>
      <c r="E241" s="10" t="s">
        <v>717</v>
      </c>
      <c r="F241" s="10" t="s">
        <v>718</v>
      </c>
      <c r="G241" s="10" t="s">
        <v>636</v>
      </c>
      <c r="H241" s="46" t="s">
        <v>15</v>
      </c>
      <c r="I241" s="10" t="s">
        <v>719</v>
      </c>
      <c r="J241" s="34" t="s">
        <v>2157</v>
      </c>
      <c r="K241" s="34">
        <v>31</v>
      </c>
    </row>
    <row r="242" spans="1:79" ht="18" customHeight="1" x14ac:dyDescent="0.4">
      <c r="A242" s="6">
        <f t="shared" si="8"/>
        <v>241</v>
      </c>
      <c r="B242" s="7" t="s">
        <v>660</v>
      </c>
      <c r="C242" s="7" t="s">
        <v>720</v>
      </c>
      <c r="D242" s="8" t="s">
        <v>17</v>
      </c>
      <c r="E242" s="7" t="s">
        <v>721</v>
      </c>
      <c r="F242" s="7" t="s">
        <v>342</v>
      </c>
      <c r="G242" s="7" t="s">
        <v>722</v>
      </c>
      <c r="H242" s="46" t="s">
        <v>15</v>
      </c>
      <c r="I242" s="7" t="s">
        <v>723</v>
      </c>
      <c r="J242" s="34" t="s">
        <v>2158</v>
      </c>
      <c r="K242" s="34">
        <v>15</v>
      </c>
    </row>
    <row r="243" spans="1:79" ht="18" customHeight="1" x14ac:dyDescent="0.4">
      <c r="A243" s="9">
        <f t="shared" si="8"/>
        <v>242</v>
      </c>
      <c r="B243" s="10" t="s">
        <v>660</v>
      </c>
      <c r="C243" s="10" t="s">
        <v>724</v>
      </c>
      <c r="D243" s="11" t="s">
        <v>17</v>
      </c>
      <c r="E243" s="10" t="s">
        <v>46</v>
      </c>
      <c r="F243" s="10" t="s">
        <v>725</v>
      </c>
      <c r="G243" s="10" t="s">
        <v>726</v>
      </c>
      <c r="H243" s="46" t="s">
        <v>15</v>
      </c>
      <c r="I243" s="10" t="s">
        <v>727</v>
      </c>
      <c r="J243" s="34" t="s">
        <v>2158</v>
      </c>
      <c r="K243" s="34">
        <v>31</v>
      </c>
    </row>
    <row r="244" spans="1:79" ht="18" hidden="1" customHeight="1" x14ac:dyDescent="0.4">
      <c r="A244" s="6">
        <f t="shared" si="8"/>
        <v>243</v>
      </c>
      <c r="B244" s="7" t="s">
        <v>660</v>
      </c>
      <c r="C244" s="7" t="s">
        <v>589</v>
      </c>
      <c r="D244" s="8" t="s">
        <v>2229</v>
      </c>
      <c r="E244" s="7" t="s">
        <v>339</v>
      </c>
      <c r="F244" s="7" t="s">
        <v>519</v>
      </c>
      <c r="G244" s="7" t="s">
        <v>241</v>
      </c>
      <c r="H244" s="47" t="s">
        <v>49</v>
      </c>
      <c r="I244" s="7" t="s">
        <v>728</v>
      </c>
      <c r="J244" s="34"/>
      <c r="K244" s="34"/>
    </row>
    <row r="245" spans="1:79" s="5" customFormat="1" ht="18" customHeight="1" x14ac:dyDescent="0.4">
      <c r="A245" s="9">
        <f t="shared" si="8"/>
        <v>244</v>
      </c>
      <c r="B245" s="10" t="s">
        <v>660</v>
      </c>
      <c r="C245" s="10" t="s">
        <v>729</v>
      </c>
      <c r="D245" s="15" t="s">
        <v>17</v>
      </c>
      <c r="E245" s="10" t="s">
        <v>730</v>
      </c>
      <c r="F245" s="10" t="s">
        <v>731</v>
      </c>
      <c r="G245" s="10" t="s">
        <v>732</v>
      </c>
      <c r="H245" s="48" t="s">
        <v>15</v>
      </c>
      <c r="I245" s="10" t="s">
        <v>733</v>
      </c>
      <c r="J245" s="34" t="s">
        <v>2157</v>
      </c>
      <c r="K245" s="34">
        <v>15</v>
      </c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</row>
    <row r="246" spans="1:79" ht="18" customHeight="1" x14ac:dyDescent="0.4">
      <c r="A246" s="9">
        <f t="shared" si="8"/>
        <v>245</v>
      </c>
      <c r="B246" s="26" t="s">
        <v>1207</v>
      </c>
      <c r="C246" s="26"/>
      <c r="D246" s="15" t="s">
        <v>821</v>
      </c>
      <c r="E246" s="26" t="s">
        <v>1461</v>
      </c>
      <c r="F246" s="26" t="s">
        <v>123</v>
      </c>
      <c r="G246" s="26"/>
      <c r="H246" s="47" t="s">
        <v>15</v>
      </c>
      <c r="I246" s="26" t="s">
        <v>1423</v>
      </c>
      <c r="J246" s="34" t="s">
        <v>2156</v>
      </c>
      <c r="K246" s="34">
        <v>4</v>
      </c>
    </row>
    <row r="247" spans="1:79" ht="18" customHeight="1" x14ac:dyDescent="0.4">
      <c r="A247" s="6">
        <f t="shared" si="8"/>
        <v>246</v>
      </c>
      <c r="B247" s="12" t="s">
        <v>734</v>
      </c>
      <c r="C247" s="12" t="s">
        <v>442</v>
      </c>
      <c r="D247" s="13" t="s">
        <v>17</v>
      </c>
      <c r="E247" s="12" t="s">
        <v>735</v>
      </c>
      <c r="F247" s="12" t="s">
        <v>475</v>
      </c>
      <c r="G247" s="12" t="s">
        <v>342</v>
      </c>
      <c r="H247" s="46" t="s">
        <v>15</v>
      </c>
      <c r="I247" s="12" t="s">
        <v>736</v>
      </c>
      <c r="J247" s="34" t="s">
        <v>2158</v>
      </c>
      <c r="K247" s="34">
        <v>34</v>
      </c>
    </row>
    <row r="248" spans="1:79" ht="18" hidden="1" customHeight="1" x14ac:dyDescent="0.4">
      <c r="A248" s="9">
        <f t="shared" si="8"/>
        <v>247</v>
      </c>
      <c r="B248" s="14" t="s">
        <v>917</v>
      </c>
      <c r="C248" s="14" t="s">
        <v>594</v>
      </c>
      <c r="D248" s="15"/>
      <c r="E248" s="14" t="s">
        <v>405</v>
      </c>
      <c r="F248" s="14" t="s">
        <v>938</v>
      </c>
      <c r="G248" s="14" t="s">
        <v>939</v>
      </c>
      <c r="H248" s="47" t="s">
        <v>49</v>
      </c>
      <c r="I248" s="14" t="s">
        <v>940</v>
      </c>
      <c r="J248" s="34"/>
      <c r="K248" s="34"/>
    </row>
    <row r="249" spans="1:79" ht="18" customHeight="1" x14ac:dyDescent="0.4">
      <c r="A249" s="6">
        <f t="shared" si="8"/>
        <v>248</v>
      </c>
      <c r="B249" s="10" t="s">
        <v>734</v>
      </c>
      <c r="C249" s="10" t="s">
        <v>493</v>
      </c>
      <c r="D249" s="11" t="s">
        <v>17</v>
      </c>
      <c r="E249" s="14" t="s">
        <v>739</v>
      </c>
      <c r="F249" s="14" t="s">
        <v>740</v>
      </c>
      <c r="G249" s="14" t="s">
        <v>741</v>
      </c>
      <c r="H249" s="49" t="s">
        <v>15</v>
      </c>
      <c r="I249" s="10" t="s">
        <v>742</v>
      </c>
      <c r="J249" s="34" t="s">
        <v>2158</v>
      </c>
      <c r="K249" s="34">
        <v>10</v>
      </c>
    </row>
    <row r="250" spans="1:79" ht="18" hidden="1" customHeight="1" x14ac:dyDescent="0.4">
      <c r="A250" s="9">
        <f t="shared" si="8"/>
        <v>249</v>
      </c>
      <c r="B250" s="12" t="s">
        <v>734</v>
      </c>
      <c r="C250" s="12" t="s">
        <v>493</v>
      </c>
      <c r="D250" s="13" t="s">
        <v>2229</v>
      </c>
      <c r="E250" s="12" t="s">
        <v>743</v>
      </c>
      <c r="F250" s="12" t="s">
        <v>744</v>
      </c>
      <c r="G250" s="12" t="s">
        <v>744</v>
      </c>
      <c r="H250" s="47" t="s">
        <v>49</v>
      </c>
      <c r="I250" s="12" t="s">
        <v>745</v>
      </c>
      <c r="J250" s="34"/>
      <c r="K250" s="34"/>
    </row>
    <row r="251" spans="1:79" ht="18" customHeight="1" x14ac:dyDescent="0.4">
      <c r="A251" s="6">
        <f t="shared" si="8"/>
        <v>250</v>
      </c>
      <c r="B251" s="20" t="s">
        <v>917</v>
      </c>
      <c r="C251" s="20" t="s">
        <v>923</v>
      </c>
      <c r="D251" s="15" t="s">
        <v>821</v>
      </c>
      <c r="E251" s="20" t="s">
        <v>409</v>
      </c>
      <c r="F251" s="20" t="s">
        <v>952</v>
      </c>
      <c r="G251" s="20" t="s">
        <v>953</v>
      </c>
      <c r="H251" s="46" t="s">
        <v>15</v>
      </c>
      <c r="I251" s="20" t="s">
        <v>954</v>
      </c>
      <c r="J251" s="34" t="s">
        <v>2155</v>
      </c>
      <c r="K251" s="34">
        <v>11</v>
      </c>
    </row>
    <row r="252" spans="1:79" ht="18" customHeight="1" x14ac:dyDescent="0.4">
      <c r="A252" s="9">
        <f t="shared" si="8"/>
        <v>251</v>
      </c>
      <c r="B252" s="26" t="s">
        <v>1207</v>
      </c>
      <c r="C252" s="26"/>
      <c r="D252" s="15" t="s">
        <v>821</v>
      </c>
      <c r="E252" s="26" t="s">
        <v>351</v>
      </c>
      <c r="F252" s="26" t="s">
        <v>1427</v>
      </c>
      <c r="G252" s="26" t="s">
        <v>1428</v>
      </c>
      <c r="H252" s="46" t="s">
        <v>15</v>
      </c>
      <c r="I252" s="26" t="s">
        <v>1429</v>
      </c>
      <c r="J252" s="34" t="s">
        <v>2156</v>
      </c>
      <c r="K252" s="34">
        <v>5</v>
      </c>
    </row>
    <row r="253" spans="1:79" ht="18" customHeight="1" x14ac:dyDescent="0.4">
      <c r="A253" s="9">
        <f t="shared" si="8"/>
        <v>252</v>
      </c>
      <c r="B253" s="14" t="s">
        <v>734</v>
      </c>
      <c r="C253" s="14" t="s">
        <v>493</v>
      </c>
      <c r="D253" s="15" t="s">
        <v>17</v>
      </c>
      <c r="E253" s="14" t="s">
        <v>748</v>
      </c>
      <c r="F253" s="14" t="s">
        <v>367</v>
      </c>
      <c r="G253" s="14" t="s">
        <v>749</v>
      </c>
      <c r="H253" s="46" t="s">
        <v>15</v>
      </c>
      <c r="I253" s="14" t="s">
        <v>750</v>
      </c>
      <c r="J253" s="34" t="s">
        <v>2157</v>
      </c>
      <c r="K253" s="34">
        <v>41</v>
      </c>
    </row>
    <row r="254" spans="1:79" ht="18" hidden="1" customHeight="1" x14ac:dyDescent="0.4">
      <c r="A254" s="6">
        <f t="shared" si="8"/>
        <v>253</v>
      </c>
      <c r="B254" s="14" t="s">
        <v>734</v>
      </c>
      <c r="C254" s="14" t="s">
        <v>493</v>
      </c>
      <c r="D254" s="15" t="s">
        <v>2229</v>
      </c>
      <c r="E254" s="14" t="s">
        <v>751</v>
      </c>
      <c r="F254" s="14" t="s">
        <v>184</v>
      </c>
      <c r="G254" s="14" t="s">
        <v>752</v>
      </c>
      <c r="H254" s="48" t="s">
        <v>49</v>
      </c>
      <c r="I254" s="14" t="s">
        <v>753</v>
      </c>
      <c r="J254" s="34"/>
      <c r="K254" s="34"/>
    </row>
    <row r="255" spans="1:79" ht="18" hidden="1" customHeight="1" x14ac:dyDescent="0.4">
      <c r="A255" s="9">
        <f t="shared" si="8"/>
        <v>254</v>
      </c>
      <c r="B255" s="12" t="s">
        <v>734</v>
      </c>
      <c r="C255" s="12" t="s">
        <v>493</v>
      </c>
      <c r="D255" s="13" t="s">
        <v>2229</v>
      </c>
      <c r="E255" s="12" t="s">
        <v>754</v>
      </c>
      <c r="F255" s="12" t="s">
        <v>755</v>
      </c>
      <c r="G255" s="12" t="s">
        <v>756</v>
      </c>
      <c r="H255" s="47" t="s">
        <v>49</v>
      </c>
      <c r="I255" s="12" t="s">
        <v>757</v>
      </c>
      <c r="J255" s="34"/>
      <c r="K255" s="34"/>
    </row>
    <row r="256" spans="1:79" ht="18" customHeight="1" x14ac:dyDescent="0.4">
      <c r="A256" s="9"/>
      <c r="B256" s="26"/>
      <c r="C256" s="26"/>
      <c r="D256" s="27" t="s">
        <v>821</v>
      </c>
      <c r="E256" s="14" t="s">
        <v>51</v>
      </c>
      <c r="F256" s="14" t="s">
        <v>270</v>
      </c>
      <c r="G256" s="14"/>
      <c r="H256" s="46" t="s">
        <v>15</v>
      </c>
      <c r="I256" s="26" t="s">
        <v>2202</v>
      </c>
      <c r="J256" s="34" t="s">
        <v>2155</v>
      </c>
      <c r="K256" s="34">
        <v>12</v>
      </c>
    </row>
    <row r="257" spans="1:79" ht="18" customHeight="1" x14ac:dyDescent="0.4">
      <c r="A257" s="9">
        <f t="shared" ref="A257:A297" si="9">IF(COUNTA(B257:I257)=0,"",ROW()-1)</f>
        <v>256</v>
      </c>
      <c r="B257" s="14" t="s">
        <v>1207</v>
      </c>
      <c r="C257" s="14" t="s">
        <v>1290</v>
      </c>
      <c r="D257" s="15" t="s">
        <v>821</v>
      </c>
      <c r="E257" s="14" t="s">
        <v>94</v>
      </c>
      <c r="F257" s="14" t="s">
        <v>606</v>
      </c>
      <c r="G257" s="14" t="s">
        <v>151</v>
      </c>
      <c r="H257" s="47" t="s">
        <v>15</v>
      </c>
      <c r="I257" s="14" t="s">
        <v>1293</v>
      </c>
      <c r="J257" s="34" t="s">
        <v>2155</v>
      </c>
      <c r="K257" s="34">
        <v>13</v>
      </c>
    </row>
    <row r="258" spans="1:79" ht="18" customHeight="1" x14ac:dyDescent="0.4">
      <c r="A258" s="6">
        <f t="shared" si="9"/>
        <v>257</v>
      </c>
      <c r="B258" s="26" t="s">
        <v>1207</v>
      </c>
      <c r="C258" s="26"/>
      <c r="D258" s="15" t="s">
        <v>821</v>
      </c>
      <c r="E258" s="26" t="s">
        <v>1452</v>
      </c>
      <c r="F258" s="26" t="s">
        <v>447</v>
      </c>
      <c r="G258" s="26" t="s">
        <v>1453</v>
      </c>
      <c r="H258" s="46" t="s">
        <v>15</v>
      </c>
      <c r="I258" s="26" t="s">
        <v>1454</v>
      </c>
      <c r="J258" s="34" t="s">
        <v>2156</v>
      </c>
      <c r="K258" s="34">
        <v>6</v>
      </c>
    </row>
    <row r="259" spans="1:79" ht="18" hidden="1" customHeight="1" x14ac:dyDescent="0.4">
      <c r="A259" s="9">
        <f t="shared" si="9"/>
        <v>258</v>
      </c>
      <c r="B259" s="14" t="s">
        <v>734</v>
      </c>
      <c r="C259" s="14" t="s">
        <v>493</v>
      </c>
      <c r="D259" s="15" t="s">
        <v>2229</v>
      </c>
      <c r="E259" s="14" t="s">
        <v>763</v>
      </c>
      <c r="F259" s="14" t="s">
        <v>764</v>
      </c>
      <c r="G259" s="14" t="s">
        <v>452</v>
      </c>
      <c r="H259" s="47" t="s">
        <v>49</v>
      </c>
      <c r="I259" s="14" t="s">
        <v>765</v>
      </c>
      <c r="J259" s="34"/>
      <c r="K259" s="34"/>
    </row>
    <row r="260" spans="1:79" ht="18" hidden="1" customHeight="1" x14ac:dyDescent="0.4">
      <c r="A260" s="6">
        <f t="shared" si="9"/>
        <v>259</v>
      </c>
      <c r="B260" s="12" t="s">
        <v>734</v>
      </c>
      <c r="C260" s="12" t="s">
        <v>493</v>
      </c>
      <c r="D260" s="13" t="s">
        <v>2229</v>
      </c>
      <c r="E260" s="12" t="s">
        <v>697</v>
      </c>
      <c r="F260" s="12" t="s">
        <v>92</v>
      </c>
      <c r="G260" s="12" t="s">
        <v>766</v>
      </c>
      <c r="H260" s="47" t="s">
        <v>49</v>
      </c>
      <c r="I260" s="12" t="s">
        <v>767</v>
      </c>
      <c r="J260" s="34"/>
      <c r="K260" s="34"/>
    </row>
    <row r="261" spans="1:79" ht="18" hidden="1" customHeight="1" x14ac:dyDescent="0.4">
      <c r="A261" s="9">
        <f t="shared" si="9"/>
        <v>260</v>
      </c>
      <c r="B261" s="12" t="s">
        <v>734</v>
      </c>
      <c r="C261" s="12" t="s">
        <v>493</v>
      </c>
      <c r="D261" s="13" t="s">
        <v>2229</v>
      </c>
      <c r="E261" s="12" t="s">
        <v>768</v>
      </c>
      <c r="F261" s="12" t="s">
        <v>769</v>
      </c>
      <c r="G261" s="12" t="s">
        <v>770</v>
      </c>
      <c r="H261" s="48" t="s">
        <v>49</v>
      </c>
      <c r="I261" s="12" t="s">
        <v>771</v>
      </c>
      <c r="J261" s="34"/>
      <c r="K261" s="34"/>
    </row>
    <row r="262" spans="1:79" ht="18" customHeight="1" x14ac:dyDescent="0.4">
      <c r="A262" s="6">
        <f t="shared" si="9"/>
        <v>261</v>
      </c>
      <c r="B262" s="14" t="s">
        <v>1207</v>
      </c>
      <c r="C262" s="14" t="s">
        <v>1290</v>
      </c>
      <c r="D262" s="15" t="s">
        <v>821</v>
      </c>
      <c r="E262" s="14" t="s">
        <v>1291</v>
      </c>
      <c r="F262" s="14" t="s">
        <v>96</v>
      </c>
      <c r="G262" s="14" t="s">
        <v>474</v>
      </c>
      <c r="H262" s="47" t="s">
        <v>15</v>
      </c>
      <c r="I262" s="14" t="s">
        <v>1292</v>
      </c>
      <c r="J262" s="34" t="s">
        <v>2155</v>
      </c>
      <c r="K262" s="34">
        <v>14</v>
      </c>
    </row>
    <row r="263" spans="1:79" ht="18" customHeight="1" x14ac:dyDescent="0.4">
      <c r="A263" s="9">
        <f t="shared" si="9"/>
        <v>262</v>
      </c>
      <c r="B263" s="14" t="s">
        <v>734</v>
      </c>
      <c r="C263" s="14" t="s">
        <v>493</v>
      </c>
      <c r="D263" s="15" t="s">
        <v>17</v>
      </c>
      <c r="E263" s="14" t="s">
        <v>773</v>
      </c>
      <c r="F263" s="14" t="s">
        <v>774</v>
      </c>
      <c r="G263" s="14" t="s">
        <v>775</v>
      </c>
      <c r="H263" s="47" t="s">
        <v>15</v>
      </c>
      <c r="I263" s="14" t="s">
        <v>776</v>
      </c>
      <c r="J263" s="34" t="s">
        <v>2157</v>
      </c>
      <c r="K263" s="34">
        <v>40</v>
      </c>
    </row>
    <row r="264" spans="1:79" ht="18" customHeight="1" x14ac:dyDescent="0.4">
      <c r="A264" s="6">
        <f t="shared" si="9"/>
        <v>263</v>
      </c>
      <c r="B264" s="12" t="s">
        <v>734</v>
      </c>
      <c r="C264" s="12" t="s">
        <v>493</v>
      </c>
      <c r="D264" s="13" t="s">
        <v>17</v>
      </c>
      <c r="E264" s="12" t="s">
        <v>80</v>
      </c>
      <c r="F264" s="12" t="s">
        <v>100</v>
      </c>
      <c r="G264" s="12" t="s">
        <v>777</v>
      </c>
      <c r="H264" s="47" t="s">
        <v>15</v>
      </c>
      <c r="I264" s="12" t="s">
        <v>778</v>
      </c>
      <c r="J264" s="34" t="s">
        <v>2158</v>
      </c>
      <c r="K264" s="34">
        <v>37</v>
      </c>
    </row>
    <row r="265" spans="1:79" ht="18" customHeight="1" x14ac:dyDescent="0.4">
      <c r="A265" s="9">
        <f t="shared" si="9"/>
        <v>264</v>
      </c>
      <c r="B265" s="22" t="s">
        <v>1051</v>
      </c>
      <c r="C265" s="22" t="s">
        <v>923</v>
      </c>
      <c r="D265" s="15" t="s">
        <v>821</v>
      </c>
      <c r="E265" s="22" t="s">
        <v>1073</v>
      </c>
      <c r="F265" s="22" t="s">
        <v>1074</v>
      </c>
      <c r="G265" s="22" t="s">
        <v>667</v>
      </c>
      <c r="H265" s="46" t="s">
        <v>15</v>
      </c>
      <c r="I265" s="22" t="s">
        <v>1075</v>
      </c>
      <c r="J265" s="34" t="s">
        <v>2156</v>
      </c>
      <c r="K265" s="34">
        <v>7</v>
      </c>
    </row>
    <row r="266" spans="1:79" ht="18" customHeight="1" x14ac:dyDescent="0.4">
      <c r="A266" s="6">
        <f t="shared" si="9"/>
        <v>265</v>
      </c>
      <c r="B266" s="14" t="s">
        <v>734</v>
      </c>
      <c r="C266" s="14" t="s">
        <v>493</v>
      </c>
      <c r="D266" s="15" t="s">
        <v>17</v>
      </c>
      <c r="E266" s="14" t="s">
        <v>586</v>
      </c>
      <c r="F266" s="14" t="s">
        <v>780</v>
      </c>
      <c r="G266" s="14" t="s">
        <v>465</v>
      </c>
      <c r="H266" s="49" t="s">
        <v>15</v>
      </c>
      <c r="I266" s="14" t="s">
        <v>781</v>
      </c>
      <c r="J266" s="34" t="s">
        <v>2157</v>
      </c>
      <c r="K266" s="34">
        <v>42</v>
      </c>
    </row>
    <row r="267" spans="1:79" ht="18" customHeight="1" x14ac:dyDescent="0.4">
      <c r="A267" s="9">
        <f t="shared" si="9"/>
        <v>266</v>
      </c>
      <c r="B267" s="12" t="s">
        <v>734</v>
      </c>
      <c r="C267" s="12" t="s">
        <v>493</v>
      </c>
      <c r="D267" s="13" t="s">
        <v>17</v>
      </c>
      <c r="E267" s="12" t="s">
        <v>324</v>
      </c>
      <c r="F267" s="12" t="s">
        <v>782</v>
      </c>
      <c r="G267" s="12" t="s">
        <v>364</v>
      </c>
      <c r="H267" s="47" t="s">
        <v>40</v>
      </c>
      <c r="I267" s="12" t="s">
        <v>783</v>
      </c>
      <c r="J267" s="34"/>
      <c r="K267" s="34"/>
    </row>
    <row r="268" spans="1:79" ht="18" customHeight="1" x14ac:dyDescent="0.4">
      <c r="A268" s="9">
        <f t="shared" si="9"/>
        <v>267</v>
      </c>
      <c r="B268" s="30" t="s">
        <v>1675</v>
      </c>
      <c r="C268" s="30" t="s">
        <v>32</v>
      </c>
      <c r="D268" s="15" t="s">
        <v>821</v>
      </c>
      <c r="E268" s="30" t="s">
        <v>1697</v>
      </c>
      <c r="F268" s="30" t="s">
        <v>894</v>
      </c>
      <c r="G268" s="30" t="s">
        <v>450</v>
      </c>
      <c r="H268" s="46" t="s">
        <v>15</v>
      </c>
      <c r="I268" s="30" t="s">
        <v>1698</v>
      </c>
      <c r="J268" s="34"/>
      <c r="K268" s="34"/>
    </row>
    <row r="269" spans="1:79" ht="18" customHeight="1" x14ac:dyDescent="0.4">
      <c r="A269" s="9">
        <f t="shared" si="9"/>
        <v>268</v>
      </c>
      <c r="B269" s="14" t="s">
        <v>734</v>
      </c>
      <c r="C269" s="14" t="s">
        <v>32</v>
      </c>
      <c r="D269" s="15" t="s">
        <v>17</v>
      </c>
      <c r="E269" s="14" t="s">
        <v>380</v>
      </c>
      <c r="F269" s="14" t="s">
        <v>786</v>
      </c>
      <c r="G269" s="14" t="s">
        <v>787</v>
      </c>
      <c r="H269" s="46" t="s">
        <v>15</v>
      </c>
      <c r="I269" s="14" t="s">
        <v>788</v>
      </c>
      <c r="J269" s="34" t="s">
        <v>2158</v>
      </c>
      <c r="K269" s="34">
        <v>40</v>
      </c>
    </row>
    <row r="270" spans="1:79" ht="18" customHeight="1" x14ac:dyDescent="0.4">
      <c r="A270" s="6">
        <f t="shared" si="9"/>
        <v>269</v>
      </c>
      <c r="B270" s="14" t="s">
        <v>1207</v>
      </c>
      <c r="C270" s="14" t="s">
        <v>578</v>
      </c>
      <c r="D270" s="15" t="s">
        <v>17</v>
      </c>
      <c r="E270" s="14" t="s">
        <v>1243</v>
      </c>
      <c r="F270" s="14" t="s">
        <v>1244</v>
      </c>
      <c r="G270" s="14" t="s">
        <v>746</v>
      </c>
      <c r="H270" s="46" t="s">
        <v>15</v>
      </c>
      <c r="I270" s="14" t="s">
        <v>1245</v>
      </c>
      <c r="J270" s="34" t="s">
        <v>2158</v>
      </c>
      <c r="K270" s="34">
        <v>33</v>
      </c>
    </row>
    <row r="271" spans="1:79" ht="18" customHeight="1" x14ac:dyDescent="0.4">
      <c r="A271" s="6">
        <f t="shared" si="9"/>
        <v>270</v>
      </c>
      <c r="B271" s="14" t="s">
        <v>1051</v>
      </c>
      <c r="C271" s="14" t="s">
        <v>532</v>
      </c>
      <c r="D271" s="15" t="s">
        <v>821</v>
      </c>
      <c r="E271" s="14" t="s">
        <v>1140</v>
      </c>
      <c r="F271" s="14" t="s">
        <v>1141</v>
      </c>
      <c r="G271" s="14" t="s">
        <v>1142</v>
      </c>
      <c r="H271" s="48" t="s">
        <v>15</v>
      </c>
      <c r="I271" s="14" t="s">
        <v>1143</v>
      </c>
      <c r="J271" s="34" t="s">
        <v>2157</v>
      </c>
      <c r="K271" s="34">
        <v>1</v>
      </c>
    </row>
    <row r="272" spans="1:79" s="5" customFormat="1" ht="18" hidden="1" customHeight="1" x14ac:dyDescent="0.4">
      <c r="A272" s="6">
        <f t="shared" si="9"/>
        <v>271</v>
      </c>
      <c r="B272" s="26" t="s">
        <v>1207</v>
      </c>
      <c r="C272" s="26"/>
      <c r="D272" s="27" t="s">
        <v>2229</v>
      </c>
      <c r="E272" s="26" t="s">
        <v>650</v>
      </c>
      <c r="F272" s="26" t="s">
        <v>1213</v>
      </c>
      <c r="G272" s="26"/>
      <c r="H272" s="48" t="s">
        <v>49</v>
      </c>
      <c r="I272" s="26" t="s">
        <v>1357</v>
      </c>
      <c r="J272" s="34"/>
      <c r="K272" s="3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</row>
    <row r="273" spans="1:11" ht="18" hidden="1" customHeight="1" x14ac:dyDescent="0.4">
      <c r="A273" s="9">
        <f t="shared" si="9"/>
        <v>272</v>
      </c>
      <c r="B273" s="16" t="s">
        <v>798</v>
      </c>
      <c r="C273" s="16" t="s">
        <v>65</v>
      </c>
      <c r="D273" s="17" t="s">
        <v>2229</v>
      </c>
      <c r="E273" s="16" t="s">
        <v>799</v>
      </c>
      <c r="F273" s="16" t="s">
        <v>800</v>
      </c>
      <c r="G273" s="16"/>
      <c r="H273" s="47" t="s">
        <v>49</v>
      </c>
      <c r="I273" s="16" t="s">
        <v>801</v>
      </c>
      <c r="J273" s="34"/>
      <c r="K273" s="34"/>
    </row>
    <row r="274" spans="1:11" ht="18" hidden="1" customHeight="1" x14ac:dyDescent="0.4">
      <c r="A274" s="6">
        <f t="shared" si="9"/>
        <v>273</v>
      </c>
      <c r="B274" s="10" t="s">
        <v>798</v>
      </c>
      <c r="C274" s="14"/>
      <c r="D274" s="15" t="s">
        <v>2229</v>
      </c>
      <c r="E274" s="14" t="s">
        <v>802</v>
      </c>
      <c r="F274" s="14" t="s">
        <v>406</v>
      </c>
      <c r="G274" s="14" t="s">
        <v>803</v>
      </c>
      <c r="H274" s="47" t="s">
        <v>49</v>
      </c>
      <c r="I274" s="14" t="s">
        <v>804</v>
      </c>
      <c r="J274" s="34"/>
      <c r="K274" s="34"/>
    </row>
    <row r="275" spans="1:11" ht="18" hidden="1" customHeight="1" x14ac:dyDescent="0.4">
      <c r="A275" s="9">
        <f t="shared" si="9"/>
        <v>274</v>
      </c>
      <c r="B275" s="16" t="s">
        <v>798</v>
      </c>
      <c r="C275" s="16" t="s">
        <v>493</v>
      </c>
      <c r="D275" s="17" t="s">
        <v>2229</v>
      </c>
      <c r="E275" s="16" t="s">
        <v>661</v>
      </c>
      <c r="F275" s="16" t="s">
        <v>805</v>
      </c>
      <c r="G275" s="16" t="s">
        <v>806</v>
      </c>
      <c r="H275" s="47" t="s">
        <v>49</v>
      </c>
      <c r="I275" s="16" t="s">
        <v>807</v>
      </c>
      <c r="J275" s="34"/>
      <c r="K275" s="34"/>
    </row>
    <row r="276" spans="1:11" ht="18" hidden="1" customHeight="1" x14ac:dyDescent="0.4">
      <c r="A276" s="6">
        <f t="shared" si="9"/>
        <v>275</v>
      </c>
      <c r="B276" s="10" t="s">
        <v>798</v>
      </c>
      <c r="C276" s="10"/>
      <c r="D276" s="11" t="s">
        <v>2229</v>
      </c>
      <c r="E276" s="14" t="s">
        <v>80</v>
      </c>
      <c r="F276" s="14" t="s">
        <v>68</v>
      </c>
      <c r="G276" s="14"/>
      <c r="H276" s="48" t="s">
        <v>49</v>
      </c>
      <c r="I276" s="14" t="s">
        <v>808</v>
      </c>
      <c r="J276" s="34"/>
      <c r="K276" s="34"/>
    </row>
    <row r="277" spans="1:11" ht="18" customHeight="1" x14ac:dyDescent="0.4">
      <c r="A277" s="6">
        <f t="shared" si="9"/>
        <v>276</v>
      </c>
      <c r="B277" s="14" t="s">
        <v>905</v>
      </c>
      <c r="C277" s="14" t="s">
        <v>913</v>
      </c>
      <c r="D277" s="11" t="s">
        <v>821</v>
      </c>
      <c r="E277" s="14" t="s">
        <v>914</v>
      </c>
      <c r="F277" s="14" t="s">
        <v>844</v>
      </c>
      <c r="G277" s="14" t="s">
        <v>915</v>
      </c>
      <c r="H277" s="47" t="s">
        <v>15</v>
      </c>
      <c r="I277" s="14" t="s">
        <v>916</v>
      </c>
      <c r="J277" s="34" t="s">
        <v>2155</v>
      </c>
      <c r="K277" s="34">
        <v>15</v>
      </c>
    </row>
    <row r="278" spans="1:11" ht="18" hidden="1" customHeight="1" x14ac:dyDescent="0.4">
      <c r="A278" s="6">
        <f t="shared" si="9"/>
        <v>277</v>
      </c>
      <c r="B278" s="10" t="s">
        <v>798</v>
      </c>
      <c r="C278" s="10" t="s">
        <v>65</v>
      </c>
      <c r="D278" s="11" t="s">
        <v>2229</v>
      </c>
      <c r="E278" s="14" t="s">
        <v>460</v>
      </c>
      <c r="F278" s="14" t="s">
        <v>812</v>
      </c>
      <c r="G278" s="14"/>
      <c r="H278" s="48" t="s">
        <v>49</v>
      </c>
      <c r="I278" s="14" t="s">
        <v>813</v>
      </c>
      <c r="J278" s="34"/>
      <c r="K278" s="34"/>
    </row>
    <row r="279" spans="1:11" ht="18" hidden="1" customHeight="1" x14ac:dyDescent="0.4">
      <c r="A279" s="9">
        <f t="shared" si="9"/>
        <v>278</v>
      </c>
      <c r="B279" s="16" t="s">
        <v>798</v>
      </c>
      <c r="C279" s="16"/>
      <c r="D279" s="17" t="s">
        <v>2229</v>
      </c>
      <c r="E279" s="16" t="s">
        <v>229</v>
      </c>
      <c r="F279" s="16" t="s">
        <v>814</v>
      </c>
      <c r="G279" s="16"/>
      <c r="H279" s="48" t="s">
        <v>49</v>
      </c>
      <c r="I279" s="16" t="s">
        <v>815</v>
      </c>
      <c r="J279" s="34"/>
      <c r="K279" s="34"/>
    </row>
    <row r="280" spans="1:11" ht="18" customHeight="1" x14ac:dyDescent="0.4">
      <c r="A280" s="6">
        <f t="shared" si="9"/>
        <v>279</v>
      </c>
      <c r="B280" s="28" t="s">
        <v>1479</v>
      </c>
      <c r="C280" s="28"/>
      <c r="D280" s="15" t="s">
        <v>821</v>
      </c>
      <c r="E280" s="28" t="s">
        <v>324</v>
      </c>
      <c r="F280" s="28" t="s">
        <v>702</v>
      </c>
      <c r="G280" s="28" t="s">
        <v>1082</v>
      </c>
      <c r="H280" s="47" t="s">
        <v>15</v>
      </c>
      <c r="I280" s="28" t="s">
        <v>1536</v>
      </c>
      <c r="J280" s="34" t="s">
        <v>2157</v>
      </c>
      <c r="K280" s="34">
        <v>2</v>
      </c>
    </row>
    <row r="281" spans="1:11" ht="18" hidden="1" customHeight="1" x14ac:dyDescent="0.4">
      <c r="A281" s="9">
        <f t="shared" si="9"/>
        <v>280</v>
      </c>
      <c r="B281" s="16" t="s">
        <v>798</v>
      </c>
      <c r="C281" s="16" t="s">
        <v>493</v>
      </c>
      <c r="D281" s="17" t="s">
        <v>2229</v>
      </c>
      <c r="E281" s="16" t="s">
        <v>818</v>
      </c>
      <c r="F281" s="16" t="s">
        <v>819</v>
      </c>
      <c r="G281" s="16"/>
      <c r="H281" s="48" t="s">
        <v>49</v>
      </c>
      <c r="I281" s="16" t="s">
        <v>820</v>
      </c>
      <c r="J281" s="34"/>
      <c r="K281" s="34"/>
    </row>
    <row r="282" spans="1:11" ht="18" hidden="1" customHeight="1" x14ac:dyDescent="0.4">
      <c r="A282" s="6">
        <f t="shared" si="9"/>
        <v>281</v>
      </c>
      <c r="B282" s="14" t="s">
        <v>798</v>
      </c>
      <c r="C282" s="14" t="s">
        <v>493</v>
      </c>
      <c r="D282" s="15" t="s">
        <v>2229</v>
      </c>
      <c r="E282" s="14" t="s">
        <v>822</v>
      </c>
      <c r="F282" s="14" t="s">
        <v>823</v>
      </c>
      <c r="G282" s="14"/>
      <c r="H282" s="47" t="s">
        <v>49</v>
      </c>
      <c r="I282" s="14" t="s">
        <v>824</v>
      </c>
      <c r="J282" s="34"/>
      <c r="K282" s="34"/>
    </row>
    <row r="283" spans="1:11" ht="18" customHeight="1" x14ac:dyDescent="0.4">
      <c r="A283" s="6">
        <f t="shared" si="9"/>
        <v>282</v>
      </c>
      <c r="B283" s="14" t="s">
        <v>1051</v>
      </c>
      <c r="C283" s="14" t="s">
        <v>923</v>
      </c>
      <c r="D283" s="15" t="s">
        <v>821</v>
      </c>
      <c r="E283" s="14" t="s">
        <v>1069</v>
      </c>
      <c r="F283" s="14" t="s">
        <v>1070</v>
      </c>
      <c r="G283" s="14" t="s">
        <v>1071</v>
      </c>
      <c r="H283" s="46" t="s">
        <v>15</v>
      </c>
      <c r="I283" s="14" t="s">
        <v>1072</v>
      </c>
      <c r="J283" s="34" t="s">
        <v>2156</v>
      </c>
      <c r="K283" s="34">
        <v>8</v>
      </c>
    </row>
    <row r="284" spans="1:11" ht="18" customHeight="1" x14ac:dyDescent="0.4">
      <c r="A284" s="6">
        <f t="shared" si="9"/>
        <v>283</v>
      </c>
      <c r="B284" s="14" t="s">
        <v>1207</v>
      </c>
      <c r="C284" s="14"/>
      <c r="D284" s="15" t="s">
        <v>821</v>
      </c>
      <c r="E284" s="14" t="s">
        <v>225</v>
      </c>
      <c r="F284" s="14" t="s">
        <v>1321</v>
      </c>
      <c r="G284" s="14"/>
      <c r="H284" s="46" t="s">
        <v>15</v>
      </c>
      <c r="I284" s="14" t="s">
        <v>1322</v>
      </c>
      <c r="J284" s="34" t="s">
        <v>2155</v>
      </c>
      <c r="K284" s="34">
        <v>16</v>
      </c>
    </row>
    <row r="285" spans="1:11" ht="18" customHeight="1" x14ac:dyDescent="0.4">
      <c r="A285" s="9">
        <f t="shared" si="9"/>
        <v>284</v>
      </c>
      <c r="B285" s="22" t="s">
        <v>1051</v>
      </c>
      <c r="C285" s="22" t="s">
        <v>923</v>
      </c>
      <c r="D285" s="15" t="s">
        <v>821</v>
      </c>
      <c r="E285" s="22" t="s">
        <v>1066</v>
      </c>
      <c r="F285" s="22" t="s">
        <v>1067</v>
      </c>
      <c r="G285" s="22" t="s">
        <v>682</v>
      </c>
      <c r="H285" s="46" t="s">
        <v>15</v>
      </c>
      <c r="I285" s="22" t="s">
        <v>1068</v>
      </c>
      <c r="J285" s="34" t="s">
        <v>2156</v>
      </c>
      <c r="K285" s="34">
        <v>9</v>
      </c>
    </row>
    <row r="286" spans="1:11" ht="18" customHeight="1" x14ac:dyDescent="0.4">
      <c r="A286" s="9">
        <f t="shared" si="9"/>
        <v>285</v>
      </c>
      <c r="B286" s="28" t="s">
        <v>1479</v>
      </c>
      <c r="C286" s="28"/>
      <c r="D286" s="15" t="s">
        <v>821</v>
      </c>
      <c r="E286" s="28" t="s">
        <v>673</v>
      </c>
      <c r="F286" s="28" t="s">
        <v>1537</v>
      </c>
      <c r="G286" s="28" t="s">
        <v>1538</v>
      </c>
      <c r="H286" s="47" t="s">
        <v>15</v>
      </c>
      <c r="I286" s="28" t="s">
        <v>1539</v>
      </c>
      <c r="J286" s="34" t="s">
        <v>2157</v>
      </c>
      <c r="K286" s="34">
        <v>3</v>
      </c>
    </row>
    <row r="287" spans="1:11" ht="18" customHeight="1" x14ac:dyDescent="0.4">
      <c r="A287" s="9">
        <f t="shared" si="9"/>
        <v>286</v>
      </c>
      <c r="B287" s="14" t="s">
        <v>1207</v>
      </c>
      <c r="C287" s="14" t="s">
        <v>578</v>
      </c>
      <c r="D287" s="15" t="s">
        <v>821</v>
      </c>
      <c r="E287" s="14" t="s">
        <v>324</v>
      </c>
      <c r="F287" s="14" t="s">
        <v>1241</v>
      </c>
      <c r="G287" s="14" t="s">
        <v>244</v>
      </c>
      <c r="H287" s="46" t="s">
        <v>15</v>
      </c>
      <c r="I287" s="14" t="s">
        <v>1242</v>
      </c>
      <c r="J287" s="34" t="s">
        <v>2155</v>
      </c>
      <c r="K287" s="34">
        <v>17</v>
      </c>
    </row>
    <row r="288" spans="1:11" ht="18" hidden="1" customHeight="1" x14ac:dyDescent="0.4">
      <c r="A288" s="6">
        <f t="shared" si="9"/>
        <v>287</v>
      </c>
      <c r="B288" s="14" t="s">
        <v>798</v>
      </c>
      <c r="C288" s="14"/>
      <c r="D288" s="15" t="s">
        <v>2229</v>
      </c>
      <c r="E288" s="14" t="s">
        <v>80</v>
      </c>
      <c r="F288" s="14" t="s">
        <v>835</v>
      </c>
      <c r="G288" s="14"/>
      <c r="H288" s="48" t="s">
        <v>49</v>
      </c>
      <c r="I288" s="14" t="s">
        <v>836</v>
      </c>
      <c r="J288" s="34"/>
      <c r="K288" s="34"/>
    </row>
    <row r="289" spans="1:79" ht="18" hidden="1" customHeight="1" x14ac:dyDescent="0.4">
      <c r="A289" s="9">
        <f t="shared" si="9"/>
        <v>288</v>
      </c>
      <c r="B289" s="16" t="s">
        <v>798</v>
      </c>
      <c r="C289" s="16" t="s">
        <v>493</v>
      </c>
      <c r="D289" s="17" t="s">
        <v>2229</v>
      </c>
      <c r="E289" s="16" t="s">
        <v>362</v>
      </c>
      <c r="F289" s="16" t="s">
        <v>251</v>
      </c>
      <c r="G289" s="16"/>
      <c r="H289" s="48" t="s">
        <v>49</v>
      </c>
      <c r="I289" s="16" t="s">
        <v>837</v>
      </c>
      <c r="J289" s="34"/>
      <c r="K289" s="34"/>
    </row>
    <row r="290" spans="1:79" ht="18" hidden="1" customHeight="1" x14ac:dyDescent="0.4">
      <c r="A290" s="6">
        <f t="shared" si="9"/>
        <v>289</v>
      </c>
      <c r="B290" s="14" t="s">
        <v>798</v>
      </c>
      <c r="C290" s="14"/>
      <c r="D290" s="15" t="s">
        <v>2229</v>
      </c>
      <c r="E290" s="14" t="s">
        <v>62</v>
      </c>
      <c r="F290" s="14" t="s">
        <v>838</v>
      </c>
      <c r="G290" s="14"/>
      <c r="H290" s="48" t="s">
        <v>49</v>
      </c>
      <c r="I290" s="14" t="s">
        <v>839</v>
      </c>
      <c r="J290" s="34"/>
      <c r="K290" s="34"/>
    </row>
    <row r="291" spans="1:79" ht="18" customHeight="1" x14ac:dyDescent="0.4">
      <c r="A291" s="6">
        <f t="shared" si="9"/>
        <v>290</v>
      </c>
      <c r="B291" s="14" t="s">
        <v>1479</v>
      </c>
      <c r="C291" s="14"/>
      <c r="D291" s="15" t="s">
        <v>821</v>
      </c>
      <c r="E291" s="14" t="s">
        <v>372</v>
      </c>
      <c r="F291" s="14" t="s">
        <v>321</v>
      </c>
      <c r="G291" s="14"/>
      <c r="H291" s="46" t="s">
        <v>15</v>
      </c>
      <c r="I291" s="14" t="s">
        <v>1540</v>
      </c>
      <c r="J291" s="34" t="s">
        <v>2157</v>
      </c>
      <c r="K291" s="34">
        <v>4</v>
      </c>
    </row>
    <row r="292" spans="1:79" ht="18" customHeight="1" x14ac:dyDescent="0.4">
      <c r="A292" s="6">
        <f t="shared" si="9"/>
        <v>291</v>
      </c>
      <c r="B292" s="14" t="s">
        <v>1207</v>
      </c>
      <c r="C292" s="14" t="s">
        <v>578</v>
      </c>
      <c r="D292" s="15" t="s">
        <v>821</v>
      </c>
      <c r="E292" s="14" t="s">
        <v>1237</v>
      </c>
      <c r="F292" s="14" t="s">
        <v>1238</v>
      </c>
      <c r="G292" s="14" t="s">
        <v>1239</v>
      </c>
      <c r="H292" s="46" t="s">
        <v>15</v>
      </c>
      <c r="I292" s="14" t="s">
        <v>1240</v>
      </c>
      <c r="J292" s="34" t="s">
        <v>2155</v>
      </c>
      <c r="K292" s="34">
        <v>18</v>
      </c>
    </row>
    <row r="293" spans="1:79" ht="18" customHeight="1" x14ac:dyDescent="0.4">
      <c r="A293" s="6">
        <f t="shared" si="9"/>
        <v>292</v>
      </c>
      <c r="B293" s="14" t="s">
        <v>1207</v>
      </c>
      <c r="C293" s="14" t="s">
        <v>578</v>
      </c>
      <c r="D293" s="15" t="s">
        <v>821</v>
      </c>
      <c r="E293" s="14" t="s">
        <v>218</v>
      </c>
      <c r="F293" s="14" t="s">
        <v>60</v>
      </c>
      <c r="G293" s="14" t="s">
        <v>1226</v>
      </c>
      <c r="H293" s="46" t="s">
        <v>15</v>
      </c>
      <c r="I293" s="14" t="s">
        <v>1227</v>
      </c>
      <c r="J293" s="34" t="s">
        <v>2155</v>
      </c>
      <c r="K293" s="34">
        <v>19</v>
      </c>
    </row>
    <row r="294" spans="1:79" ht="18" customHeight="1" x14ac:dyDescent="0.4">
      <c r="A294" s="6">
        <f t="shared" si="9"/>
        <v>293</v>
      </c>
      <c r="B294" s="14" t="s">
        <v>1051</v>
      </c>
      <c r="C294" s="14" t="s">
        <v>923</v>
      </c>
      <c r="D294" s="15" t="s">
        <v>821</v>
      </c>
      <c r="E294" s="14" t="s">
        <v>252</v>
      </c>
      <c r="F294" s="14" t="s">
        <v>1063</v>
      </c>
      <c r="G294" s="14" t="s">
        <v>1064</v>
      </c>
      <c r="H294" s="46" t="s">
        <v>15</v>
      </c>
      <c r="I294" s="14" t="s">
        <v>1065</v>
      </c>
      <c r="J294" s="34" t="s">
        <v>2156</v>
      </c>
      <c r="K294" s="34">
        <v>10</v>
      </c>
    </row>
    <row r="295" spans="1:79" ht="18" customHeight="1" x14ac:dyDescent="0.4">
      <c r="A295" s="6">
        <f t="shared" si="9"/>
        <v>294</v>
      </c>
      <c r="B295" s="14" t="s">
        <v>1051</v>
      </c>
      <c r="C295" s="14" t="s">
        <v>923</v>
      </c>
      <c r="D295" s="15" t="s">
        <v>821</v>
      </c>
      <c r="E295" s="14" t="s">
        <v>1057</v>
      </c>
      <c r="F295" s="14" t="s">
        <v>1058</v>
      </c>
      <c r="G295" s="14" t="s">
        <v>276</v>
      </c>
      <c r="H295" s="46" t="s">
        <v>15</v>
      </c>
      <c r="I295" s="14" t="s">
        <v>1059</v>
      </c>
      <c r="J295" s="34" t="s">
        <v>2156</v>
      </c>
      <c r="K295" s="34">
        <v>11</v>
      </c>
    </row>
    <row r="296" spans="1:79" ht="18" customHeight="1" x14ac:dyDescent="0.4">
      <c r="A296" s="6">
        <f t="shared" si="9"/>
        <v>295</v>
      </c>
      <c r="B296" s="14" t="s">
        <v>1479</v>
      </c>
      <c r="C296" s="14"/>
      <c r="D296" s="15" t="s">
        <v>821</v>
      </c>
      <c r="E296" s="14" t="s">
        <v>222</v>
      </c>
      <c r="F296" s="14" t="s">
        <v>1551</v>
      </c>
      <c r="G296" s="14" t="s">
        <v>746</v>
      </c>
      <c r="H296" s="46" t="s">
        <v>15</v>
      </c>
      <c r="I296" s="14" t="s">
        <v>1552</v>
      </c>
      <c r="J296" s="34" t="s">
        <v>2157</v>
      </c>
      <c r="K296" s="34">
        <v>5</v>
      </c>
    </row>
    <row r="297" spans="1:79" ht="18" customHeight="1" x14ac:dyDescent="0.4">
      <c r="A297" s="9">
        <f t="shared" si="9"/>
        <v>296</v>
      </c>
      <c r="B297" s="14" t="s">
        <v>1479</v>
      </c>
      <c r="C297" s="14"/>
      <c r="D297" s="15" t="s">
        <v>821</v>
      </c>
      <c r="E297" s="14" t="s">
        <v>1591</v>
      </c>
      <c r="F297" s="14" t="s">
        <v>68</v>
      </c>
      <c r="G297" s="14" t="s">
        <v>29</v>
      </c>
      <c r="H297" s="46" t="s">
        <v>15</v>
      </c>
      <c r="I297" s="14" t="s">
        <v>1592</v>
      </c>
      <c r="J297" s="34" t="s">
        <v>2158</v>
      </c>
      <c r="K297" s="34">
        <v>1</v>
      </c>
    </row>
    <row r="298" spans="1:79" ht="18" customHeight="1" x14ac:dyDescent="0.4">
      <c r="A298" s="51"/>
      <c r="B298" s="52"/>
      <c r="C298" s="14" t="s">
        <v>532</v>
      </c>
      <c r="D298" s="15" t="s">
        <v>821</v>
      </c>
      <c r="E298" s="14" t="s">
        <v>503</v>
      </c>
      <c r="F298" s="14" t="s">
        <v>2183</v>
      </c>
      <c r="G298" s="53" t="s">
        <v>2184</v>
      </c>
      <c r="H298" s="54" t="s">
        <v>15</v>
      </c>
      <c r="I298" s="14" t="s">
        <v>2185</v>
      </c>
      <c r="J298" s="34" t="s">
        <v>2161</v>
      </c>
      <c r="K298" s="34">
        <v>1</v>
      </c>
    </row>
    <row r="299" spans="1:79" ht="18" customHeight="1" x14ac:dyDescent="0.4">
      <c r="A299" s="9">
        <f t="shared" ref="A299:A329" si="10">IF(COUNTA(B299:I299)=0,"",ROW()-1)</f>
        <v>298</v>
      </c>
      <c r="B299" s="14" t="s">
        <v>1207</v>
      </c>
      <c r="C299" s="14" t="s">
        <v>578</v>
      </c>
      <c r="D299" s="15" t="s">
        <v>821</v>
      </c>
      <c r="E299" s="14" t="s">
        <v>1224</v>
      </c>
      <c r="F299" s="14" t="s">
        <v>104</v>
      </c>
      <c r="G299" s="14" t="s">
        <v>1108</v>
      </c>
      <c r="H299" s="46" t="s">
        <v>15</v>
      </c>
      <c r="I299" s="14" t="s">
        <v>1225</v>
      </c>
      <c r="J299" s="34" t="s">
        <v>2155</v>
      </c>
      <c r="K299" s="34">
        <v>20</v>
      </c>
    </row>
    <row r="300" spans="1:79" ht="18" hidden="1" customHeight="1" x14ac:dyDescent="0.4">
      <c r="A300" s="6">
        <f t="shared" si="10"/>
        <v>299</v>
      </c>
      <c r="B300" s="16" t="s">
        <v>798</v>
      </c>
      <c r="C300" s="16"/>
      <c r="D300" s="17" t="s">
        <v>2229</v>
      </c>
      <c r="E300" s="16" t="s">
        <v>476</v>
      </c>
      <c r="F300" s="16" t="s">
        <v>364</v>
      </c>
      <c r="G300" s="16" t="s">
        <v>860</v>
      </c>
      <c r="H300" s="48" t="s">
        <v>49</v>
      </c>
      <c r="I300" s="16" t="s">
        <v>861</v>
      </c>
      <c r="J300" s="34"/>
      <c r="K300" s="34"/>
    </row>
    <row r="301" spans="1:79" s="5" customFormat="1" ht="18" customHeight="1" x14ac:dyDescent="0.4">
      <c r="A301" s="9">
        <f t="shared" si="10"/>
        <v>300</v>
      </c>
      <c r="B301" s="20" t="s">
        <v>917</v>
      </c>
      <c r="C301" s="20" t="s">
        <v>961</v>
      </c>
      <c r="D301" s="15" t="s">
        <v>821</v>
      </c>
      <c r="E301" s="20" t="s">
        <v>822</v>
      </c>
      <c r="F301" s="20" t="s">
        <v>962</v>
      </c>
      <c r="G301" s="20" t="s">
        <v>963</v>
      </c>
      <c r="H301" s="46" t="s">
        <v>15</v>
      </c>
      <c r="I301" s="20" t="s">
        <v>964</v>
      </c>
      <c r="J301" s="34" t="s">
        <v>2158</v>
      </c>
      <c r="K301" s="34">
        <v>2</v>
      </c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</row>
    <row r="302" spans="1:79" ht="18" hidden="1" customHeight="1" x14ac:dyDescent="0.4">
      <c r="A302" s="6">
        <f t="shared" si="10"/>
        <v>301</v>
      </c>
      <c r="B302" s="18" t="s">
        <v>864</v>
      </c>
      <c r="C302" s="18" t="s">
        <v>493</v>
      </c>
      <c r="D302" s="19" t="s">
        <v>2229</v>
      </c>
      <c r="E302" s="18" t="s">
        <v>865</v>
      </c>
      <c r="F302" s="18" t="s">
        <v>866</v>
      </c>
      <c r="G302" s="18" t="s">
        <v>867</v>
      </c>
      <c r="H302" s="47" t="s">
        <v>49</v>
      </c>
      <c r="I302" s="18" t="s">
        <v>868</v>
      </c>
      <c r="J302" s="34"/>
      <c r="K302" s="34"/>
    </row>
    <row r="303" spans="1:79" ht="18" hidden="1" customHeight="1" x14ac:dyDescent="0.4">
      <c r="A303" s="9">
        <f t="shared" si="10"/>
        <v>302</v>
      </c>
      <c r="B303" s="12" t="s">
        <v>734</v>
      </c>
      <c r="C303" s="12"/>
      <c r="D303" s="11" t="s">
        <v>821</v>
      </c>
      <c r="E303" s="12" t="s">
        <v>357</v>
      </c>
      <c r="F303" s="12" t="s">
        <v>184</v>
      </c>
      <c r="G303" s="12" t="s">
        <v>72</v>
      </c>
      <c r="H303" s="47" t="s">
        <v>49</v>
      </c>
      <c r="I303" s="12" t="s">
        <v>779</v>
      </c>
      <c r="J303" s="34"/>
      <c r="K303" s="34"/>
    </row>
    <row r="304" spans="1:79" ht="18" customHeight="1" x14ac:dyDescent="0.4">
      <c r="A304" s="6">
        <f t="shared" si="10"/>
        <v>303</v>
      </c>
      <c r="B304" s="26" t="s">
        <v>1207</v>
      </c>
      <c r="C304" s="14"/>
      <c r="D304" s="15" t="s">
        <v>821</v>
      </c>
      <c r="E304" s="14" t="s">
        <v>2142</v>
      </c>
      <c r="F304" s="14" t="s">
        <v>2143</v>
      </c>
      <c r="G304" s="14"/>
      <c r="H304" s="47" t="s">
        <v>15</v>
      </c>
      <c r="I304" s="14" t="s">
        <v>2149</v>
      </c>
      <c r="J304" s="34" t="s">
        <v>2155</v>
      </c>
      <c r="K304" s="34">
        <v>21</v>
      </c>
    </row>
    <row r="305" spans="1:79" ht="18" customHeight="1" x14ac:dyDescent="0.4">
      <c r="A305" s="6">
        <f t="shared" si="10"/>
        <v>304</v>
      </c>
      <c r="B305" s="14" t="s">
        <v>917</v>
      </c>
      <c r="C305" s="14" t="s">
        <v>961</v>
      </c>
      <c r="D305" s="15" t="s">
        <v>821</v>
      </c>
      <c r="E305" s="14" t="s">
        <v>464</v>
      </c>
      <c r="F305" s="14" t="s">
        <v>965</v>
      </c>
      <c r="G305" s="14" t="s">
        <v>966</v>
      </c>
      <c r="H305" s="46" t="s">
        <v>15</v>
      </c>
      <c r="I305" s="14" t="s">
        <v>967</v>
      </c>
      <c r="J305" s="34" t="s">
        <v>2158</v>
      </c>
      <c r="K305" s="34">
        <v>3</v>
      </c>
    </row>
    <row r="306" spans="1:79" ht="18" hidden="1" customHeight="1" x14ac:dyDescent="0.4">
      <c r="A306" s="6">
        <f t="shared" si="10"/>
        <v>305</v>
      </c>
      <c r="B306" s="18" t="s">
        <v>864</v>
      </c>
      <c r="C306" s="18" t="s">
        <v>23</v>
      </c>
      <c r="D306" s="19" t="s">
        <v>2229</v>
      </c>
      <c r="E306" s="18" t="s">
        <v>875</v>
      </c>
      <c r="F306" s="18" t="s">
        <v>876</v>
      </c>
      <c r="G306" s="18"/>
      <c r="H306" s="47" t="s">
        <v>49</v>
      </c>
      <c r="I306" s="18" t="s">
        <v>877</v>
      </c>
      <c r="J306" s="34"/>
      <c r="K306" s="34"/>
    </row>
    <row r="307" spans="1:79" ht="18" customHeight="1" x14ac:dyDescent="0.4">
      <c r="A307" s="9">
        <f t="shared" si="10"/>
        <v>306</v>
      </c>
      <c r="B307" s="20" t="s">
        <v>917</v>
      </c>
      <c r="C307" s="20" t="s">
        <v>968</v>
      </c>
      <c r="D307" s="15" t="s">
        <v>821</v>
      </c>
      <c r="E307" s="20" t="s">
        <v>66</v>
      </c>
      <c r="F307" s="20" t="s">
        <v>969</v>
      </c>
      <c r="G307" s="20" t="s">
        <v>970</v>
      </c>
      <c r="H307" s="46" t="s">
        <v>15</v>
      </c>
      <c r="I307" s="20" t="s">
        <v>971</v>
      </c>
      <c r="J307" s="34" t="s">
        <v>2158</v>
      </c>
      <c r="K307" s="34">
        <v>4</v>
      </c>
    </row>
    <row r="308" spans="1:79" ht="18" hidden="1" customHeight="1" x14ac:dyDescent="0.4">
      <c r="A308" s="6">
        <f t="shared" si="10"/>
        <v>307</v>
      </c>
      <c r="B308" s="18" t="s">
        <v>864</v>
      </c>
      <c r="C308" s="18"/>
      <c r="D308" s="19" t="s">
        <v>2229</v>
      </c>
      <c r="E308" s="18" t="s">
        <v>405</v>
      </c>
      <c r="F308" s="18" t="s">
        <v>265</v>
      </c>
      <c r="G308" s="18" t="s">
        <v>881</v>
      </c>
      <c r="H308" s="48" t="s">
        <v>49</v>
      </c>
      <c r="I308" s="18" t="s">
        <v>882</v>
      </c>
      <c r="J308" s="34"/>
      <c r="K308" s="34"/>
    </row>
    <row r="309" spans="1:79" ht="18" hidden="1" customHeight="1" x14ac:dyDescent="0.4">
      <c r="A309" s="9">
        <f t="shared" si="10"/>
        <v>308</v>
      </c>
      <c r="B309" s="14" t="s">
        <v>864</v>
      </c>
      <c r="C309" s="14"/>
      <c r="D309" s="15" t="s">
        <v>2229</v>
      </c>
      <c r="E309" s="14" t="s">
        <v>845</v>
      </c>
      <c r="F309" s="14" t="s">
        <v>883</v>
      </c>
      <c r="G309" s="14" t="s">
        <v>884</v>
      </c>
      <c r="H309" s="47" t="s">
        <v>49</v>
      </c>
      <c r="I309" s="14" t="s">
        <v>885</v>
      </c>
      <c r="J309" s="34"/>
      <c r="K309" s="34"/>
    </row>
    <row r="310" spans="1:79" ht="18" hidden="1" customHeight="1" x14ac:dyDescent="0.4">
      <c r="A310" s="6">
        <f t="shared" si="10"/>
        <v>309</v>
      </c>
      <c r="B310" s="18" t="s">
        <v>864</v>
      </c>
      <c r="C310" s="18"/>
      <c r="D310" s="19" t="s">
        <v>2229</v>
      </c>
      <c r="E310" s="18" t="s">
        <v>886</v>
      </c>
      <c r="F310" s="18" t="s">
        <v>887</v>
      </c>
      <c r="G310" s="18" t="s">
        <v>888</v>
      </c>
      <c r="H310" s="48" t="s">
        <v>49</v>
      </c>
      <c r="I310" s="18" t="s">
        <v>889</v>
      </c>
      <c r="J310" s="34"/>
      <c r="K310" s="34"/>
    </row>
    <row r="311" spans="1:79" ht="18" hidden="1" customHeight="1" x14ac:dyDescent="0.4">
      <c r="A311" s="9">
        <f t="shared" si="10"/>
        <v>310</v>
      </c>
      <c r="B311" s="14" t="s">
        <v>864</v>
      </c>
      <c r="C311" s="14"/>
      <c r="D311" s="15" t="s">
        <v>2229</v>
      </c>
      <c r="E311" s="14" t="s">
        <v>360</v>
      </c>
      <c r="F311" s="14" t="s">
        <v>890</v>
      </c>
      <c r="G311" s="14" t="s">
        <v>891</v>
      </c>
      <c r="H311" s="48" t="s">
        <v>49</v>
      </c>
      <c r="I311" s="14" t="s">
        <v>892</v>
      </c>
      <c r="J311" s="34"/>
      <c r="K311" s="34"/>
    </row>
    <row r="312" spans="1:79" ht="18" hidden="1" customHeight="1" x14ac:dyDescent="0.4">
      <c r="A312" s="6">
        <f t="shared" si="10"/>
        <v>311</v>
      </c>
      <c r="B312" s="18" t="s">
        <v>864</v>
      </c>
      <c r="C312" s="18"/>
      <c r="D312" s="19" t="s">
        <v>2229</v>
      </c>
      <c r="E312" s="18" t="s">
        <v>893</v>
      </c>
      <c r="F312" s="18" t="s">
        <v>894</v>
      </c>
      <c r="G312" s="18" t="s">
        <v>335</v>
      </c>
      <c r="H312" s="47" t="s">
        <v>49</v>
      </c>
      <c r="I312" s="18" t="s">
        <v>895</v>
      </c>
      <c r="J312" s="34"/>
      <c r="K312" s="34"/>
    </row>
    <row r="313" spans="1:79" ht="18" customHeight="1" x14ac:dyDescent="0.4">
      <c r="A313" s="9">
        <f t="shared" si="10"/>
        <v>312</v>
      </c>
      <c r="B313" s="22" t="s">
        <v>1051</v>
      </c>
      <c r="C313" s="22" t="s">
        <v>1052</v>
      </c>
      <c r="D313" s="15" t="s">
        <v>821</v>
      </c>
      <c r="E313" s="22" t="s">
        <v>1053</v>
      </c>
      <c r="F313" s="22" t="s">
        <v>1054</v>
      </c>
      <c r="G313" s="22" t="s">
        <v>1055</v>
      </c>
      <c r="H313" s="46" t="s">
        <v>15</v>
      </c>
      <c r="I313" s="22" t="s">
        <v>1056</v>
      </c>
      <c r="J313" s="34" t="s">
        <v>2156</v>
      </c>
      <c r="K313" s="34">
        <v>12</v>
      </c>
    </row>
    <row r="314" spans="1:79" ht="18" customHeight="1" x14ac:dyDescent="0.4">
      <c r="A314" s="6">
        <f t="shared" si="10"/>
        <v>313</v>
      </c>
      <c r="B314" s="18" t="s">
        <v>864</v>
      </c>
      <c r="C314" s="18"/>
      <c r="D314" s="19" t="s">
        <v>17</v>
      </c>
      <c r="E314" s="18" t="s">
        <v>212</v>
      </c>
      <c r="F314" s="18" t="s">
        <v>894</v>
      </c>
      <c r="G314" s="18" t="s">
        <v>809</v>
      </c>
      <c r="H314" s="46" t="s">
        <v>15</v>
      </c>
      <c r="I314" s="18" t="s">
        <v>898</v>
      </c>
      <c r="J314" s="34" t="s">
        <v>2157</v>
      </c>
      <c r="K314" s="34">
        <v>38</v>
      </c>
    </row>
    <row r="315" spans="1:79" ht="18" customHeight="1" x14ac:dyDescent="0.4">
      <c r="A315" s="6">
        <f t="shared" si="10"/>
        <v>314</v>
      </c>
      <c r="B315" s="20" t="s">
        <v>917</v>
      </c>
      <c r="C315" s="20" t="s">
        <v>923</v>
      </c>
      <c r="D315" s="15" t="s">
        <v>821</v>
      </c>
      <c r="E315" s="20" t="s">
        <v>684</v>
      </c>
      <c r="F315" s="20" t="s">
        <v>677</v>
      </c>
      <c r="G315" s="20" t="s">
        <v>678</v>
      </c>
      <c r="H315" s="46" t="s">
        <v>15</v>
      </c>
      <c r="I315" s="20" t="s">
        <v>941</v>
      </c>
      <c r="J315" s="34" t="s">
        <v>2156</v>
      </c>
      <c r="K315" s="34">
        <v>13</v>
      </c>
    </row>
    <row r="316" spans="1:79" ht="18" customHeight="1" x14ac:dyDescent="0.4">
      <c r="A316" s="9">
        <f t="shared" si="10"/>
        <v>315</v>
      </c>
      <c r="B316" s="14" t="s">
        <v>917</v>
      </c>
      <c r="C316" s="14" t="s">
        <v>923</v>
      </c>
      <c r="D316" s="15" t="s">
        <v>821</v>
      </c>
      <c r="E316" s="14" t="s">
        <v>377</v>
      </c>
      <c r="F316" s="14" t="s">
        <v>924</v>
      </c>
      <c r="G316" s="14" t="s">
        <v>925</v>
      </c>
      <c r="H316" s="46" t="s">
        <v>15</v>
      </c>
      <c r="I316" s="14" t="s">
        <v>926</v>
      </c>
      <c r="J316" s="34" t="s">
        <v>2156</v>
      </c>
      <c r="K316" s="34">
        <v>14</v>
      </c>
    </row>
    <row r="317" spans="1:79" s="5" customFormat="1" ht="18" hidden="1" customHeight="1" x14ac:dyDescent="0.4">
      <c r="A317" s="9">
        <f t="shared" si="10"/>
        <v>316</v>
      </c>
      <c r="B317" s="14" t="s">
        <v>864</v>
      </c>
      <c r="C317" s="14"/>
      <c r="D317" s="15" t="s">
        <v>2229</v>
      </c>
      <c r="E317" s="14" t="s">
        <v>902</v>
      </c>
      <c r="F317" s="14" t="s">
        <v>273</v>
      </c>
      <c r="G317" s="14" t="s">
        <v>903</v>
      </c>
      <c r="H317" s="48" t="s">
        <v>49</v>
      </c>
      <c r="I317" s="14" t="s">
        <v>904</v>
      </c>
      <c r="J317" s="34"/>
      <c r="K317" s="3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</row>
    <row r="318" spans="1:79" ht="18" customHeight="1" x14ac:dyDescent="0.4">
      <c r="A318" s="6">
        <f t="shared" si="10"/>
        <v>317</v>
      </c>
      <c r="B318" s="14" t="s">
        <v>905</v>
      </c>
      <c r="C318" s="14" t="s">
        <v>442</v>
      </c>
      <c r="D318" s="15" t="s">
        <v>17</v>
      </c>
      <c r="E318" s="14" t="s">
        <v>372</v>
      </c>
      <c r="F318" s="14" t="s">
        <v>906</v>
      </c>
      <c r="G318" s="14" t="s">
        <v>907</v>
      </c>
      <c r="H318" s="46" t="s">
        <v>15</v>
      </c>
      <c r="I318" s="14" t="s">
        <v>908</v>
      </c>
      <c r="J318" s="34" t="s">
        <v>2158</v>
      </c>
      <c r="K318" s="34">
        <v>9</v>
      </c>
    </row>
    <row r="319" spans="1:79" ht="18" hidden="1" customHeight="1" x14ac:dyDescent="0.4">
      <c r="A319" s="9">
        <f t="shared" si="10"/>
        <v>318</v>
      </c>
      <c r="B319" s="14" t="s">
        <v>905</v>
      </c>
      <c r="C319" s="14" t="s">
        <v>909</v>
      </c>
      <c r="D319" s="15" t="s">
        <v>2229</v>
      </c>
      <c r="E319" s="14" t="s">
        <v>256</v>
      </c>
      <c r="F319" s="14" t="s">
        <v>910</v>
      </c>
      <c r="G319" s="14" t="s">
        <v>911</v>
      </c>
      <c r="H319" s="48" t="s">
        <v>49</v>
      </c>
      <c r="I319" s="14" t="s">
        <v>912</v>
      </c>
      <c r="J319" s="34"/>
      <c r="K319" s="34"/>
    </row>
    <row r="320" spans="1:79" s="5" customFormat="1" ht="18" customHeight="1" x14ac:dyDescent="0.4">
      <c r="A320" s="6">
        <f t="shared" si="10"/>
        <v>319</v>
      </c>
      <c r="B320" s="20" t="s">
        <v>917</v>
      </c>
      <c r="C320" s="20" t="s">
        <v>919</v>
      </c>
      <c r="D320" s="15" t="s">
        <v>821</v>
      </c>
      <c r="E320" s="20" t="s">
        <v>920</v>
      </c>
      <c r="F320" s="20" t="s">
        <v>921</v>
      </c>
      <c r="G320" s="20" t="s">
        <v>276</v>
      </c>
      <c r="H320" s="47" t="s">
        <v>15</v>
      </c>
      <c r="I320" s="20" t="s">
        <v>922</v>
      </c>
      <c r="J320" s="34" t="s">
        <v>2156</v>
      </c>
      <c r="K320" s="34">
        <v>15</v>
      </c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</row>
    <row r="321" spans="1:11" ht="18" customHeight="1" x14ac:dyDescent="0.4">
      <c r="A321" s="9">
        <f t="shared" si="10"/>
        <v>320</v>
      </c>
      <c r="B321" s="12" t="s">
        <v>734</v>
      </c>
      <c r="C321" s="12"/>
      <c r="D321" s="11" t="s">
        <v>821</v>
      </c>
      <c r="E321" s="12" t="s">
        <v>792</v>
      </c>
      <c r="F321" s="12" t="s">
        <v>793</v>
      </c>
      <c r="G321" s="12" t="s">
        <v>794</v>
      </c>
      <c r="H321" s="47" t="s">
        <v>40</v>
      </c>
      <c r="I321" s="12" t="s">
        <v>795</v>
      </c>
      <c r="J321" s="34" t="s">
        <v>2161</v>
      </c>
      <c r="K321" s="34">
        <v>12</v>
      </c>
    </row>
    <row r="322" spans="1:11" ht="18" customHeight="1" x14ac:dyDescent="0.4">
      <c r="A322" s="9">
        <f t="shared" si="10"/>
        <v>321</v>
      </c>
      <c r="B322" s="28" t="s">
        <v>1479</v>
      </c>
      <c r="C322" s="28"/>
      <c r="D322" s="15" t="s">
        <v>821</v>
      </c>
      <c r="E322" s="28" t="s">
        <v>1601</v>
      </c>
      <c r="F322" s="28" t="s">
        <v>1602</v>
      </c>
      <c r="G322" s="28"/>
      <c r="H322" s="46" t="s">
        <v>15</v>
      </c>
      <c r="I322" s="28" t="s">
        <v>1603</v>
      </c>
      <c r="J322" s="34" t="s">
        <v>2157</v>
      </c>
      <c r="K322" s="34">
        <v>6</v>
      </c>
    </row>
    <row r="323" spans="1:11" ht="18" customHeight="1" x14ac:dyDescent="0.4">
      <c r="A323" s="6">
        <f t="shared" si="10"/>
        <v>322</v>
      </c>
      <c r="B323" s="16" t="s">
        <v>798</v>
      </c>
      <c r="C323" s="16"/>
      <c r="D323" s="15" t="s">
        <v>17</v>
      </c>
      <c r="E323" s="16" t="s">
        <v>360</v>
      </c>
      <c r="F323" s="16" t="s">
        <v>853</v>
      </c>
      <c r="G323" s="16" t="s">
        <v>854</v>
      </c>
      <c r="H323" s="46" t="s">
        <v>15</v>
      </c>
      <c r="I323" s="16" t="s">
        <v>855</v>
      </c>
      <c r="J323" s="34" t="s">
        <v>2158</v>
      </c>
      <c r="K323" s="34">
        <v>45</v>
      </c>
    </row>
    <row r="324" spans="1:11" ht="18" customHeight="1" x14ac:dyDescent="0.4">
      <c r="A324" s="6">
        <f t="shared" si="10"/>
        <v>323</v>
      </c>
      <c r="B324" s="30" t="s">
        <v>1767</v>
      </c>
      <c r="C324" s="30" t="s">
        <v>972</v>
      </c>
      <c r="D324" s="15" t="s">
        <v>821</v>
      </c>
      <c r="E324" s="30" t="s">
        <v>845</v>
      </c>
      <c r="F324" s="30" t="s">
        <v>1734</v>
      </c>
      <c r="G324" s="30" t="s">
        <v>1811</v>
      </c>
      <c r="H324" s="46" t="s">
        <v>15</v>
      </c>
      <c r="I324" s="30" t="s">
        <v>1812</v>
      </c>
      <c r="J324" s="34" t="s">
        <v>2156</v>
      </c>
      <c r="K324" s="34">
        <v>16</v>
      </c>
    </row>
    <row r="325" spans="1:11" ht="18" customHeight="1" x14ac:dyDescent="0.4">
      <c r="A325" s="6">
        <f t="shared" si="10"/>
        <v>324</v>
      </c>
      <c r="B325" s="14" t="s">
        <v>734</v>
      </c>
      <c r="C325" s="14"/>
      <c r="D325" s="11" t="s">
        <v>821</v>
      </c>
      <c r="E325" s="14" t="s">
        <v>278</v>
      </c>
      <c r="F325" s="14" t="s">
        <v>796</v>
      </c>
      <c r="G325" s="14" t="s">
        <v>431</v>
      </c>
      <c r="H325" s="47" t="s">
        <v>40</v>
      </c>
      <c r="I325" s="14" t="s">
        <v>797</v>
      </c>
      <c r="J325" s="34" t="s">
        <v>2161</v>
      </c>
      <c r="K325" s="34">
        <v>13</v>
      </c>
    </row>
    <row r="326" spans="1:11" ht="18" customHeight="1" x14ac:dyDescent="0.4">
      <c r="A326" s="9">
        <f t="shared" si="10"/>
        <v>325</v>
      </c>
      <c r="B326" s="14" t="s">
        <v>1207</v>
      </c>
      <c r="C326" s="14"/>
      <c r="D326" s="15" t="s">
        <v>821</v>
      </c>
      <c r="E326" s="14" t="s">
        <v>409</v>
      </c>
      <c r="F326" s="14" t="s">
        <v>1455</v>
      </c>
      <c r="G326" s="14" t="s">
        <v>1456</v>
      </c>
      <c r="H326" s="47" t="s">
        <v>40</v>
      </c>
      <c r="I326" s="14" t="s">
        <v>1457</v>
      </c>
      <c r="J326" s="34" t="s">
        <v>2161</v>
      </c>
      <c r="K326" s="34">
        <v>14</v>
      </c>
    </row>
    <row r="327" spans="1:11" ht="18" hidden="1" customHeight="1" x14ac:dyDescent="0.4">
      <c r="A327" s="9">
        <f t="shared" si="10"/>
        <v>326</v>
      </c>
      <c r="B327" s="14" t="s">
        <v>917</v>
      </c>
      <c r="C327" s="14" t="s">
        <v>923</v>
      </c>
      <c r="D327" s="15" t="s">
        <v>2229</v>
      </c>
      <c r="E327" s="14" t="s">
        <v>301</v>
      </c>
      <c r="F327" s="14" t="s">
        <v>933</v>
      </c>
      <c r="G327" s="14" t="s">
        <v>934</v>
      </c>
      <c r="H327" s="48" t="s">
        <v>49</v>
      </c>
      <c r="I327" s="14" t="s">
        <v>935</v>
      </c>
      <c r="J327" s="34"/>
      <c r="K327" s="34"/>
    </row>
    <row r="328" spans="1:11" ht="18" hidden="1" customHeight="1" x14ac:dyDescent="0.4">
      <c r="A328" s="9">
        <f t="shared" si="10"/>
        <v>327</v>
      </c>
      <c r="B328" s="16" t="s">
        <v>798</v>
      </c>
      <c r="C328" s="16"/>
      <c r="D328" s="11" t="s">
        <v>821</v>
      </c>
      <c r="E328" s="16" t="s">
        <v>809</v>
      </c>
      <c r="F328" s="16" t="s">
        <v>810</v>
      </c>
      <c r="G328" s="16" t="s">
        <v>811</v>
      </c>
      <c r="H328" s="47" t="s">
        <v>49</v>
      </c>
      <c r="I328" s="16" t="s">
        <v>808</v>
      </c>
      <c r="J328" s="34"/>
      <c r="K328" s="34"/>
    </row>
    <row r="329" spans="1:11" ht="18" hidden="1" customHeight="1" x14ac:dyDescent="0.4">
      <c r="A329" s="6">
        <f t="shared" si="10"/>
        <v>328</v>
      </c>
      <c r="B329" s="14" t="s">
        <v>798</v>
      </c>
      <c r="C329" s="14" t="s">
        <v>493</v>
      </c>
      <c r="D329" s="11" t="s">
        <v>821</v>
      </c>
      <c r="E329" s="14" t="s">
        <v>324</v>
      </c>
      <c r="F329" s="14" t="s">
        <v>816</v>
      </c>
      <c r="G329" s="14"/>
      <c r="H329" s="47" t="s">
        <v>49</v>
      </c>
      <c r="I329" s="14" t="s">
        <v>817</v>
      </c>
      <c r="J329" s="34"/>
      <c r="K329" s="34"/>
    </row>
    <row r="330" spans="1:11" ht="18" customHeight="1" x14ac:dyDescent="0.4">
      <c r="A330" s="9"/>
      <c r="B330" s="10"/>
      <c r="C330" s="10"/>
      <c r="D330" s="11" t="s">
        <v>821</v>
      </c>
      <c r="E330" s="10" t="s">
        <v>2191</v>
      </c>
      <c r="F330" s="10" t="s">
        <v>2195</v>
      </c>
      <c r="G330" s="10"/>
      <c r="H330" s="48" t="s">
        <v>15</v>
      </c>
      <c r="I330" s="10" t="s">
        <v>2192</v>
      </c>
      <c r="J330" s="34" t="s">
        <v>2157</v>
      </c>
      <c r="K330" s="34">
        <v>7</v>
      </c>
    </row>
    <row r="331" spans="1:11" ht="18" customHeight="1" x14ac:dyDescent="0.4">
      <c r="A331" s="9">
        <f t="shared" ref="A331:A362" si="11">IF(COUNTA(B331:I331)=0,"",ROW()-1)</f>
        <v>330</v>
      </c>
      <c r="B331" s="14" t="s">
        <v>917</v>
      </c>
      <c r="C331" s="14" t="s">
        <v>923</v>
      </c>
      <c r="D331" s="15" t="s">
        <v>17</v>
      </c>
      <c r="E331" s="14" t="s">
        <v>942</v>
      </c>
      <c r="F331" s="14" t="s">
        <v>943</v>
      </c>
      <c r="G331" s="14" t="s">
        <v>273</v>
      </c>
      <c r="H331" s="46" t="s">
        <v>15</v>
      </c>
      <c r="I331" s="14" t="s">
        <v>944</v>
      </c>
      <c r="J331" s="34" t="s">
        <v>2156</v>
      </c>
      <c r="K331" s="34">
        <v>21</v>
      </c>
    </row>
    <row r="332" spans="1:11" ht="18" customHeight="1" x14ac:dyDescent="0.4">
      <c r="A332" s="6">
        <f t="shared" si="11"/>
        <v>331</v>
      </c>
      <c r="B332" s="20" t="s">
        <v>917</v>
      </c>
      <c r="C332" s="20" t="s">
        <v>532</v>
      </c>
      <c r="D332" s="21" t="s">
        <v>17</v>
      </c>
      <c r="E332" s="20" t="s">
        <v>476</v>
      </c>
      <c r="F332" s="20" t="s">
        <v>945</v>
      </c>
      <c r="G332" s="20" t="s">
        <v>946</v>
      </c>
      <c r="H332" s="46" t="s">
        <v>15</v>
      </c>
      <c r="I332" s="20" t="s">
        <v>947</v>
      </c>
      <c r="J332" s="34" t="s">
        <v>2156</v>
      </c>
      <c r="K332" s="34">
        <v>20</v>
      </c>
    </row>
    <row r="333" spans="1:11" ht="18" customHeight="1" x14ac:dyDescent="0.4">
      <c r="A333" s="9">
        <f t="shared" si="11"/>
        <v>332</v>
      </c>
      <c r="B333" s="26" t="s">
        <v>1207</v>
      </c>
      <c r="C333" s="26" t="s">
        <v>1449</v>
      </c>
      <c r="D333" s="15" t="s">
        <v>821</v>
      </c>
      <c r="E333" s="26" t="s">
        <v>405</v>
      </c>
      <c r="F333" s="26" t="s">
        <v>1450</v>
      </c>
      <c r="G333" s="26"/>
      <c r="H333" s="46" t="s">
        <v>15</v>
      </c>
      <c r="I333" s="26" t="s">
        <v>1451</v>
      </c>
      <c r="J333" s="34" t="s">
        <v>2155</v>
      </c>
      <c r="K333" s="34">
        <v>22</v>
      </c>
    </row>
    <row r="334" spans="1:11" ht="18" customHeight="1" x14ac:dyDescent="0.4">
      <c r="A334" s="6">
        <f t="shared" si="11"/>
        <v>333</v>
      </c>
      <c r="B334" s="26" t="s">
        <v>1207</v>
      </c>
      <c r="C334" s="26"/>
      <c r="D334" s="15" t="s">
        <v>821</v>
      </c>
      <c r="E334" s="26" t="s">
        <v>324</v>
      </c>
      <c r="F334" s="26" t="s">
        <v>796</v>
      </c>
      <c r="G334" s="26" t="s">
        <v>1160</v>
      </c>
      <c r="H334" s="46" t="s">
        <v>15</v>
      </c>
      <c r="I334" s="26" t="s">
        <v>1336</v>
      </c>
      <c r="J334" s="34" t="s">
        <v>2155</v>
      </c>
      <c r="K334" s="34">
        <v>23</v>
      </c>
    </row>
    <row r="335" spans="1:11" ht="18" customHeight="1" x14ac:dyDescent="0.4">
      <c r="A335" s="9">
        <f t="shared" si="11"/>
        <v>334</v>
      </c>
      <c r="B335" s="14" t="s">
        <v>917</v>
      </c>
      <c r="C335" s="14" t="s">
        <v>532</v>
      </c>
      <c r="D335" s="15" t="s">
        <v>17</v>
      </c>
      <c r="E335" s="14" t="s">
        <v>955</v>
      </c>
      <c r="F335" s="14" t="s">
        <v>705</v>
      </c>
      <c r="G335" s="14" t="s">
        <v>956</v>
      </c>
      <c r="H335" s="46" t="s">
        <v>15</v>
      </c>
      <c r="I335" s="14" t="s">
        <v>957</v>
      </c>
      <c r="J335" s="34" t="s">
        <v>2156</v>
      </c>
      <c r="K335" s="34">
        <v>22</v>
      </c>
    </row>
    <row r="336" spans="1:11" ht="18" customHeight="1" x14ac:dyDescent="0.4">
      <c r="A336" s="6">
        <f t="shared" si="11"/>
        <v>335</v>
      </c>
      <c r="B336" s="14" t="s">
        <v>917</v>
      </c>
      <c r="C336" s="14" t="s">
        <v>532</v>
      </c>
      <c r="D336" s="15" t="s">
        <v>17</v>
      </c>
      <c r="E336" s="14" t="s">
        <v>958</v>
      </c>
      <c r="F336" s="14" t="s">
        <v>96</v>
      </c>
      <c r="G336" s="14" t="s">
        <v>959</v>
      </c>
      <c r="H336" s="46" t="s">
        <v>15</v>
      </c>
      <c r="I336" s="14" t="s">
        <v>960</v>
      </c>
      <c r="J336" s="34" t="s">
        <v>2157</v>
      </c>
      <c r="K336" s="34">
        <v>9</v>
      </c>
    </row>
    <row r="337" spans="1:11" ht="18" customHeight="1" x14ac:dyDescent="0.4">
      <c r="A337" s="9">
        <f t="shared" si="11"/>
        <v>336</v>
      </c>
      <c r="B337" s="20" t="s">
        <v>917</v>
      </c>
      <c r="C337" s="20" t="s">
        <v>972</v>
      </c>
      <c r="D337" s="15" t="s">
        <v>821</v>
      </c>
      <c r="E337" s="20" t="s">
        <v>333</v>
      </c>
      <c r="F337" s="20" t="s">
        <v>764</v>
      </c>
      <c r="G337" s="20" t="s">
        <v>975</v>
      </c>
      <c r="H337" s="46" t="s">
        <v>15</v>
      </c>
      <c r="I337" s="20" t="s">
        <v>976</v>
      </c>
      <c r="J337" s="34" t="s">
        <v>2156</v>
      </c>
      <c r="K337" s="34">
        <v>17</v>
      </c>
    </row>
    <row r="338" spans="1:11" ht="18" customHeight="1" x14ac:dyDescent="0.4">
      <c r="A338" s="6">
        <f t="shared" si="11"/>
        <v>337</v>
      </c>
      <c r="B338" s="14" t="s">
        <v>917</v>
      </c>
      <c r="C338" s="14" t="s">
        <v>972</v>
      </c>
      <c r="D338" s="15" t="s">
        <v>821</v>
      </c>
      <c r="E338" s="14" t="s">
        <v>973</v>
      </c>
      <c r="F338" s="14" t="s">
        <v>642</v>
      </c>
      <c r="G338" s="14" t="s">
        <v>713</v>
      </c>
      <c r="H338" s="46" t="s">
        <v>15</v>
      </c>
      <c r="I338" s="14" t="s">
        <v>974</v>
      </c>
      <c r="J338" s="34" t="s">
        <v>2156</v>
      </c>
      <c r="K338" s="34">
        <v>18</v>
      </c>
    </row>
    <row r="339" spans="1:11" ht="18" hidden="1" customHeight="1" x14ac:dyDescent="0.4">
      <c r="A339" s="9">
        <f t="shared" si="11"/>
        <v>338</v>
      </c>
      <c r="B339" s="14" t="s">
        <v>864</v>
      </c>
      <c r="C339" s="14"/>
      <c r="D339" s="11" t="s">
        <v>821</v>
      </c>
      <c r="E339" s="14" t="s">
        <v>499</v>
      </c>
      <c r="F339" s="14" t="s">
        <v>72</v>
      </c>
      <c r="G339" s="14" t="s">
        <v>746</v>
      </c>
      <c r="H339" s="47" t="s">
        <v>49</v>
      </c>
      <c r="I339" s="14" t="s">
        <v>899</v>
      </c>
      <c r="J339" s="34"/>
      <c r="K339" s="34"/>
    </row>
    <row r="340" spans="1:11" ht="18" customHeight="1" x14ac:dyDescent="0.4">
      <c r="A340" s="6">
        <f t="shared" si="11"/>
        <v>339</v>
      </c>
      <c r="B340" s="26" t="s">
        <v>1207</v>
      </c>
      <c r="C340" s="26"/>
      <c r="D340" s="15" t="s">
        <v>821</v>
      </c>
      <c r="E340" s="26" t="s">
        <v>845</v>
      </c>
      <c r="F340" s="26" t="s">
        <v>1324</v>
      </c>
      <c r="G340" s="26"/>
      <c r="H340" s="47" t="s">
        <v>15</v>
      </c>
      <c r="I340" s="26" t="s">
        <v>1325</v>
      </c>
      <c r="J340" s="34" t="s">
        <v>2155</v>
      </c>
      <c r="K340" s="34">
        <v>24</v>
      </c>
    </row>
    <row r="341" spans="1:11" ht="18" customHeight="1" x14ac:dyDescent="0.4">
      <c r="A341" s="9">
        <f t="shared" si="11"/>
        <v>340</v>
      </c>
      <c r="B341" s="28" t="s">
        <v>1479</v>
      </c>
      <c r="C341" s="28"/>
      <c r="D341" s="15" t="s">
        <v>821</v>
      </c>
      <c r="E341" s="28" t="s">
        <v>1535</v>
      </c>
      <c r="F341" s="28" t="s">
        <v>537</v>
      </c>
      <c r="G341" s="28" t="s">
        <v>104</v>
      </c>
      <c r="H341" s="46" t="s">
        <v>15</v>
      </c>
      <c r="I341" s="28" t="s">
        <v>1534</v>
      </c>
      <c r="J341" s="34" t="s">
        <v>2157</v>
      </c>
      <c r="K341" s="34">
        <v>8</v>
      </c>
    </row>
    <row r="342" spans="1:11" ht="18" hidden="1" customHeight="1" x14ac:dyDescent="0.4">
      <c r="A342" s="6">
        <f t="shared" si="11"/>
        <v>341</v>
      </c>
      <c r="B342" s="14" t="s">
        <v>917</v>
      </c>
      <c r="C342" s="14" t="s">
        <v>977</v>
      </c>
      <c r="D342" s="15" t="s">
        <v>2229</v>
      </c>
      <c r="E342" s="14" t="s">
        <v>409</v>
      </c>
      <c r="F342" s="14" t="s">
        <v>978</v>
      </c>
      <c r="G342" s="14"/>
      <c r="H342" s="48" t="s">
        <v>49</v>
      </c>
      <c r="I342" s="14" t="s">
        <v>979</v>
      </c>
      <c r="J342" s="34"/>
      <c r="K342" s="34"/>
    </row>
    <row r="343" spans="1:11" ht="18" customHeight="1" x14ac:dyDescent="0.4">
      <c r="A343" s="6">
        <f t="shared" si="11"/>
        <v>342</v>
      </c>
      <c r="B343" s="12" t="s">
        <v>734</v>
      </c>
      <c r="C343" s="12" t="s">
        <v>493</v>
      </c>
      <c r="D343" s="15" t="s">
        <v>821</v>
      </c>
      <c r="E343" s="12" t="s">
        <v>372</v>
      </c>
      <c r="F343" s="12" t="s">
        <v>789</v>
      </c>
      <c r="G343" s="12" t="s">
        <v>790</v>
      </c>
      <c r="H343" s="46" t="s">
        <v>15</v>
      </c>
      <c r="I343" s="12" t="s">
        <v>791</v>
      </c>
      <c r="J343" s="34" t="s">
        <v>2156</v>
      </c>
      <c r="K343" s="34">
        <v>19</v>
      </c>
    </row>
    <row r="344" spans="1:11" ht="18" customHeight="1" x14ac:dyDescent="0.4">
      <c r="A344" s="6">
        <f t="shared" si="11"/>
        <v>343</v>
      </c>
      <c r="B344" s="12" t="s">
        <v>734</v>
      </c>
      <c r="C344" s="12" t="s">
        <v>442</v>
      </c>
      <c r="D344" s="15" t="s">
        <v>821</v>
      </c>
      <c r="E344" s="12" t="s">
        <v>46</v>
      </c>
      <c r="F344" s="12" t="s">
        <v>784</v>
      </c>
      <c r="G344" s="12"/>
      <c r="H344" s="46" t="s">
        <v>15</v>
      </c>
      <c r="I344" s="12" t="s">
        <v>785</v>
      </c>
      <c r="J344" s="34" t="s">
        <v>2156</v>
      </c>
      <c r="K344" s="34">
        <v>20</v>
      </c>
    </row>
    <row r="345" spans="1:11" ht="18" hidden="1" customHeight="1" x14ac:dyDescent="0.4">
      <c r="A345" s="9">
        <f t="shared" si="11"/>
        <v>344</v>
      </c>
      <c r="B345" s="14" t="s">
        <v>917</v>
      </c>
      <c r="C345" s="14" t="s">
        <v>923</v>
      </c>
      <c r="D345" s="15" t="s">
        <v>2229</v>
      </c>
      <c r="E345" s="14" t="s">
        <v>324</v>
      </c>
      <c r="F345" s="14" t="s">
        <v>986</v>
      </c>
      <c r="G345" s="14" t="s">
        <v>987</v>
      </c>
      <c r="H345" s="48" t="s">
        <v>49</v>
      </c>
      <c r="I345" s="14" t="s">
        <v>988</v>
      </c>
      <c r="J345" s="34"/>
      <c r="K345" s="34"/>
    </row>
    <row r="346" spans="1:11" ht="18" customHeight="1" x14ac:dyDescent="0.4">
      <c r="A346" s="6">
        <f t="shared" si="11"/>
        <v>345</v>
      </c>
      <c r="B346" s="12" t="s">
        <v>734</v>
      </c>
      <c r="C346" s="12" t="s">
        <v>442</v>
      </c>
      <c r="D346" s="15" t="s">
        <v>821</v>
      </c>
      <c r="E346" s="12" t="s">
        <v>222</v>
      </c>
      <c r="F346" s="12" t="s">
        <v>283</v>
      </c>
      <c r="G346" s="12" t="s">
        <v>431</v>
      </c>
      <c r="H346" s="46" t="s">
        <v>15</v>
      </c>
      <c r="I346" s="12" t="s">
        <v>772</v>
      </c>
      <c r="J346" s="34" t="s">
        <v>2156</v>
      </c>
      <c r="K346" s="34">
        <v>21</v>
      </c>
    </row>
    <row r="347" spans="1:11" ht="18" hidden="1" customHeight="1" x14ac:dyDescent="0.4">
      <c r="A347" s="9">
        <f t="shared" si="11"/>
        <v>346</v>
      </c>
      <c r="B347" s="14" t="s">
        <v>917</v>
      </c>
      <c r="C347" s="14" t="s">
        <v>992</v>
      </c>
      <c r="D347" s="15" t="s">
        <v>2229</v>
      </c>
      <c r="E347" s="14" t="s">
        <v>993</v>
      </c>
      <c r="F347" s="14" t="s">
        <v>994</v>
      </c>
      <c r="G347" s="14"/>
      <c r="H347" s="48" t="s">
        <v>49</v>
      </c>
      <c r="I347" s="14" t="s">
        <v>995</v>
      </c>
      <c r="J347" s="34"/>
      <c r="K347" s="34"/>
    </row>
    <row r="348" spans="1:11" ht="18" hidden="1" customHeight="1" x14ac:dyDescent="0.4">
      <c r="A348" s="6">
        <f t="shared" si="11"/>
        <v>347</v>
      </c>
      <c r="B348" s="20" t="s">
        <v>917</v>
      </c>
      <c r="C348" s="20" t="s">
        <v>918</v>
      </c>
      <c r="D348" s="21" t="s">
        <v>2229</v>
      </c>
      <c r="E348" s="20" t="s">
        <v>996</v>
      </c>
      <c r="F348" s="20" t="s">
        <v>996</v>
      </c>
      <c r="G348" s="20"/>
      <c r="H348" s="47" t="s">
        <v>49</v>
      </c>
      <c r="I348" s="20" t="s">
        <v>997</v>
      </c>
      <c r="J348" s="34"/>
      <c r="K348" s="34"/>
    </row>
    <row r="349" spans="1:11" ht="18" hidden="1" customHeight="1" x14ac:dyDescent="0.4">
      <c r="A349" s="9">
        <f t="shared" si="11"/>
        <v>348</v>
      </c>
      <c r="B349" s="14" t="s">
        <v>917</v>
      </c>
      <c r="C349" s="14" t="s">
        <v>923</v>
      </c>
      <c r="D349" s="15" t="s">
        <v>2229</v>
      </c>
      <c r="E349" s="14" t="s">
        <v>998</v>
      </c>
      <c r="F349" s="14" t="s">
        <v>999</v>
      </c>
      <c r="G349" s="14" t="s">
        <v>123</v>
      </c>
      <c r="H349" s="48" t="s">
        <v>49</v>
      </c>
      <c r="I349" s="14" t="s">
        <v>1000</v>
      </c>
      <c r="J349" s="34"/>
      <c r="K349" s="34"/>
    </row>
    <row r="350" spans="1:11" ht="18" customHeight="1" x14ac:dyDescent="0.4">
      <c r="A350" s="6">
        <f t="shared" si="11"/>
        <v>349</v>
      </c>
      <c r="B350" s="12" t="s">
        <v>734</v>
      </c>
      <c r="C350" s="12"/>
      <c r="D350" s="15" t="s">
        <v>821</v>
      </c>
      <c r="E350" s="12" t="s">
        <v>46</v>
      </c>
      <c r="F350" s="12" t="s">
        <v>760</v>
      </c>
      <c r="G350" s="12" t="s">
        <v>761</v>
      </c>
      <c r="H350" s="46" t="s">
        <v>15</v>
      </c>
      <c r="I350" s="12" t="s">
        <v>762</v>
      </c>
      <c r="J350" s="34" t="s">
        <v>2156</v>
      </c>
      <c r="K350" s="34">
        <v>22</v>
      </c>
    </row>
    <row r="351" spans="1:11" ht="18" customHeight="1" x14ac:dyDescent="0.4">
      <c r="A351" s="9">
        <f t="shared" si="11"/>
        <v>350</v>
      </c>
      <c r="B351" s="14" t="s">
        <v>1479</v>
      </c>
      <c r="C351" s="14"/>
      <c r="D351" s="15" t="s">
        <v>821</v>
      </c>
      <c r="E351" s="14" t="s">
        <v>46</v>
      </c>
      <c r="F351" s="14" t="s">
        <v>1511</v>
      </c>
      <c r="G351" s="14" t="s">
        <v>927</v>
      </c>
      <c r="H351" s="46" t="s">
        <v>15</v>
      </c>
      <c r="I351" s="10" t="s">
        <v>1512</v>
      </c>
      <c r="J351" s="34" t="s">
        <v>2158</v>
      </c>
      <c r="K351" s="34">
        <v>5</v>
      </c>
    </row>
    <row r="352" spans="1:11" ht="18" hidden="1" customHeight="1" x14ac:dyDescent="0.4">
      <c r="A352" s="6">
        <f t="shared" si="11"/>
        <v>351</v>
      </c>
      <c r="B352" s="20" t="s">
        <v>917</v>
      </c>
      <c r="C352" s="20" t="s">
        <v>923</v>
      </c>
      <c r="D352" s="21" t="s">
        <v>2229</v>
      </c>
      <c r="E352" s="20" t="s">
        <v>1007</v>
      </c>
      <c r="F352" s="20" t="s">
        <v>363</v>
      </c>
      <c r="G352" s="20"/>
      <c r="H352" s="48" t="s">
        <v>49</v>
      </c>
      <c r="I352" s="20" t="s">
        <v>1008</v>
      </c>
      <c r="J352" s="34"/>
      <c r="K352" s="34"/>
    </row>
    <row r="353" spans="1:79" ht="18" hidden="1" customHeight="1" x14ac:dyDescent="0.4">
      <c r="A353" s="9">
        <f t="shared" si="11"/>
        <v>352</v>
      </c>
      <c r="B353" s="14" t="s">
        <v>917</v>
      </c>
      <c r="C353" s="14" t="s">
        <v>923</v>
      </c>
      <c r="D353" s="15" t="s">
        <v>2229</v>
      </c>
      <c r="E353" s="14" t="s">
        <v>1009</v>
      </c>
      <c r="F353" s="14" t="s">
        <v>1010</v>
      </c>
      <c r="G353" s="14" t="s">
        <v>1011</v>
      </c>
      <c r="H353" s="48" t="s">
        <v>49</v>
      </c>
      <c r="I353" s="14" t="s">
        <v>1012</v>
      </c>
      <c r="J353" s="34"/>
      <c r="K353" s="34"/>
    </row>
    <row r="354" spans="1:79" ht="18" hidden="1" customHeight="1" x14ac:dyDescent="0.4">
      <c r="A354" s="6">
        <f t="shared" si="11"/>
        <v>353</v>
      </c>
      <c r="B354" s="20" t="s">
        <v>917</v>
      </c>
      <c r="C354" s="20" t="s">
        <v>923</v>
      </c>
      <c r="D354" s="21" t="s">
        <v>2229</v>
      </c>
      <c r="E354" s="20" t="s">
        <v>1013</v>
      </c>
      <c r="F354" s="20" t="s">
        <v>1014</v>
      </c>
      <c r="G354" s="20"/>
      <c r="H354" s="48" t="s">
        <v>49</v>
      </c>
      <c r="I354" s="20" t="s">
        <v>1015</v>
      </c>
      <c r="J354" s="34"/>
      <c r="K354" s="34"/>
    </row>
    <row r="355" spans="1:79" ht="18" hidden="1" customHeight="1" x14ac:dyDescent="0.4">
      <c r="A355" s="9">
        <f t="shared" si="11"/>
        <v>354</v>
      </c>
      <c r="B355" s="14" t="s">
        <v>917</v>
      </c>
      <c r="C355" s="14" t="s">
        <v>919</v>
      </c>
      <c r="D355" s="15" t="s">
        <v>2229</v>
      </c>
      <c r="E355" s="14" t="s">
        <v>1016</v>
      </c>
      <c r="F355" s="14" t="s">
        <v>1017</v>
      </c>
      <c r="G355" s="14"/>
      <c r="H355" s="48" t="s">
        <v>49</v>
      </c>
      <c r="I355" s="14" t="s">
        <v>1018</v>
      </c>
      <c r="J355" s="34"/>
      <c r="K355" s="34"/>
    </row>
    <row r="356" spans="1:79" ht="18" hidden="1" customHeight="1" x14ac:dyDescent="0.4">
      <c r="A356" s="6">
        <f t="shared" si="11"/>
        <v>355</v>
      </c>
      <c r="B356" s="20" t="s">
        <v>917</v>
      </c>
      <c r="C356" s="20" t="s">
        <v>919</v>
      </c>
      <c r="D356" s="21" t="s">
        <v>2229</v>
      </c>
      <c r="E356" s="20" t="s">
        <v>1019</v>
      </c>
      <c r="F356" s="20" t="s">
        <v>1020</v>
      </c>
      <c r="G356" s="20"/>
      <c r="H356" s="48" t="s">
        <v>49</v>
      </c>
      <c r="I356" s="20" t="s">
        <v>1021</v>
      </c>
      <c r="J356" s="34"/>
      <c r="K356" s="34"/>
    </row>
    <row r="357" spans="1:79" ht="18" customHeight="1" x14ac:dyDescent="0.4">
      <c r="A357" s="6">
        <f t="shared" si="11"/>
        <v>356</v>
      </c>
      <c r="B357" s="28" t="s">
        <v>1479</v>
      </c>
      <c r="C357" s="28"/>
      <c r="D357" s="15" t="s">
        <v>821</v>
      </c>
      <c r="E357" s="28" t="s">
        <v>1521</v>
      </c>
      <c r="F357" s="28" t="s">
        <v>411</v>
      </c>
      <c r="G357" s="28" t="s">
        <v>1197</v>
      </c>
      <c r="H357" s="46" t="s">
        <v>15</v>
      </c>
      <c r="I357" s="28" t="s">
        <v>1522</v>
      </c>
      <c r="J357" s="34" t="s">
        <v>2157</v>
      </c>
      <c r="K357" s="34">
        <v>9</v>
      </c>
    </row>
    <row r="358" spans="1:79" ht="18" customHeight="1" x14ac:dyDescent="0.4">
      <c r="A358" s="6">
        <f t="shared" si="11"/>
        <v>357</v>
      </c>
      <c r="B358" s="20" t="s">
        <v>917</v>
      </c>
      <c r="C358" s="20" t="s">
        <v>594</v>
      </c>
      <c r="D358" s="21" t="s">
        <v>17</v>
      </c>
      <c r="E358" s="20" t="s">
        <v>737</v>
      </c>
      <c r="F358" s="20" t="s">
        <v>1025</v>
      </c>
      <c r="G358" s="20" t="s">
        <v>1026</v>
      </c>
      <c r="H358" s="49" t="s">
        <v>15</v>
      </c>
      <c r="I358" s="20" t="s">
        <v>1027</v>
      </c>
      <c r="J358" s="34" t="s">
        <v>2157</v>
      </c>
      <c r="K358" s="34">
        <v>22</v>
      </c>
    </row>
    <row r="359" spans="1:79" ht="18" customHeight="1" x14ac:dyDescent="0.4">
      <c r="A359" s="9">
        <f t="shared" si="11"/>
        <v>358</v>
      </c>
      <c r="B359" s="26" t="s">
        <v>1207</v>
      </c>
      <c r="C359" s="26"/>
      <c r="D359" s="15" t="s">
        <v>821</v>
      </c>
      <c r="E359" s="26" t="s">
        <v>413</v>
      </c>
      <c r="F359" s="26" t="s">
        <v>746</v>
      </c>
      <c r="G359" s="26"/>
      <c r="H359" s="47" t="s">
        <v>15</v>
      </c>
      <c r="I359" s="26" t="s">
        <v>1323</v>
      </c>
      <c r="J359" s="34" t="s">
        <v>2155</v>
      </c>
      <c r="K359" s="34">
        <v>25</v>
      </c>
    </row>
    <row r="360" spans="1:79" ht="18" hidden="1" customHeight="1" x14ac:dyDescent="0.4">
      <c r="A360" s="6">
        <f t="shared" si="11"/>
        <v>359</v>
      </c>
      <c r="B360" s="20" t="s">
        <v>917</v>
      </c>
      <c r="C360" s="20" t="s">
        <v>923</v>
      </c>
      <c r="D360" s="21" t="s">
        <v>2229</v>
      </c>
      <c r="E360" s="20" t="s">
        <v>1029</v>
      </c>
      <c r="F360" s="20" t="s">
        <v>1030</v>
      </c>
      <c r="G360" s="20"/>
      <c r="H360" s="48" t="s">
        <v>49</v>
      </c>
      <c r="I360" s="20" t="s">
        <v>1031</v>
      </c>
      <c r="J360" s="34"/>
      <c r="K360" s="34"/>
    </row>
    <row r="361" spans="1:79" ht="18" hidden="1" customHeight="1" x14ac:dyDescent="0.4">
      <c r="A361" s="9">
        <f t="shared" si="11"/>
        <v>360</v>
      </c>
      <c r="B361" s="14" t="s">
        <v>917</v>
      </c>
      <c r="C361" s="14" t="s">
        <v>919</v>
      </c>
      <c r="D361" s="15" t="s">
        <v>2229</v>
      </c>
      <c r="E361" s="14" t="s">
        <v>1032</v>
      </c>
      <c r="F361" s="14" t="s">
        <v>1033</v>
      </c>
      <c r="G361" s="14"/>
      <c r="H361" s="48" t="s">
        <v>49</v>
      </c>
      <c r="I361" s="14" t="s">
        <v>1034</v>
      </c>
      <c r="J361" s="34"/>
      <c r="K361" s="34"/>
    </row>
    <row r="362" spans="1:79" ht="18" hidden="1" customHeight="1" x14ac:dyDescent="0.4">
      <c r="A362" s="6">
        <f t="shared" si="11"/>
        <v>361</v>
      </c>
      <c r="B362" s="20" t="s">
        <v>917</v>
      </c>
      <c r="C362" s="20" t="s">
        <v>919</v>
      </c>
      <c r="D362" s="21" t="s">
        <v>2229</v>
      </c>
      <c r="E362" s="20" t="s">
        <v>1035</v>
      </c>
      <c r="F362" s="20" t="s">
        <v>1036</v>
      </c>
      <c r="G362" s="20"/>
      <c r="H362" s="49" t="s">
        <v>49</v>
      </c>
      <c r="I362" s="20" t="s">
        <v>1037</v>
      </c>
      <c r="J362" s="34"/>
      <c r="K362" s="34"/>
    </row>
    <row r="363" spans="1:79" ht="18" customHeight="1" x14ac:dyDescent="0.4">
      <c r="A363" s="9">
        <f t="shared" ref="A363:A392" si="12">IF(COUNTA(B363:I363)=0,"",ROW()-1)</f>
        <v>362</v>
      </c>
      <c r="B363" s="12" t="s">
        <v>734</v>
      </c>
      <c r="C363" s="12"/>
      <c r="D363" s="15" t="s">
        <v>821</v>
      </c>
      <c r="E363" s="12" t="s">
        <v>700</v>
      </c>
      <c r="F363" s="12" t="s">
        <v>758</v>
      </c>
      <c r="G363" s="12"/>
      <c r="H363" s="46" t="s">
        <v>15</v>
      </c>
      <c r="I363" s="12" t="s">
        <v>759</v>
      </c>
      <c r="J363" s="34" t="s">
        <v>2156</v>
      </c>
      <c r="K363" s="34">
        <v>23</v>
      </c>
    </row>
    <row r="364" spans="1:79" ht="18" hidden="1" customHeight="1" x14ac:dyDescent="0.4">
      <c r="A364" s="6">
        <f t="shared" si="12"/>
        <v>363</v>
      </c>
      <c r="B364" s="20" t="s">
        <v>917</v>
      </c>
      <c r="C364" s="20" t="s">
        <v>919</v>
      </c>
      <c r="D364" s="21" t="s">
        <v>2229</v>
      </c>
      <c r="E364" s="20" t="s">
        <v>1041</v>
      </c>
      <c r="F364" s="20" t="s">
        <v>1042</v>
      </c>
      <c r="G364" s="20"/>
      <c r="H364" s="48" t="s">
        <v>49</v>
      </c>
      <c r="I364" s="20" t="s">
        <v>1043</v>
      </c>
      <c r="J364" s="34"/>
      <c r="K364" s="34"/>
    </row>
    <row r="365" spans="1:79" ht="18" customHeight="1" x14ac:dyDescent="0.4">
      <c r="A365" s="9">
        <f t="shared" si="12"/>
        <v>364</v>
      </c>
      <c r="B365" s="30" t="s">
        <v>1675</v>
      </c>
      <c r="C365" s="30"/>
      <c r="D365" s="15" t="s">
        <v>821</v>
      </c>
      <c r="E365" s="30" t="s">
        <v>1708</v>
      </c>
      <c r="F365" s="30" t="s">
        <v>1709</v>
      </c>
      <c r="G365" s="30" t="s">
        <v>258</v>
      </c>
      <c r="H365" s="46" t="s">
        <v>15</v>
      </c>
      <c r="I365" s="30" t="s">
        <v>1710</v>
      </c>
      <c r="J365" s="34" t="s">
        <v>2158</v>
      </c>
      <c r="K365" s="34">
        <v>6</v>
      </c>
    </row>
    <row r="366" spans="1:79" s="5" customFormat="1" ht="18" hidden="1" customHeight="1" x14ac:dyDescent="0.4">
      <c r="A366" s="6">
        <f t="shared" si="12"/>
        <v>365</v>
      </c>
      <c r="B366" s="20" t="s">
        <v>917</v>
      </c>
      <c r="C366" s="20" t="s">
        <v>1047</v>
      </c>
      <c r="D366" s="21" t="s">
        <v>2229</v>
      </c>
      <c r="E366" s="20" t="s">
        <v>1048</v>
      </c>
      <c r="F366" s="20" t="s">
        <v>1049</v>
      </c>
      <c r="G366" s="20"/>
      <c r="H366" s="48" t="s">
        <v>49</v>
      </c>
      <c r="I366" s="20" t="s">
        <v>1050</v>
      </c>
      <c r="J366" s="34"/>
      <c r="K366" s="3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</row>
    <row r="367" spans="1:79" ht="18" customHeight="1" x14ac:dyDescent="0.4">
      <c r="A367" s="9">
        <f t="shared" si="12"/>
        <v>366</v>
      </c>
      <c r="B367" s="14" t="s">
        <v>1207</v>
      </c>
      <c r="C367" s="14"/>
      <c r="D367" s="15" t="s">
        <v>821</v>
      </c>
      <c r="E367" s="14" t="s">
        <v>225</v>
      </c>
      <c r="F367" s="14" t="s">
        <v>1476</v>
      </c>
      <c r="G367" s="14" t="s">
        <v>1477</v>
      </c>
      <c r="H367" s="47" t="s">
        <v>40</v>
      </c>
      <c r="I367" s="14" t="s">
        <v>1478</v>
      </c>
      <c r="J367" s="34" t="s">
        <v>2161</v>
      </c>
      <c r="K367" s="34">
        <v>15</v>
      </c>
    </row>
    <row r="368" spans="1:79" ht="18" customHeight="1" x14ac:dyDescent="0.4">
      <c r="A368" s="9">
        <f t="shared" si="12"/>
        <v>367</v>
      </c>
      <c r="B368" s="14" t="s">
        <v>864</v>
      </c>
      <c r="C368" s="14"/>
      <c r="D368" s="15" t="s">
        <v>821</v>
      </c>
      <c r="E368" s="14" t="s">
        <v>2137</v>
      </c>
      <c r="F368" s="14" t="s">
        <v>2138</v>
      </c>
      <c r="G368" s="14" t="s">
        <v>2139</v>
      </c>
      <c r="H368" s="47" t="s">
        <v>15</v>
      </c>
      <c r="I368" s="14" t="s">
        <v>2140</v>
      </c>
      <c r="J368" s="34" t="s">
        <v>2157</v>
      </c>
      <c r="K368" s="34">
        <v>10</v>
      </c>
    </row>
    <row r="369" spans="1:11" ht="18" hidden="1" customHeight="1" x14ac:dyDescent="0.4">
      <c r="A369" s="9">
        <f t="shared" si="12"/>
        <v>368</v>
      </c>
      <c r="B369" s="22" t="s">
        <v>1051</v>
      </c>
      <c r="C369" s="22" t="s">
        <v>923</v>
      </c>
      <c r="D369" s="23" t="s">
        <v>2229</v>
      </c>
      <c r="E369" s="22" t="s">
        <v>1060</v>
      </c>
      <c r="F369" s="22" t="s">
        <v>1061</v>
      </c>
      <c r="G369" s="22" t="s">
        <v>73</v>
      </c>
      <c r="H369" s="47" t="s">
        <v>49</v>
      </c>
      <c r="I369" s="22" t="s">
        <v>1062</v>
      </c>
      <c r="J369" s="34"/>
      <c r="K369" s="34"/>
    </row>
    <row r="370" spans="1:11" ht="18" customHeight="1" x14ac:dyDescent="0.4">
      <c r="A370" s="6">
        <f t="shared" si="12"/>
        <v>369</v>
      </c>
      <c r="B370" s="12"/>
      <c r="C370" s="12"/>
      <c r="D370" s="15" t="s">
        <v>821</v>
      </c>
      <c r="E370" s="12" t="s">
        <v>2159</v>
      </c>
      <c r="F370" s="12" t="s">
        <v>317</v>
      </c>
      <c r="G370" s="12" t="s">
        <v>760</v>
      </c>
      <c r="H370" s="47" t="s">
        <v>15</v>
      </c>
      <c r="I370" s="12" t="s">
        <v>2160</v>
      </c>
      <c r="J370" s="34" t="s">
        <v>2156</v>
      </c>
      <c r="K370" s="34">
        <v>24</v>
      </c>
    </row>
    <row r="371" spans="1:11" ht="18" customHeight="1" x14ac:dyDescent="0.4">
      <c r="A371" s="9">
        <f t="shared" si="12"/>
        <v>370</v>
      </c>
      <c r="B371" s="10" t="s">
        <v>10</v>
      </c>
      <c r="C371" s="10" t="s">
        <v>539</v>
      </c>
      <c r="D371" s="15" t="s">
        <v>821</v>
      </c>
      <c r="E371" s="10" t="s">
        <v>540</v>
      </c>
      <c r="F371" s="10" t="s">
        <v>120</v>
      </c>
      <c r="G371" s="10" t="s">
        <v>541</v>
      </c>
      <c r="H371" s="49" t="s">
        <v>15</v>
      </c>
      <c r="I371" s="10" t="s">
        <v>542</v>
      </c>
      <c r="J371" s="34" t="s">
        <v>2156</v>
      </c>
      <c r="K371" s="34">
        <v>25</v>
      </c>
    </row>
    <row r="372" spans="1:11" ht="18" customHeight="1" x14ac:dyDescent="0.4">
      <c r="A372" s="9">
        <f t="shared" si="12"/>
        <v>371</v>
      </c>
      <c r="B372" s="26" t="s">
        <v>1207</v>
      </c>
      <c r="C372" s="26"/>
      <c r="D372" s="15" t="s">
        <v>821</v>
      </c>
      <c r="E372" s="26" t="s">
        <v>222</v>
      </c>
      <c r="F372" s="26" t="s">
        <v>2174</v>
      </c>
      <c r="G372" s="26" t="s">
        <v>2175</v>
      </c>
      <c r="H372" s="49" t="s">
        <v>15</v>
      </c>
      <c r="I372" s="26" t="s">
        <v>2194</v>
      </c>
      <c r="J372" s="34" t="s">
        <v>2156</v>
      </c>
      <c r="K372" s="34">
        <v>26</v>
      </c>
    </row>
    <row r="373" spans="1:11" ht="18" customHeight="1" x14ac:dyDescent="0.4">
      <c r="A373" s="9">
        <f t="shared" si="12"/>
        <v>372</v>
      </c>
      <c r="B373" s="26" t="s">
        <v>1207</v>
      </c>
      <c r="C373" s="26"/>
      <c r="D373" s="15" t="s">
        <v>821</v>
      </c>
      <c r="E373" s="26" t="s">
        <v>365</v>
      </c>
      <c r="F373" s="26" t="s">
        <v>100</v>
      </c>
      <c r="G373" s="26" t="s">
        <v>1363</v>
      </c>
      <c r="H373" s="46" t="s">
        <v>15</v>
      </c>
      <c r="I373" s="26" t="s">
        <v>1364</v>
      </c>
      <c r="J373" s="34" t="s">
        <v>2156</v>
      </c>
      <c r="K373" s="34">
        <v>27</v>
      </c>
    </row>
    <row r="374" spans="1:11" ht="18" customHeight="1" x14ac:dyDescent="0.4">
      <c r="A374" s="9">
        <f t="shared" si="12"/>
        <v>373</v>
      </c>
      <c r="B374" s="26" t="s">
        <v>1207</v>
      </c>
      <c r="C374" s="26"/>
      <c r="D374" s="15" t="s">
        <v>821</v>
      </c>
      <c r="E374" s="26" t="s">
        <v>958</v>
      </c>
      <c r="F374" s="26" t="s">
        <v>833</v>
      </c>
      <c r="G374" s="26" t="s">
        <v>1358</v>
      </c>
      <c r="H374" s="46" t="s">
        <v>15</v>
      </c>
      <c r="I374" s="26" t="s">
        <v>1359</v>
      </c>
      <c r="J374" s="34" t="s">
        <v>2156</v>
      </c>
      <c r="K374" s="34">
        <v>28</v>
      </c>
    </row>
    <row r="375" spans="1:11" ht="18" customHeight="1" x14ac:dyDescent="0.4">
      <c r="A375" s="9">
        <f t="shared" si="12"/>
        <v>374</v>
      </c>
      <c r="B375" s="14" t="s">
        <v>798</v>
      </c>
      <c r="C375" s="14"/>
      <c r="D375" s="15" t="s">
        <v>821</v>
      </c>
      <c r="E375" s="14" t="s">
        <v>856</v>
      </c>
      <c r="F375" s="14" t="s">
        <v>857</v>
      </c>
      <c r="G375" s="14" t="s">
        <v>858</v>
      </c>
      <c r="H375" s="47" t="s">
        <v>15</v>
      </c>
      <c r="I375" s="14" t="s">
        <v>859</v>
      </c>
      <c r="J375" s="34" t="s">
        <v>2156</v>
      </c>
      <c r="K375" s="34">
        <v>29</v>
      </c>
    </row>
    <row r="376" spans="1:11" ht="18" customHeight="1" x14ac:dyDescent="0.4">
      <c r="A376" s="9">
        <f t="shared" si="12"/>
        <v>375</v>
      </c>
      <c r="B376" s="16" t="s">
        <v>798</v>
      </c>
      <c r="C376" s="16"/>
      <c r="D376" s="15" t="s">
        <v>821</v>
      </c>
      <c r="E376" s="16" t="s">
        <v>832</v>
      </c>
      <c r="F376" s="16" t="s">
        <v>833</v>
      </c>
      <c r="G376" s="16"/>
      <c r="H376" s="46" t="s">
        <v>15</v>
      </c>
      <c r="I376" s="16" t="s">
        <v>834</v>
      </c>
      <c r="J376" s="34" t="s">
        <v>2156</v>
      </c>
      <c r="K376" s="34">
        <v>30</v>
      </c>
    </row>
    <row r="377" spans="1:11" ht="18" customHeight="1" x14ac:dyDescent="0.4">
      <c r="A377" s="6">
        <f t="shared" si="12"/>
        <v>376</v>
      </c>
      <c r="B377" s="14" t="s">
        <v>798</v>
      </c>
      <c r="C377" s="14"/>
      <c r="D377" s="15" t="s">
        <v>821</v>
      </c>
      <c r="E377" s="14" t="s">
        <v>670</v>
      </c>
      <c r="F377" s="14" t="s">
        <v>219</v>
      </c>
      <c r="G377" s="14" t="s">
        <v>220</v>
      </c>
      <c r="H377" s="46" t="s">
        <v>15</v>
      </c>
      <c r="I377" s="10" t="s">
        <v>848</v>
      </c>
      <c r="J377" s="34" t="s">
        <v>2156</v>
      </c>
      <c r="K377" s="34">
        <v>31</v>
      </c>
    </row>
    <row r="378" spans="1:11" ht="18" customHeight="1" x14ac:dyDescent="0.4">
      <c r="A378" s="9">
        <f t="shared" si="12"/>
        <v>377</v>
      </c>
      <c r="B378" s="16" t="s">
        <v>798</v>
      </c>
      <c r="C378" s="16"/>
      <c r="D378" s="15" t="s">
        <v>821</v>
      </c>
      <c r="E378" s="16" t="s">
        <v>849</v>
      </c>
      <c r="F378" s="16" t="s">
        <v>850</v>
      </c>
      <c r="G378" s="16" t="s">
        <v>508</v>
      </c>
      <c r="H378" s="46" t="s">
        <v>15</v>
      </c>
      <c r="I378" s="16" t="s">
        <v>848</v>
      </c>
      <c r="J378" s="34" t="s">
        <v>2156</v>
      </c>
      <c r="K378" s="34">
        <v>32</v>
      </c>
    </row>
    <row r="379" spans="1:11" ht="18" customHeight="1" x14ac:dyDescent="0.4">
      <c r="A379" s="6">
        <f t="shared" si="12"/>
        <v>378</v>
      </c>
      <c r="B379" s="16" t="s">
        <v>798</v>
      </c>
      <c r="C379" s="16"/>
      <c r="D379" s="15" t="s">
        <v>821</v>
      </c>
      <c r="E379" s="16" t="s">
        <v>301</v>
      </c>
      <c r="F379" s="16" t="s">
        <v>219</v>
      </c>
      <c r="G379" s="16" t="s">
        <v>850</v>
      </c>
      <c r="H379" s="46" t="s">
        <v>15</v>
      </c>
      <c r="I379" s="16" t="s">
        <v>2136</v>
      </c>
      <c r="J379" s="34" t="s">
        <v>2156</v>
      </c>
      <c r="K379" s="34">
        <v>33</v>
      </c>
    </row>
    <row r="380" spans="1:11" ht="18" customHeight="1" x14ac:dyDescent="0.4">
      <c r="A380" s="6">
        <f t="shared" si="12"/>
        <v>379</v>
      </c>
      <c r="B380" s="28" t="s">
        <v>1479</v>
      </c>
      <c r="C380" s="28"/>
      <c r="D380" s="15" t="s">
        <v>821</v>
      </c>
      <c r="E380" s="28" t="s">
        <v>84</v>
      </c>
      <c r="F380" s="28" t="s">
        <v>1493</v>
      </c>
      <c r="G380" s="28"/>
      <c r="H380" s="46" t="s">
        <v>15</v>
      </c>
      <c r="I380" s="28" t="s">
        <v>1494</v>
      </c>
      <c r="J380" s="34" t="s">
        <v>2156</v>
      </c>
      <c r="K380" s="34">
        <v>34</v>
      </c>
    </row>
    <row r="381" spans="1:11" ht="18" customHeight="1" x14ac:dyDescent="0.4">
      <c r="A381" s="9">
        <f t="shared" si="12"/>
        <v>380</v>
      </c>
      <c r="B381" s="28" t="s">
        <v>1479</v>
      </c>
      <c r="C381" s="28"/>
      <c r="D381" s="15" t="s">
        <v>821</v>
      </c>
      <c r="E381" s="28" t="s">
        <v>372</v>
      </c>
      <c r="F381" s="28" t="s">
        <v>1495</v>
      </c>
      <c r="G381" s="28"/>
      <c r="H381" s="46" t="s">
        <v>15</v>
      </c>
      <c r="I381" s="28" t="s">
        <v>1496</v>
      </c>
      <c r="J381" s="34" t="s">
        <v>2156</v>
      </c>
      <c r="K381" s="34">
        <v>35</v>
      </c>
    </row>
    <row r="382" spans="1:11" ht="18" customHeight="1" x14ac:dyDescent="0.4">
      <c r="A382" s="9">
        <f t="shared" si="12"/>
        <v>381</v>
      </c>
      <c r="B382" s="28" t="s">
        <v>1479</v>
      </c>
      <c r="C382" s="28"/>
      <c r="D382" s="15" t="s">
        <v>821</v>
      </c>
      <c r="E382" s="28" t="s">
        <v>324</v>
      </c>
      <c r="F382" s="28" t="s">
        <v>400</v>
      </c>
      <c r="G382" s="28"/>
      <c r="H382" s="46" t="s">
        <v>15</v>
      </c>
      <c r="I382" s="28" t="s">
        <v>1498</v>
      </c>
      <c r="J382" s="34" t="s">
        <v>2156</v>
      </c>
      <c r="K382" s="34">
        <v>36</v>
      </c>
    </row>
    <row r="383" spans="1:11" ht="18" hidden="1" customHeight="1" x14ac:dyDescent="0.4">
      <c r="A383" s="9">
        <f t="shared" si="12"/>
        <v>382</v>
      </c>
      <c r="B383" s="22" t="s">
        <v>1051</v>
      </c>
      <c r="C383" s="22" t="s">
        <v>532</v>
      </c>
      <c r="D383" s="23" t="s">
        <v>2229</v>
      </c>
      <c r="E383" s="22" t="s">
        <v>351</v>
      </c>
      <c r="F383" s="22" t="s">
        <v>1107</v>
      </c>
      <c r="G383" s="22" t="s">
        <v>1108</v>
      </c>
      <c r="H383" s="47" t="s">
        <v>49</v>
      </c>
      <c r="I383" s="22" t="s">
        <v>1109</v>
      </c>
      <c r="J383" s="34"/>
      <c r="K383" s="34"/>
    </row>
    <row r="384" spans="1:11" ht="18" customHeight="1" x14ac:dyDescent="0.4">
      <c r="A384" s="6">
        <f t="shared" si="12"/>
        <v>383</v>
      </c>
      <c r="B384" s="28" t="s">
        <v>1479</v>
      </c>
      <c r="C384" s="28"/>
      <c r="D384" s="15" t="s">
        <v>821</v>
      </c>
      <c r="E384" s="28" t="s">
        <v>1499</v>
      </c>
      <c r="F384" s="28" t="s">
        <v>78</v>
      </c>
      <c r="G384" s="28"/>
      <c r="H384" s="46" t="s">
        <v>15</v>
      </c>
      <c r="I384" s="28" t="s">
        <v>1500</v>
      </c>
      <c r="J384" s="34" t="s">
        <v>2156</v>
      </c>
      <c r="K384" s="34">
        <v>37</v>
      </c>
    </row>
    <row r="385" spans="1:11" ht="18" customHeight="1" x14ac:dyDescent="0.4">
      <c r="A385" s="9">
        <f t="shared" si="12"/>
        <v>384</v>
      </c>
      <c r="B385" s="28" t="s">
        <v>1479</v>
      </c>
      <c r="C385" s="28"/>
      <c r="D385" s="15" t="s">
        <v>821</v>
      </c>
      <c r="E385" s="28" t="s">
        <v>1501</v>
      </c>
      <c r="F385" s="28" t="s">
        <v>273</v>
      </c>
      <c r="G385" s="28"/>
      <c r="H385" s="46" t="s">
        <v>15</v>
      </c>
      <c r="I385" s="28" t="s">
        <v>1502</v>
      </c>
      <c r="J385" s="34" t="s">
        <v>2156</v>
      </c>
      <c r="K385" s="34">
        <v>38</v>
      </c>
    </row>
    <row r="386" spans="1:11" ht="18" customHeight="1" x14ac:dyDescent="0.4">
      <c r="A386" s="6">
        <f t="shared" si="12"/>
        <v>385</v>
      </c>
      <c r="B386" s="28" t="s">
        <v>1479</v>
      </c>
      <c r="C386" s="28"/>
      <c r="D386" s="15" t="s">
        <v>821</v>
      </c>
      <c r="E386" s="28" t="s">
        <v>330</v>
      </c>
      <c r="F386" s="28" t="s">
        <v>1599</v>
      </c>
      <c r="G386" s="28"/>
      <c r="H386" s="46" t="s">
        <v>15</v>
      </c>
      <c r="I386" s="28" t="s">
        <v>1600</v>
      </c>
      <c r="J386" s="34" t="s">
        <v>2156</v>
      </c>
      <c r="K386" s="34">
        <v>39</v>
      </c>
    </row>
    <row r="387" spans="1:11" ht="18" hidden="1" customHeight="1" x14ac:dyDescent="0.4">
      <c r="A387" s="9">
        <f t="shared" si="12"/>
        <v>386</v>
      </c>
      <c r="B387" s="22" t="s">
        <v>1051</v>
      </c>
      <c r="C387" s="22" t="s">
        <v>1120</v>
      </c>
      <c r="D387" s="23" t="s">
        <v>2229</v>
      </c>
      <c r="E387" s="22" t="s">
        <v>1121</v>
      </c>
      <c r="F387" s="22" t="s">
        <v>1122</v>
      </c>
      <c r="G387" s="22" t="s">
        <v>88</v>
      </c>
      <c r="H387" s="47" t="s">
        <v>49</v>
      </c>
      <c r="I387" s="22" t="s">
        <v>1123</v>
      </c>
      <c r="J387" s="34"/>
      <c r="K387" s="34"/>
    </row>
    <row r="388" spans="1:11" ht="18" customHeight="1" x14ac:dyDescent="0.4">
      <c r="A388" s="9">
        <f t="shared" si="12"/>
        <v>387</v>
      </c>
      <c r="B388" s="14" t="s">
        <v>917</v>
      </c>
      <c r="C388" s="14" t="s">
        <v>923</v>
      </c>
      <c r="D388" s="15" t="s">
        <v>821</v>
      </c>
      <c r="E388" s="14" t="s">
        <v>929</v>
      </c>
      <c r="F388" s="14" t="s">
        <v>930</v>
      </c>
      <c r="G388" s="14" t="s">
        <v>244</v>
      </c>
      <c r="H388" s="46" t="s">
        <v>15</v>
      </c>
      <c r="I388" s="14" t="s">
        <v>931</v>
      </c>
      <c r="J388" s="34" t="s">
        <v>2156</v>
      </c>
      <c r="K388" s="34">
        <v>40</v>
      </c>
    </row>
    <row r="389" spans="1:11" ht="18" hidden="1" customHeight="1" x14ac:dyDescent="0.4">
      <c r="A389" s="9">
        <f t="shared" si="12"/>
        <v>388</v>
      </c>
      <c r="B389" s="22" t="s">
        <v>1051</v>
      </c>
      <c r="C389" s="22" t="s">
        <v>532</v>
      </c>
      <c r="D389" s="23" t="s">
        <v>2229</v>
      </c>
      <c r="E389" s="22" t="s">
        <v>1129</v>
      </c>
      <c r="F389" s="22" t="s">
        <v>1130</v>
      </c>
      <c r="G389" s="22" t="s">
        <v>1010</v>
      </c>
      <c r="H389" s="47" t="s">
        <v>49</v>
      </c>
      <c r="I389" s="22" t="s">
        <v>1131</v>
      </c>
      <c r="J389" s="34"/>
      <c r="K389" s="34"/>
    </row>
    <row r="390" spans="1:11" ht="18" customHeight="1" x14ac:dyDescent="0.4">
      <c r="A390" s="9">
        <f t="shared" si="12"/>
        <v>389</v>
      </c>
      <c r="B390" s="20" t="s">
        <v>917</v>
      </c>
      <c r="C390" s="20" t="s">
        <v>948</v>
      </c>
      <c r="D390" s="15" t="s">
        <v>821</v>
      </c>
      <c r="E390" s="20" t="s">
        <v>673</v>
      </c>
      <c r="F390" s="20" t="s">
        <v>949</v>
      </c>
      <c r="G390" s="20" t="s">
        <v>950</v>
      </c>
      <c r="H390" s="46" t="s">
        <v>15</v>
      </c>
      <c r="I390" s="20" t="s">
        <v>951</v>
      </c>
      <c r="J390" s="34" t="s">
        <v>2156</v>
      </c>
      <c r="K390" s="34">
        <v>41</v>
      </c>
    </row>
    <row r="391" spans="1:11" ht="18" customHeight="1" x14ac:dyDescent="0.4">
      <c r="A391" s="9">
        <f t="shared" si="12"/>
        <v>390</v>
      </c>
      <c r="B391" s="14" t="s">
        <v>917</v>
      </c>
      <c r="C391" s="14" t="s">
        <v>980</v>
      </c>
      <c r="D391" s="15" t="s">
        <v>821</v>
      </c>
      <c r="E391" s="14" t="s">
        <v>360</v>
      </c>
      <c r="F391" s="14" t="s">
        <v>981</v>
      </c>
      <c r="G391" s="14" t="s">
        <v>982</v>
      </c>
      <c r="H391" s="46" t="s">
        <v>15</v>
      </c>
      <c r="I391" s="14" t="s">
        <v>983</v>
      </c>
      <c r="J391" s="34" t="s">
        <v>2156</v>
      </c>
      <c r="K391" s="34">
        <v>42</v>
      </c>
    </row>
    <row r="392" spans="1:11" ht="18" customHeight="1" x14ac:dyDescent="0.4">
      <c r="A392" s="6">
        <f t="shared" si="12"/>
        <v>391</v>
      </c>
      <c r="B392" s="14" t="s">
        <v>1207</v>
      </c>
      <c r="C392" s="14"/>
      <c r="D392" s="15" t="s">
        <v>821</v>
      </c>
      <c r="E392" s="14" t="s">
        <v>360</v>
      </c>
      <c r="F392" s="14" t="s">
        <v>2210</v>
      </c>
      <c r="G392" s="14" t="s">
        <v>1801</v>
      </c>
      <c r="H392" s="47" t="s">
        <v>15</v>
      </c>
      <c r="I392" s="14" t="s">
        <v>2209</v>
      </c>
      <c r="J392" s="34" t="s">
        <v>2157</v>
      </c>
      <c r="K392" s="34">
        <v>11</v>
      </c>
    </row>
    <row r="393" spans="1:11" ht="18" customHeight="1" x14ac:dyDescent="0.4">
      <c r="A393" s="6"/>
      <c r="B393" s="14"/>
      <c r="C393" s="14"/>
      <c r="D393" s="15" t="s">
        <v>821</v>
      </c>
      <c r="E393" s="14" t="s">
        <v>646</v>
      </c>
      <c r="F393" s="14" t="s">
        <v>96</v>
      </c>
      <c r="G393" s="14" t="s">
        <v>2168</v>
      </c>
      <c r="H393" s="47" t="s">
        <v>15</v>
      </c>
      <c r="I393" s="14" t="s">
        <v>2169</v>
      </c>
      <c r="J393" s="34" t="s">
        <v>2155</v>
      </c>
      <c r="K393" s="34">
        <v>26</v>
      </c>
    </row>
    <row r="394" spans="1:11" ht="18" customHeight="1" x14ac:dyDescent="0.4">
      <c r="A394" s="6">
        <f t="shared" ref="A394:A413" si="13">IF(COUNTA(B394:I394)=0,"",ROW()-1)</f>
        <v>393</v>
      </c>
      <c r="B394" s="14" t="s">
        <v>1675</v>
      </c>
      <c r="C394" s="10"/>
      <c r="D394" s="15" t="s">
        <v>821</v>
      </c>
      <c r="E394" s="10" t="s">
        <v>802</v>
      </c>
      <c r="F394" s="10" t="s">
        <v>910</v>
      </c>
      <c r="G394" s="10" t="s">
        <v>1711</v>
      </c>
      <c r="H394" s="46" t="s">
        <v>15</v>
      </c>
      <c r="I394" s="10" t="s">
        <v>1712</v>
      </c>
      <c r="J394" s="34" t="s">
        <v>2158</v>
      </c>
      <c r="K394" s="34">
        <v>7</v>
      </c>
    </row>
    <row r="395" spans="1:11" ht="18" customHeight="1" x14ac:dyDescent="0.4">
      <c r="A395" s="6">
        <f t="shared" si="13"/>
        <v>394</v>
      </c>
      <c r="B395" s="7" t="s">
        <v>10</v>
      </c>
      <c r="C395" s="7" t="s">
        <v>442</v>
      </c>
      <c r="D395" s="15" t="s">
        <v>821</v>
      </c>
      <c r="E395" s="7" t="s">
        <v>357</v>
      </c>
      <c r="F395" s="7" t="s">
        <v>525</v>
      </c>
      <c r="G395" s="7"/>
      <c r="H395" s="47" t="s">
        <v>15</v>
      </c>
      <c r="I395" s="7" t="s">
        <v>526</v>
      </c>
      <c r="J395" s="34" t="s">
        <v>2157</v>
      </c>
      <c r="K395" s="34">
        <v>12</v>
      </c>
    </row>
    <row r="396" spans="1:11" ht="18" customHeight="1" x14ac:dyDescent="0.4">
      <c r="A396" s="6">
        <f t="shared" si="13"/>
        <v>395</v>
      </c>
      <c r="B396" s="7" t="s">
        <v>10</v>
      </c>
      <c r="C396" s="7" t="s">
        <v>442</v>
      </c>
      <c r="D396" s="15" t="s">
        <v>821</v>
      </c>
      <c r="E396" s="7" t="s">
        <v>530</v>
      </c>
      <c r="F396" s="7" t="s">
        <v>258</v>
      </c>
      <c r="G396" s="7"/>
      <c r="H396" s="47" t="s">
        <v>15</v>
      </c>
      <c r="I396" s="7" t="s">
        <v>531</v>
      </c>
      <c r="J396" s="34" t="s">
        <v>2157</v>
      </c>
      <c r="K396" s="34">
        <v>13</v>
      </c>
    </row>
    <row r="397" spans="1:11" ht="18" customHeight="1" x14ac:dyDescent="0.4">
      <c r="A397" s="9">
        <f t="shared" si="13"/>
        <v>396</v>
      </c>
      <c r="B397" s="26" t="s">
        <v>1207</v>
      </c>
      <c r="C397" s="26"/>
      <c r="D397" s="15" t="s">
        <v>821</v>
      </c>
      <c r="E397" s="26" t="s">
        <v>357</v>
      </c>
      <c r="F397" s="26" t="s">
        <v>1417</v>
      </c>
      <c r="G397" s="26" t="s">
        <v>1418</v>
      </c>
      <c r="H397" s="47" t="s">
        <v>15</v>
      </c>
      <c r="I397" s="26" t="s">
        <v>1419</v>
      </c>
      <c r="J397" s="34" t="s">
        <v>2157</v>
      </c>
      <c r="K397" s="34">
        <v>14</v>
      </c>
    </row>
    <row r="398" spans="1:11" ht="18" customHeight="1" x14ac:dyDescent="0.4">
      <c r="A398" s="9">
        <f t="shared" si="13"/>
        <v>397</v>
      </c>
      <c r="B398" s="30" t="s">
        <v>1741</v>
      </c>
      <c r="C398" s="30"/>
      <c r="D398" s="31" t="s">
        <v>821</v>
      </c>
      <c r="E398" s="30" t="s">
        <v>218</v>
      </c>
      <c r="F398" s="30" t="s">
        <v>276</v>
      </c>
      <c r="G398" s="30" t="s">
        <v>1746</v>
      </c>
      <c r="H398" s="46" t="s">
        <v>15</v>
      </c>
      <c r="I398" s="30" t="s">
        <v>1747</v>
      </c>
      <c r="J398" s="34" t="s">
        <v>2158</v>
      </c>
      <c r="K398" s="34">
        <v>8</v>
      </c>
    </row>
    <row r="399" spans="1:11" ht="18" customHeight="1" x14ac:dyDescent="0.4">
      <c r="A399" s="6">
        <f t="shared" si="13"/>
        <v>398</v>
      </c>
      <c r="B399" s="10" t="s">
        <v>1741</v>
      </c>
      <c r="C399" s="10"/>
      <c r="D399" s="11" t="s">
        <v>821</v>
      </c>
      <c r="E399" s="10" t="s">
        <v>171</v>
      </c>
      <c r="F399" s="10" t="s">
        <v>910</v>
      </c>
      <c r="G399" s="10" t="s">
        <v>1748</v>
      </c>
      <c r="H399" s="46" t="s">
        <v>15</v>
      </c>
      <c r="I399" s="10" t="s">
        <v>1747</v>
      </c>
      <c r="J399" s="34" t="s">
        <v>2158</v>
      </c>
      <c r="K399" s="34">
        <v>9</v>
      </c>
    </row>
    <row r="400" spans="1:11" ht="18" customHeight="1" x14ac:dyDescent="0.4">
      <c r="A400" s="9">
        <f t="shared" si="13"/>
        <v>399</v>
      </c>
      <c r="B400" s="26" t="s">
        <v>1207</v>
      </c>
      <c r="C400" s="26"/>
      <c r="D400" s="15" t="s">
        <v>821</v>
      </c>
      <c r="E400" s="26" t="s">
        <v>1430</v>
      </c>
      <c r="F400" s="26" t="s">
        <v>283</v>
      </c>
      <c r="G400" s="26" t="s">
        <v>620</v>
      </c>
      <c r="H400" s="47" t="s">
        <v>15</v>
      </c>
      <c r="I400" s="26" t="s">
        <v>1434</v>
      </c>
      <c r="J400" s="34" t="s">
        <v>2157</v>
      </c>
      <c r="K400" s="34">
        <v>15</v>
      </c>
    </row>
    <row r="401" spans="1:79" ht="18" customHeight="1" x14ac:dyDescent="0.4">
      <c r="A401" s="9">
        <f t="shared" si="13"/>
        <v>400</v>
      </c>
      <c r="B401" s="12" t="s">
        <v>734</v>
      </c>
      <c r="C401" s="12" t="s">
        <v>493</v>
      </c>
      <c r="D401" s="15" t="s">
        <v>821</v>
      </c>
      <c r="E401" s="12" t="s">
        <v>737</v>
      </c>
      <c r="F401" s="12" t="s">
        <v>654</v>
      </c>
      <c r="G401" s="12"/>
      <c r="H401" s="46" t="s">
        <v>15</v>
      </c>
      <c r="I401" s="12" t="s">
        <v>738</v>
      </c>
      <c r="J401" s="34" t="s">
        <v>2157</v>
      </c>
      <c r="K401" s="34">
        <v>16</v>
      </c>
    </row>
    <row r="402" spans="1:79" ht="18" hidden="1" customHeight="1" x14ac:dyDescent="0.4">
      <c r="A402" s="6">
        <f t="shared" si="13"/>
        <v>401</v>
      </c>
      <c r="B402" s="14" t="s">
        <v>1051</v>
      </c>
      <c r="C402" s="14" t="s">
        <v>936</v>
      </c>
      <c r="D402" s="15" t="s">
        <v>2229</v>
      </c>
      <c r="E402" s="14" t="s">
        <v>1173</v>
      </c>
      <c r="F402" s="14" t="s">
        <v>1174</v>
      </c>
      <c r="G402" s="14" t="s">
        <v>306</v>
      </c>
      <c r="H402" s="47" t="s">
        <v>49</v>
      </c>
      <c r="I402" s="14" t="s">
        <v>1175</v>
      </c>
      <c r="J402" s="34"/>
      <c r="K402" s="34"/>
    </row>
    <row r="403" spans="1:79" ht="18" customHeight="1" x14ac:dyDescent="0.4">
      <c r="A403" s="6">
        <f t="shared" si="13"/>
        <v>402</v>
      </c>
      <c r="B403" s="12" t="s">
        <v>734</v>
      </c>
      <c r="C403" s="12"/>
      <c r="D403" s="15" t="s">
        <v>821</v>
      </c>
      <c r="E403" s="12" t="s">
        <v>315</v>
      </c>
      <c r="F403" s="12" t="s">
        <v>746</v>
      </c>
      <c r="G403" s="12"/>
      <c r="H403" s="46" t="s">
        <v>15</v>
      </c>
      <c r="I403" s="12" t="s">
        <v>747</v>
      </c>
      <c r="J403" s="34" t="s">
        <v>2157</v>
      </c>
      <c r="K403" s="34">
        <v>17</v>
      </c>
    </row>
    <row r="404" spans="1:79" ht="18" customHeight="1" x14ac:dyDescent="0.4">
      <c r="A404" s="9">
        <f t="shared" si="13"/>
        <v>403</v>
      </c>
      <c r="B404" s="26" t="s">
        <v>1207</v>
      </c>
      <c r="C404" s="26" t="s">
        <v>65</v>
      </c>
      <c r="D404" s="15" t="s">
        <v>821</v>
      </c>
      <c r="E404" s="26" t="s">
        <v>305</v>
      </c>
      <c r="F404" s="26" t="s">
        <v>1216</v>
      </c>
      <c r="G404" s="26"/>
      <c r="H404" s="47" t="s">
        <v>15</v>
      </c>
      <c r="I404" s="26" t="s">
        <v>1217</v>
      </c>
      <c r="J404" s="34" t="s">
        <v>2157</v>
      </c>
      <c r="K404" s="34">
        <v>18</v>
      </c>
    </row>
    <row r="405" spans="1:79" ht="18" customHeight="1" x14ac:dyDescent="0.4">
      <c r="A405" s="6">
        <f t="shared" si="13"/>
        <v>404</v>
      </c>
      <c r="B405" s="26" t="s">
        <v>1207</v>
      </c>
      <c r="C405" s="26"/>
      <c r="D405" s="27" t="s">
        <v>821</v>
      </c>
      <c r="E405" s="26" t="s">
        <v>1218</v>
      </c>
      <c r="F405" s="26" t="s">
        <v>1219</v>
      </c>
      <c r="G405" s="26"/>
      <c r="H405" s="47" t="s">
        <v>15</v>
      </c>
      <c r="I405" s="26" t="s">
        <v>1220</v>
      </c>
      <c r="J405" s="34" t="s">
        <v>2157</v>
      </c>
      <c r="K405" s="34">
        <v>19</v>
      </c>
    </row>
    <row r="406" spans="1:79" ht="18" customHeight="1" x14ac:dyDescent="0.4">
      <c r="A406" s="6">
        <f t="shared" si="13"/>
        <v>405</v>
      </c>
      <c r="B406" s="14" t="s">
        <v>1479</v>
      </c>
      <c r="C406" s="14"/>
      <c r="D406" s="15" t="s">
        <v>821</v>
      </c>
      <c r="E406" s="14" t="s">
        <v>46</v>
      </c>
      <c r="F406" s="14" t="s">
        <v>1528</v>
      </c>
      <c r="G406" s="14"/>
      <c r="H406" s="47" t="s">
        <v>40</v>
      </c>
      <c r="I406" s="14" t="s">
        <v>1612</v>
      </c>
      <c r="J406" s="34" t="s">
        <v>2161</v>
      </c>
      <c r="K406" s="34">
        <v>16</v>
      </c>
    </row>
    <row r="407" spans="1:79" ht="18" customHeight="1" x14ac:dyDescent="0.4">
      <c r="A407" s="6">
        <f t="shared" si="13"/>
        <v>406</v>
      </c>
      <c r="B407" s="14" t="s">
        <v>1479</v>
      </c>
      <c r="C407" s="14"/>
      <c r="D407" s="15" t="s">
        <v>821</v>
      </c>
      <c r="E407" s="14" t="s">
        <v>571</v>
      </c>
      <c r="F407" s="14" t="s">
        <v>1527</v>
      </c>
      <c r="G407" s="14" t="s">
        <v>1528</v>
      </c>
      <c r="H407" s="46" t="s">
        <v>15</v>
      </c>
      <c r="I407" s="10" t="s">
        <v>1529</v>
      </c>
      <c r="J407" s="34" t="s">
        <v>2157</v>
      </c>
      <c r="K407" s="34">
        <v>20</v>
      </c>
    </row>
    <row r="408" spans="1:79" ht="18" customHeight="1" x14ac:dyDescent="0.4">
      <c r="A408" s="9">
        <f t="shared" si="13"/>
        <v>407</v>
      </c>
      <c r="B408" s="26" t="s">
        <v>1207</v>
      </c>
      <c r="C408" s="26" t="s">
        <v>1274</v>
      </c>
      <c r="D408" s="15" t="s">
        <v>821</v>
      </c>
      <c r="E408" s="26" t="s">
        <v>84</v>
      </c>
      <c r="F408" s="26" t="s">
        <v>1275</v>
      </c>
      <c r="G408" s="26" t="s">
        <v>1276</v>
      </c>
      <c r="H408" s="46" t="s">
        <v>15</v>
      </c>
      <c r="I408" s="26" t="s">
        <v>1277</v>
      </c>
      <c r="J408" s="34" t="s">
        <v>2157</v>
      </c>
      <c r="K408" s="34">
        <v>21</v>
      </c>
    </row>
    <row r="409" spans="1:79" ht="18" customHeight="1" x14ac:dyDescent="0.4">
      <c r="A409" s="9">
        <f t="shared" si="13"/>
        <v>408</v>
      </c>
      <c r="B409" s="26" t="s">
        <v>1207</v>
      </c>
      <c r="C409" s="26" t="s">
        <v>1274</v>
      </c>
      <c r="D409" s="15" t="s">
        <v>821</v>
      </c>
      <c r="E409" s="26" t="s">
        <v>571</v>
      </c>
      <c r="F409" s="26" t="s">
        <v>355</v>
      </c>
      <c r="G409" s="26" t="s">
        <v>1280</v>
      </c>
      <c r="H409" s="46" t="s">
        <v>15</v>
      </c>
      <c r="I409" s="26" t="s">
        <v>1279</v>
      </c>
      <c r="J409" s="34" t="s">
        <v>2157</v>
      </c>
      <c r="K409" s="34">
        <v>22</v>
      </c>
    </row>
    <row r="410" spans="1:79" ht="18" customHeight="1" x14ac:dyDescent="0.4">
      <c r="A410" s="9">
        <f t="shared" si="13"/>
        <v>409</v>
      </c>
      <c r="B410" s="14" t="s">
        <v>1207</v>
      </c>
      <c r="C410" s="14" t="s">
        <v>1281</v>
      </c>
      <c r="D410" s="15" t="s">
        <v>821</v>
      </c>
      <c r="E410" s="14" t="s">
        <v>1284</v>
      </c>
      <c r="F410" s="14" t="s">
        <v>568</v>
      </c>
      <c r="G410" s="14" t="s">
        <v>1285</v>
      </c>
      <c r="H410" s="46" t="s">
        <v>15</v>
      </c>
      <c r="I410" s="14" t="s">
        <v>1286</v>
      </c>
      <c r="J410" s="34" t="s">
        <v>2157</v>
      </c>
      <c r="K410" s="34">
        <v>23</v>
      </c>
    </row>
    <row r="411" spans="1:79" ht="18" customHeight="1" x14ac:dyDescent="0.4">
      <c r="A411" s="9">
        <f t="shared" si="13"/>
        <v>410</v>
      </c>
      <c r="B411" s="26" t="s">
        <v>1207</v>
      </c>
      <c r="C411" s="26" t="s">
        <v>1281</v>
      </c>
      <c r="D411" s="15" t="s">
        <v>821</v>
      </c>
      <c r="E411" s="26" t="s">
        <v>46</v>
      </c>
      <c r="F411" s="26" t="s">
        <v>606</v>
      </c>
      <c r="G411" s="26" t="s">
        <v>1288</v>
      </c>
      <c r="H411" s="46" t="s">
        <v>15</v>
      </c>
      <c r="I411" s="26" t="s">
        <v>1289</v>
      </c>
      <c r="J411" s="34" t="s">
        <v>2157</v>
      </c>
      <c r="K411" s="34">
        <v>24</v>
      </c>
    </row>
    <row r="412" spans="1:79" s="5" customFormat="1" ht="18" customHeight="1" x14ac:dyDescent="0.4">
      <c r="A412" s="9">
        <f t="shared" si="13"/>
        <v>411</v>
      </c>
      <c r="B412" s="14" t="s">
        <v>1207</v>
      </c>
      <c r="C412" s="14"/>
      <c r="D412" s="15" t="s">
        <v>821</v>
      </c>
      <c r="E412" s="14" t="s">
        <v>616</v>
      </c>
      <c r="F412" s="14" t="s">
        <v>833</v>
      </c>
      <c r="G412" s="14" t="s">
        <v>519</v>
      </c>
      <c r="H412" s="46" t="s">
        <v>15</v>
      </c>
      <c r="I412" s="14" t="s">
        <v>1332</v>
      </c>
      <c r="J412" s="34" t="s">
        <v>2157</v>
      </c>
      <c r="K412" s="34">
        <v>25</v>
      </c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</row>
    <row r="413" spans="1:79" ht="18" customHeight="1" x14ac:dyDescent="0.4">
      <c r="A413" s="9">
        <f t="shared" si="13"/>
        <v>412</v>
      </c>
      <c r="B413" s="26" t="s">
        <v>1207</v>
      </c>
      <c r="C413" s="26" t="s">
        <v>32</v>
      </c>
      <c r="D413" s="27" t="s">
        <v>17</v>
      </c>
      <c r="E413" s="26" t="s">
        <v>1208</v>
      </c>
      <c r="F413" s="26" t="s">
        <v>1209</v>
      </c>
      <c r="G413" s="26"/>
      <c r="H413" s="46" t="s">
        <v>15</v>
      </c>
      <c r="I413" s="26" t="s">
        <v>1210</v>
      </c>
      <c r="J413" s="34" t="s">
        <v>2158</v>
      </c>
      <c r="K413" s="34">
        <v>8</v>
      </c>
    </row>
    <row r="414" spans="1:79" ht="18" customHeight="1" x14ac:dyDescent="0.4">
      <c r="A414" s="9"/>
      <c r="B414" s="26"/>
      <c r="C414" s="26"/>
      <c r="D414" s="27" t="s">
        <v>17</v>
      </c>
      <c r="E414" s="26" t="s">
        <v>1085</v>
      </c>
      <c r="F414" s="26" t="s">
        <v>2165</v>
      </c>
      <c r="G414" s="26" t="s">
        <v>2166</v>
      </c>
      <c r="H414" s="46" t="s">
        <v>15</v>
      </c>
      <c r="I414" s="26" t="s">
        <v>2167</v>
      </c>
      <c r="J414" s="34" t="s">
        <v>2156</v>
      </c>
      <c r="K414" s="34">
        <v>26</v>
      </c>
    </row>
    <row r="415" spans="1:79" ht="18" customHeight="1" x14ac:dyDescent="0.4">
      <c r="A415" s="9">
        <f t="shared" ref="A415:A454" si="14">IF(COUNTA(B415:I415)=0,"",ROW()-1)</f>
        <v>414</v>
      </c>
      <c r="B415" s="30" t="s">
        <v>1675</v>
      </c>
      <c r="C415" s="30" t="s">
        <v>442</v>
      </c>
      <c r="D415" s="15" t="s">
        <v>821</v>
      </c>
      <c r="E415" s="30" t="s">
        <v>84</v>
      </c>
      <c r="F415" s="30" t="s">
        <v>317</v>
      </c>
      <c r="G415" s="30" t="s">
        <v>258</v>
      </c>
      <c r="H415" s="46" t="s">
        <v>15</v>
      </c>
      <c r="I415" s="30" t="s">
        <v>1692</v>
      </c>
      <c r="J415" s="34" t="s">
        <v>2155</v>
      </c>
      <c r="K415" s="34">
        <v>27</v>
      </c>
    </row>
    <row r="416" spans="1:79" ht="18" customHeight="1" x14ac:dyDescent="0.4">
      <c r="A416" s="6">
        <f t="shared" si="14"/>
        <v>415</v>
      </c>
      <c r="B416" s="14" t="s">
        <v>1207</v>
      </c>
      <c r="C416" s="14" t="s">
        <v>65</v>
      </c>
      <c r="D416" s="15" t="s">
        <v>17</v>
      </c>
      <c r="E416" s="14" t="s">
        <v>646</v>
      </c>
      <c r="F416" s="14" t="s">
        <v>937</v>
      </c>
      <c r="G416" s="14"/>
      <c r="H416" s="47" t="s">
        <v>15</v>
      </c>
      <c r="I416" s="14" t="s">
        <v>1211</v>
      </c>
      <c r="J416" s="34" t="s">
        <v>2156</v>
      </c>
      <c r="K416" s="34">
        <v>42</v>
      </c>
    </row>
    <row r="417" spans="1:11" ht="18" customHeight="1" x14ac:dyDescent="0.4">
      <c r="A417" s="9">
        <f t="shared" si="14"/>
        <v>416</v>
      </c>
      <c r="B417" s="26" t="s">
        <v>1207</v>
      </c>
      <c r="C417" s="26" t="s">
        <v>1337</v>
      </c>
      <c r="D417" s="15" t="s">
        <v>821</v>
      </c>
      <c r="E417" s="26" t="s">
        <v>1338</v>
      </c>
      <c r="F417" s="26" t="s">
        <v>1339</v>
      </c>
      <c r="G417" s="26" t="s">
        <v>1340</v>
      </c>
      <c r="H417" s="46" t="s">
        <v>15</v>
      </c>
      <c r="I417" s="26" t="s">
        <v>1341</v>
      </c>
      <c r="J417" s="34" t="s">
        <v>2157</v>
      </c>
      <c r="K417" s="34">
        <v>26</v>
      </c>
    </row>
    <row r="418" spans="1:11" ht="18" customHeight="1" x14ac:dyDescent="0.4">
      <c r="A418" s="9">
        <f t="shared" si="14"/>
        <v>417</v>
      </c>
      <c r="B418" s="26" t="s">
        <v>1207</v>
      </c>
      <c r="C418" s="26"/>
      <c r="D418" s="27" t="s">
        <v>17</v>
      </c>
      <c r="E418" s="26" t="s">
        <v>229</v>
      </c>
      <c r="F418" s="26" t="s">
        <v>1212</v>
      </c>
      <c r="G418" s="26" t="s">
        <v>1213</v>
      </c>
      <c r="H418" s="47" t="s">
        <v>15</v>
      </c>
      <c r="I418" s="26" t="s">
        <v>1214</v>
      </c>
      <c r="J418" s="34" t="s">
        <v>2158</v>
      </c>
      <c r="K418" s="34">
        <v>36</v>
      </c>
    </row>
    <row r="419" spans="1:11" ht="18" customHeight="1" x14ac:dyDescent="0.4">
      <c r="A419" s="6">
        <f t="shared" si="14"/>
        <v>418</v>
      </c>
      <c r="B419" s="26" t="s">
        <v>1207</v>
      </c>
      <c r="C419" s="26" t="s">
        <v>65</v>
      </c>
      <c r="D419" s="27" t="s">
        <v>17</v>
      </c>
      <c r="E419" s="26" t="s">
        <v>24</v>
      </c>
      <c r="F419" s="26" t="s">
        <v>258</v>
      </c>
      <c r="G419" s="26"/>
      <c r="H419" s="47" t="s">
        <v>15</v>
      </c>
      <c r="I419" s="26" t="s">
        <v>1215</v>
      </c>
      <c r="J419" s="34" t="s">
        <v>2158</v>
      </c>
      <c r="K419" s="34">
        <v>35</v>
      </c>
    </row>
    <row r="420" spans="1:11" ht="18" customHeight="1" x14ac:dyDescent="0.4">
      <c r="A420" s="6">
        <f t="shared" si="14"/>
        <v>419</v>
      </c>
      <c r="B420" s="14" t="s">
        <v>1207</v>
      </c>
      <c r="C420" s="14"/>
      <c r="D420" s="15" t="s">
        <v>821</v>
      </c>
      <c r="E420" s="14" t="s">
        <v>46</v>
      </c>
      <c r="F420" s="14" t="s">
        <v>1349</v>
      </c>
      <c r="G420" s="14" t="s">
        <v>403</v>
      </c>
      <c r="H420" s="47" t="s">
        <v>15</v>
      </c>
      <c r="I420" s="14" t="s">
        <v>1350</v>
      </c>
      <c r="J420" s="34" t="s">
        <v>2157</v>
      </c>
      <c r="K420" s="34">
        <v>27</v>
      </c>
    </row>
    <row r="421" spans="1:11" ht="18" customHeight="1" x14ac:dyDescent="0.4">
      <c r="A421" s="9">
        <f t="shared" si="14"/>
        <v>420</v>
      </c>
      <c r="B421" s="14" t="s">
        <v>1207</v>
      </c>
      <c r="C421" s="14"/>
      <c r="D421" s="15" t="s">
        <v>821</v>
      </c>
      <c r="E421" s="14" t="s">
        <v>84</v>
      </c>
      <c r="F421" s="14" t="s">
        <v>1373</v>
      </c>
      <c r="G421" s="14" t="s">
        <v>1374</v>
      </c>
      <c r="H421" s="47" t="s">
        <v>15</v>
      </c>
      <c r="I421" s="14" t="s">
        <v>1375</v>
      </c>
      <c r="J421" s="34" t="s">
        <v>2157</v>
      </c>
      <c r="K421" s="34">
        <v>28</v>
      </c>
    </row>
    <row r="422" spans="1:11" x14ac:dyDescent="0.4">
      <c r="A422" s="6">
        <f t="shared" si="14"/>
        <v>421</v>
      </c>
      <c r="B422" s="26" t="s">
        <v>1207</v>
      </c>
      <c r="C422" s="26"/>
      <c r="D422" s="15" t="s">
        <v>821</v>
      </c>
      <c r="E422" s="26" t="s">
        <v>324</v>
      </c>
      <c r="F422" s="26" t="s">
        <v>1360</v>
      </c>
      <c r="G422" s="26" t="s">
        <v>1361</v>
      </c>
      <c r="H422" s="46" t="s">
        <v>15</v>
      </c>
      <c r="I422" s="26" t="s">
        <v>1362</v>
      </c>
      <c r="J422" s="34" t="s">
        <v>2157</v>
      </c>
      <c r="K422" s="34">
        <v>29</v>
      </c>
    </row>
    <row r="423" spans="1:11" ht="18" hidden="1" customHeight="1" x14ac:dyDescent="0.4">
      <c r="A423" s="6">
        <f t="shared" si="14"/>
        <v>422</v>
      </c>
      <c r="B423" s="14" t="s">
        <v>1207</v>
      </c>
      <c r="C423" s="14" t="s">
        <v>578</v>
      </c>
      <c r="D423" s="15" t="s">
        <v>2229</v>
      </c>
      <c r="E423" s="14" t="s">
        <v>351</v>
      </c>
      <c r="F423" s="14" t="s">
        <v>1221</v>
      </c>
      <c r="G423" s="14" t="s">
        <v>1222</v>
      </c>
      <c r="H423" s="48" t="s">
        <v>49</v>
      </c>
      <c r="I423" s="14" t="s">
        <v>1223</v>
      </c>
      <c r="J423" s="34"/>
      <c r="K423" s="34"/>
    </row>
    <row r="424" spans="1:11" ht="18" customHeight="1" x14ac:dyDescent="0.4">
      <c r="A424" s="6">
        <f t="shared" si="14"/>
        <v>423</v>
      </c>
      <c r="B424" s="18" t="s">
        <v>864</v>
      </c>
      <c r="C424" s="18" t="s">
        <v>2151</v>
      </c>
      <c r="D424" s="15" t="s">
        <v>821</v>
      </c>
      <c r="E424" s="18" t="s">
        <v>670</v>
      </c>
      <c r="F424" s="18" t="s">
        <v>258</v>
      </c>
      <c r="G424" s="18" t="s">
        <v>900</v>
      </c>
      <c r="H424" s="47" t="s">
        <v>15</v>
      </c>
      <c r="I424" s="18" t="s">
        <v>901</v>
      </c>
      <c r="J424" s="34" t="s">
        <v>2155</v>
      </c>
      <c r="K424" s="34">
        <v>28</v>
      </c>
    </row>
    <row r="425" spans="1:11" ht="18" customHeight="1" x14ac:dyDescent="0.4">
      <c r="A425" s="6">
        <f t="shared" si="14"/>
        <v>424</v>
      </c>
      <c r="B425" s="26" t="s">
        <v>1207</v>
      </c>
      <c r="C425" s="26"/>
      <c r="D425" s="15" t="s">
        <v>821</v>
      </c>
      <c r="E425" s="26" t="s">
        <v>571</v>
      </c>
      <c r="F425" s="26" t="s">
        <v>568</v>
      </c>
      <c r="G425" s="26" t="s">
        <v>1260</v>
      </c>
      <c r="H425" s="46" t="s">
        <v>15</v>
      </c>
      <c r="I425" s="26" t="s">
        <v>1357</v>
      </c>
      <c r="J425" s="34" t="s">
        <v>2157</v>
      </c>
      <c r="K425" s="34">
        <v>30</v>
      </c>
    </row>
    <row r="426" spans="1:11" ht="18" customHeight="1" x14ac:dyDescent="0.4">
      <c r="A426" s="6">
        <f t="shared" si="14"/>
        <v>425</v>
      </c>
      <c r="B426" s="14" t="s">
        <v>1207</v>
      </c>
      <c r="C426" s="14"/>
      <c r="D426" s="15" t="s">
        <v>821</v>
      </c>
      <c r="E426" s="10" t="s">
        <v>62</v>
      </c>
      <c r="F426" s="10" t="s">
        <v>1469</v>
      </c>
      <c r="G426" s="10" t="s">
        <v>1470</v>
      </c>
      <c r="H426" s="46" t="s">
        <v>15</v>
      </c>
      <c r="I426" s="14" t="s">
        <v>1471</v>
      </c>
      <c r="J426" s="34" t="s">
        <v>2157</v>
      </c>
      <c r="K426" s="34">
        <v>31</v>
      </c>
    </row>
    <row r="427" spans="1:11" ht="18" hidden="1" customHeight="1" x14ac:dyDescent="0.4">
      <c r="A427" s="6">
        <f t="shared" si="14"/>
        <v>426</v>
      </c>
      <c r="B427" s="26" t="s">
        <v>1207</v>
      </c>
      <c r="C427" s="26" t="s">
        <v>578</v>
      </c>
      <c r="D427" s="27" t="s">
        <v>2229</v>
      </c>
      <c r="E427" s="26" t="s">
        <v>24</v>
      </c>
      <c r="F427" s="26" t="s">
        <v>1231</v>
      </c>
      <c r="G427" s="26" t="s">
        <v>1232</v>
      </c>
      <c r="H427" s="48" t="s">
        <v>49</v>
      </c>
      <c r="I427" s="26" t="s">
        <v>1233</v>
      </c>
      <c r="J427" s="34"/>
      <c r="K427" s="34"/>
    </row>
    <row r="428" spans="1:11" ht="18" hidden="1" customHeight="1" x14ac:dyDescent="0.4">
      <c r="A428" s="9">
        <f t="shared" si="14"/>
        <v>427</v>
      </c>
      <c r="B428" s="26" t="s">
        <v>1207</v>
      </c>
      <c r="C428" s="26" t="s">
        <v>578</v>
      </c>
      <c r="D428" s="27" t="s">
        <v>2229</v>
      </c>
      <c r="E428" s="26" t="s">
        <v>635</v>
      </c>
      <c r="F428" s="26" t="s">
        <v>1234</v>
      </c>
      <c r="G428" s="26" t="s">
        <v>1235</v>
      </c>
      <c r="H428" s="48" t="s">
        <v>49</v>
      </c>
      <c r="I428" s="26" t="s">
        <v>1236</v>
      </c>
      <c r="J428" s="34"/>
      <c r="K428" s="34"/>
    </row>
    <row r="429" spans="1:11" ht="18" customHeight="1" x14ac:dyDescent="0.4">
      <c r="A429" s="9">
        <f t="shared" si="14"/>
        <v>428</v>
      </c>
      <c r="B429" s="10" t="s">
        <v>1767</v>
      </c>
      <c r="C429" s="10"/>
      <c r="D429" s="11" t="s">
        <v>821</v>
      </c>
      <c r="E429" s="10" t="s">
        <v>1833</v>
      </c>
      <c r="F429" s="10" t="s">
        <v>1834</v>
      </c>
      <c r="G429" s="10" t="s">
        <v>1835</v>
      </c>
      <c r="H429" s="46" t="s">
        <v>15</v>
      </c>
      <c r="I429" s="10" t="s">
        <v>1836</v>
      </c>
      <c r="J429" s="34" t="s">
        <v>2158</v>
      </c>
      <c r="K429" s="34">
        <v>10</v>
      </c>
    </row>
    <row r="430" spans="1:11" ht="18" customHeight="1" x14ac:dyDescent="0.4">
      <c r="A430" s="9">
        <f t="shared" si="14"/>
        <v>429</v>
      </c>
      <c r="B430" s="14" t="s">
        <v>1207</v>
      </c>
      <c r="C430" s="14"/>
      <c r="D430" s="15" t="s">
        <v>821</v>
      </c>
      <c r="E430" s="14" t="s">
        <v>1366</v>
      </c>
      <c r="F430" s="14" t="s">
        <v>1367</v>
      </c>
      <c r="G430" s="14" t="s">
        <v>1368</v>
      </c>
      <c r="H430" s="47" t="s">
        <v>15</v>
      </c>
      <c r="I430" s="14" t="s">
        <v>1369</v>
      </c>
      <c r="J430" s="34" t="s">
        <v>2155</v>
      </c>
      <c r="K430" s="34">
        <v>29</v>
      </c>
    </row>
    <row r="431" spans="1:11" ht="18" customHeight="1" x14ac:dyDescent="0.4">
      <c r="A431" s="6">
        <f t="shared" si="14"/>
        <v>430</v>
      </c>
      <c r="B431" s="14" t="s">
        <v>798</v>
      </c>
      <c r="C431" s="14"/>
      <c r="D431" s="15" t="s">
        <v>821</v>
      </c>
      <c r="E431" s="14" t="s">
        <v>24</v>
      </c>
      <c r="F431" s="14" t="s">
        <v>827</v>
      </c>
      <c r="G431" s="14"/>
      <c r="H431" s="46" t="s">
        <v>15</v>
      </c>
      <c r="I431" s="14" t="s">
        <v>828</v>
      </c>
      <c r="J431" s="34" t="s">
        <v>2155</v>
      </c>
      <c r="K431" s="34">
        <v>30</v>
      </c>
    </row>
    <row r="432" spans="1:11" ht="18" hidden="1" customHeight="1" x14ac:dyDescent="0.4">
      <c r="A432" s="9">
        <f t="shared" si="14"/>
        <v>431</v>
      </c>
      <c r="B432" s="26" t="s">
        <v>1207</v>
      </c>
      <c r="C432" s="26" t="s">
        <v>578</v>
      </c>
      <c r="D432" s="27" t="s">
        <v>2229</v>
      </c>
      <c r="E432" s="26" t="s">
        <v>351</v>
      </c>
      <c r="F432" s="26" t="s">
        <v>1246</v>
      </c>
      <c r="G432" s="26" t="s">
        <v>1247</v>
      </c>
      <c r="H432" s="48" t="s">
        <v>49</v>
      </c>
      <c r="I432" s="26" t="s">
        <v>1248</v>
      </c>
      <c r="J432" s="34"/>
      <c r="K432" s="34"/>
    </row>
    <row r="433" spans="1:11" ht="18" hidden="1" customHeight="1" x14ac:dyDescent="0.4">
      <c r="A433" s="6">
        <f t="shared" si="14"/>
        <v>432</v>
      </c>
      <c r="B433" s="26" t="s">
        <v>1207</v>
      </c>
      <c r="C433" s="26" t="s">
        <v>578</v>
      </c>
      <c r="D433" s="27" t="s">
        <v>2229</v>
      </c>
      <c r="E433" s="26" t="s">
        <v>1249</v>
      </c>
      <c r="F433" s="26" t="s">
        <v>1250</v>
      </c>
      <c r="G433" s="26" t="s">
        <v>1251</v>
      </c>
      <c r="H433" s="48" t="s">
        <v>49</v>
      </c>
      <c r="I433" s="26" t="s">
        <v>1252</v>
      </c>
      <c r="J433" s="34"/>
      <c r="K433" s="34"/>
    </row>
    <row r="434" spans="1:11" ht="18" hidden="1" customHeight="1" x14ac:dyDescent="0.4">
      <c r="A434" s="9">
        <f t="shared" si="14"/>
        <v>433</v>
      </c>
      <c r="B434" s="26" t="s">
        <v>1207</v>
      </c>
      <c r="C434" s="26" t="s">
        <v>578</v>
      </c>
      <c r="D434" s="27" t="s">
        <v>2229</v>
      </c>
      <c r="E434" s="26" t="s">
        <v>914</v>
      </c>
      <c r="F434" s="26" t="s">
        <v>1253</v>
      </c>
      <c r="G434" s="26" t="s">
        <v>251</v>
      </c>
      <c r="H434" s="47" t="s">
        <v>49</v>
      </c>
      <c r="I434" s="26" t="s">
        <v>1254</v>
      </c>
      <c r="J434" s="34"/>
      <c r="K434" s="34"/>
    </row>
    <row r="435" spans="1:11" ht="18" hidden="1" customHeight="1" x14ac:dyDescent="0.4">
      <c r="A435" s="6">
        <f t="shared" si="14"/>
        <v>434</v>
      </c>
      <c r="B435" s="14" t="s">
        <v>1207</v>
      </c>
      <c r="C435" s="14" t="s">
        <v>578</v>
      </c>
      <c r="D435" s="15" t="s">
        <v>2229</v>
      </c>
      <c r="E435" s="14" t="s">
        <v>229</v>
      </c>
      <c r="F435" s="14" t="s">
        <v>1255</v>
      </c>
      <c r="G435" s="14" t="s">
        <v>244</v>
      </c>
      <c r="H435" s="48" t="s">
        <v>49</v>
      </c>
      <c r="I435" s="14" t="s">
        <v>1256</v>
      </c>
      <c r="J435" s="34"/>
      <c r="K435" s="34"/>
    </row>
    <row r="436" spans="1:11" ht="18" hidden="1" customHeight="1" x14ac:dyDescent="0.4">
      <c r="A436" s="9">
        <f t="shared" si="14"/>
        <v>435</v>
      </c>
      <c r="B436" s="14" t="s">
        <v>1207</v>
      </c>
      <c r="C436" s="14" t="s">
        <v>578</v>
      </c>
      <c r="D436" s="15" t="s">
        <v>2229</v>
      </c>
      <c r="E436" s="14" t="s">
        <v>360</v>
      </c>
      <c r="F436" s="14" t="s">
        <v>1257</v>
      </c>
      <c r="G436" s="14" t="s">
        <v>1258</v>
      </c>
      <c r="H436" s="48" t="s">
        <v>49</v>
      </c>
      <c r="I436" s="14" t="s">
        <v>1259</v>
      </c>
      <c r="J436" s="34"/>
      <c r="K436" s="34"/>
    </row>
    <row r="437" spans="1:11" ht="18" hidden="1" customHeight="1" x14ac:dyDescent="0.4">
      <c r="A437" s="6">
        <f t="shared" si="14"/>
        <v>436</v>
      </c>
      <c r="B437" s="26" t="s">
        <v>1207</v>
      </c>
      <c r="C437" s="26" t="s">
        <v>578</v>
      </c>
      <c r="D437" s="27" t="s">
        <v>2229</v>
      </c>
      <c r="E437" s="26" t="s">
        <v>510</v>
      </c>
      <c r="F437" s="26" t="s">
        <v>1260</v>
      </c>
      <c r="G437" s="26" t="s">
        <v>796</v>
      </c>
      <c r="H437" s="48" t="s">
        <v>49</v>
      </c>
      <c r="I437" s="26" t="s">
        <v>1261</v>
      </c>
      <c r="J437" s="34"/>
      <c r="K437" s="34"/>
    </row>
    <row r="438" spans="1:11" ht="18" hidden="1" customHeight="1" x14ac:dyDescent="0.4">
      <c r="A438" s="9">
        <f t="shared" si="14"/>
        <v>437</v>
      </c>
      <c r="B438" s="26" t="s">
        <v>1207</v>
      </c>
      <c r="C438" s="26" t="s">
        <v>578</v>
      </c>
      <c r="D438" s="27" t="s">
        <v>2229</v>
      </c>
      <c r="E438" s="26" t="s">
        <v>360</v>
      </c>
      <c r="F438" s="26" t="s">
        <v>355</v>
      </c>
      <c r="G438" s="26" t="s">
        <v>1262</v>
      </c>
      <c r="H438" s="48" t="s">
        <v>49</v>
      </c>
      <c r="I438" s="26" t="s">
        <v>1263</v>
      </c>
      <c r="J438" s="34"/>
      <c r="K438" s="34"/>
    </row>
    <row r="439" spans="1:11" ht="18" customHeight="1" x14ac:dyDescent="0.4">
      <c r="A439" s="9">
        <f t="shared" si="14"/>
        <v>438</v>
      </c>
      <c r="B439" s="16" t="s">
        <v>798</v>
      </c>
      <c r="C439" s="16"/>
      <c r="D439" s="15" t="s">
        <v>821</v>
      </c>
      <c r="E439" s="16" t="s">
        <v>351</v>
      </c>
      <c r="F439" s="16" t="s">
        <v>829</v>
      </c>
      <c r="G439" s="16" t="s">
        <v>268</v>
      </c>
      <c r="H439" s="48" t="s">
        <v>2135</v>
      </c>
      <c r="I439" s="16" t="s">
        <v>830</v>
      </c>
      <c r="J439" s="34" t="s">
        <v>2155</v>
      </c>
      <c r="K439" s="34">
        <v>31</v>
      </c>
    </row>
    <row r="440" spans="1:11" ht="18" hidden="1" customHeight="1" x14ac:dyDescent="0.4">
      <c r="A440" s="9">
        <f t="shared" si="14"/>
        <v>439</v>
      </c>
      <c r="B440" s="14" t="s">
        <v>1207</v>
      </c>
      <c r="C440" s="14" t="s">
        <v>578</v>
      </c>
      <c r="D440" s="15" t="s">
        <v>2229</v>
      </c>
      <c r="E440" s="14" t="s">
        <v>212</v>
      </c>
      <c r="F440" s="14" t="s">
        <v>1266</v>
      </c>
      <c r="G440" s="14" t="s">
        <v>1267</v>
      </c>
      <c r="H440" s="48" t="s">
        <v>49</v>
      </c>
      <c r="I440" s="14" t="s">
        <v>1268</v>
      </c>
      <c r="J440" s="34"/>
      <c r="K440" s="34"/>
    </row>
    <row r="441" spans="1:11" ht="18" customHeight="1" x14ac:dyDescent="0.4">
      <c r="A441" s="9">
        <f t="shared" si="14"/>
        <v>440</v>
      </c>
      <c r="B441" s="30" t="s">
        <v>1741</v>
      </c>
      <c r="C441" s="30"/>
      <c r="D441" s="31" t="s">
        <v>821</v>
      </c>
      <c r="E441" s="30" t="s">
        <v>1763</v>
      </c>
      <c r="F441" s="30" t="s">
        <v>244</v>
      </c>
      <c r="G441" s="30" t="s">
        <v>1764</v>
      </c>
      <c r="H441" s="46" t="s">
        <v>15</v>
      </c>
      <c r="I441" s="30" t="s">
        <v>1765</v>
      </c>
      <c r="J441" s="34" t="s">
        <v>2158</v>
      </c>
      <c r="K441" s="34">
        <v>11</v>
      </c>
    </row>
    <row r="442" spans="1:11" ht="18" hidden="1" customHeight="1" x14ac:dyDescent="0.4">
      <c r="A442" s="6">
        <f t="shared" si="14"/>
        <v>441</v>
      </c>
      <c r="B442" s="26" t="s">
        <v>1207</v>
      </c>
      <c r="C442" s="26" t="s">
        <v>1269</v>
      </c>
      <c r="D442" s="27" t="s">
        <v>2229</v>
      </c>
      <c r="E442" s="26" t="s">
        <v>362</v>
      </c>
      <c r="F442" s="26" t="s">
        <v>68</v>
      </c>
      <c r="G442" s="26"/>
      <c r="H442" s="47" t="s">
        <v>49</v>
      </c>
      <c r="I442" s="26" t="s">
        <v>1270</v>
      </c>
      <c r="J442" s="34"/>
      <c r="K442" s="34"/>
    </row>
    <row r="443" spans="1:11" ht="18" hidden="1" customHeight="1" x14ac:dyDescent="0.4">
      <c r="A443" s="6">
        <f t="shared" si="14"/>
        <v>442</v>
      </c>
      <c r="B443" s="14" t="s">
        <v>1207</v>
      </c>
      <c r="C443" s="14" t="s">
        <v>1269</v>
      </c>
      <c r="D443" s="15" t="s">
        <v>2229</v>
      </c>
      <c r="E443" s="14" t="s">
        <v>315</v>
      </c>
      <c r="F443" s="14" t="s">
        <v>1272</v>
      </c>
      <c r="G443" s="14"/>
      <c r="H443" s="49" t="s">
        <v>49</v>
      </c>
      <c r="I443" s="14" t="s">
        <v>1273</v>
      </c>
      <c r="J443" s="34"/>
      <c r="K443" s="34"/>
    </row>
    <row r="444" spans="1:11" ht="18" hidden="1" customHeight="1" x14ac:dyDescent="0.4">
      <c r="A444" s="9">
        <f t="shared" si="14"/>
        <v>443</v>
      </c>
      <c r="B444" s="14" t="s">
        <v>1207</v>
      </c>
      <c r="C444" s="14" t="s">
        <v>1269</v>
      </c>
      <c r="D444" s="15" t="s">
        <v>2229</v>
      </c>
      <c r="E444" s="14" t="s">
        <v>59</v>
      </c>
      <c r="F444" s="14" t="s">
        <v>456</v>
      </c>
      <c r="G444" s="14"/>
      <c r="H444" s="47" t="s">
        <v>49</v>
      </c>
      <c r="I444" s="14" t="s">
        <v>1271</v>
      </c>
      <c r="J444" s="34"/>
      <c r="K444" s="34"/>
    </row>
    <row r="445" spans="1:11" ht="18" hidden="1" customHeight="1" x14ac:dyDescent="0.4">
      <c r="A445" s="6">
        <f t="shared" si="14"/>
        <v>444</v>
      </c>
      <c r="B445" s="26" t="s">
        <v>1207</v>
      </c>
      <c r="C445" s="26" t="s">
        <v>1274</v>
      </c>
      <c r="D445" s="27" t="s">
        <v>2229</v>
      </c>
      <c r="E445" s="26" t="s">
        <v>360</v>
      </c>
      <c r="F445" s="26" t="s">
        <v>1278</v>
      </c>
      <c r="G445" s="26" t="s">
        <v>283</v>
      </c>
      <c r="H445" s="48" t="s">
        <v>49</v>
      </c>
      <c r="I445" s="26" t="s">
        <v>1279</v>
      </c>
      <c r="J445" s="34"/>
      <c r="K445" s="34"/>
    </row>
    <row r="446" spans="1:11" ht="18" customHeight="1" x14ac:dyDescent="0.4">
      <c r="A446" s="9">
        <f t="shared" si="14"/>
        <v>445</v>
      </c>
      <c r="B446" s="10" t="s">
        <v>1767</v>
      </c>
      <c r="C446" s="10"/>
      <c r="D446" s="11" t="s">
        <v>821</v>
      </c>
      <c r="E446" s="10" t="s">
        <v>1768</v>
      </c>
      <c r="F446" s="10" t="s">
        <v>1769</v>
      </c>
      <c r="G446" s="10" t="s">
        <v>1770</v>
      </c>
      <c r="H446" s="46" t="s">
        <v>15</v>
      </c>
      <c r="I446" s="10" t="s">
        <v>1771</v>
      </c>
      <c r="J446" s="34" t="s">
        <v>2158</v>
      </c>
      <c r="K446" s="34">
        <v>12</v>
      </c>
    </row>
    <row r="447" spans="1:11" ht="18" hidden="1" customHeight="1" x14ac:dyDescent="0.4">
      <c r="A447" s="6">
        <f t="shared" si="14"/>
        <v>446</v>
      </c>
      <c r="B447" s="14" t="s">
        <v>1207</v>
      </c>
      <c r="C447" s="14" t="s">
        <v>1281</v>
      </c>
      <c r="D447" s="15" t="s">
        <v>2229</v>
      </c>
      <c r="E447" s="14" t="s">
        <v>193</v>
      </c>
      <c r="F447" s="14" t="s">
        <v>1282</v>
      </c>
      <c r="G447" s="14"/>
      <c r="H447" s="47" t="s">
        <v>49</v>
      </c>
      <c r="I447" s="14" t="s">
        <v>1283</v>
      </c>
      <c r="J447" s="34"/>
      <c r="K447" s="34"/>
    </row>
    <row r="448" spans="1:11" ht="18" customHeight="1" x14ac:dyDescent="0.4">
      <c r="A448" s="9">
        <f t="shared" si="14"/>
        <v>447</v>
      </c>
      <c r="B448" s="30" t="s">
        <v>1675</v>
      </c>
      <c r="C448" s="30"/>
      <c r="D448" s="15" t="s">
        <v>821</v>
      </c>
      <c r="E448" s="30" t="s">
        <v>59</v>
      </c>
      <c r="F448" s="30" t="s">
        <v>1733</v>
      </c>
      <c r="G448" s="30" t="s">
        <v>1734</v>
      </c>
      <c r="H448" s="46" t="s">
        <v>15</v>
      </c>
      <c r="I448" s="30" t="s">
        <v>1735</v>
      </c>
      <c r="J448" s="34" t="s">
        <v>2158</v>
      </c>
      <c r="K448" s="34">
        <v>13</v>
      </c>
    </row>
    <row r="449" spans="1:79" ht="18" customHeight="1" x14ac:dyDescent="0.4">
      <c r="A449" s="6">
        <f t="shared" si="14"/>
        <v>448</v>
      </c>
      <c r="B449" s="14" t="s">
        <v>1207</v>
      </c>
      <c r="C449" s="14" t="s">
        <v>1281</v>
      </c>
      <c r="D449" s="15" t="s">
        <v>17</v>
      </c>
      <c r="E449" s="26" t="s">
        <v>347</v>
      </c>
      <c r="F449" s="26" t="s">
        <v>355</v>
      </c>
      <c r="G449" s="26" t="s">
        <v>123</v>
      </c>
      <c r="H449" s="46" t="s">
        <v>15</v>
      </c>
      <c r="I449" s="26" t="s">
        <v>1287</v>
      </c>
      <c r="J449" s="34" t="s">
        <v>2157</v>
      </c>
      <c r="K449" s="34">
        <v>12</v>
      </c>
    </row>
    <row r="450" spans="1:79" ht="18" customHeight="1" x14ac:dyDescent="0.4">
      <c r="A450" s="9">
        <f t="shared" si="14"/>
        <v>449</v>
      </c>
      <c r="B450" s="16" t="s">
        <v>798</v>
      </c>
      <c r="C450" s="16"/>
      <c r="D450" s="15" t="s">
        <v>821</v>
      </c>
      <c r="E450" s="16" t="s">
        <v>84</v>
      </c>
      <c r="F450" s="16" t="s">
        <v>840</v>
      </c>
      <c r="G450" s="16" t="s">
        <v>841</v>
      </c>
      <c r="H450" s="46" t="s">
        <v>15</v>
      </c>
      <c r="I450" s="16" t="s">
        <v>842</v>
      </c>
      <c r="J450" s="34" t="s">
        <v>2157</v>
      </c>
      <c r="K450" s="34">
        <v>32</v>
      </c>
    </row>
    <row r="451" spans="1:79" ht="18" customHeight="1" x14ac:dyDescent="0.4">
      <c r="A451" s="6">
        <f t="shared" si="14"/>
        <v>450</v>
      </c>
      <c r="B451" s="30" t="s">
        <v>1767</v>
      </c>
      <c r="C451" s="30" t="s">
        <v>936</v>
      </c>
      <c r="D451" s="31" t="s">
        <v>821</v>
      </c>
      <c r="E451" s="30" t="s">
        <v>1816</v>
      </c>
      <c r="F451" s="30" t="s">
        <v>1817</v>
      </c>
      <c r="G451" s="30" t="s">
        <v>310</v>
      </c>
      <c r="H451" s="46" t="s">
        <v>15</v>
      </c>
      <c r="I451" s="30" t="s">
        <v>1818</v>
      </c>
      <c r="J451" s="34" t="s">
        <v>2158</v>
      </c>
      <c r="K451" s="34">
        <v>14</v>
      </c>
    </row>
    <row r="452" spans="1:79" ht="18" customHeight="1" x14ac:dyDescent="0.4">
      <c r="A452" s="6">
        <f t="shared" si="14"/>
        <v>451</v>
      </c>
      <c r="B452" s="14" t="s">
        <v>798</v>
      </c>
      <c r="C452" s="14" t="s">
        <v>594</v>
      </c>
      <c r="D452" s="15" t="s">
        <v>821</v>
      </c>
      <c r="E452" s="14" t="s">
        <v>360</v>
      </c>
      <c r="F452" s="14" t="s">
        <v>230</v>
      </c>
      <c r="G452" s="14" t="s">
        <v>61</v>
      </c>
      <c r="H452" s="46" t="s">
        <v>15</v>
      </c>
      <c r="I452" s="14" t="s">
        <v>831</v>
      </c>
      <c r="J452" s="34" t="s">
        <v>2155</v>
      </c>
      <c r="K452" s="34">
        <v>32</v>
      </c>
    </row>
    <row r="453" spans="1:79" ht="18" hidden="1" customHeight="1" x14ac:dyDescent="0.4">
      <c r="A453" s="6">
        <f t="shared" si="14"/>
        <v>452</v>
      </c>
      <c r="B453" s="26" t="s">
        <v>1207</v>
      </c>
      <c r="C453" s="26"/>
      <c r="D453" s="27" t="s">
        <v>2229</v>
      </c>
      <c r="E453" s="26" t="s">
        <v>845</v>
      </c>
      <c r="F453" s="26" t="s">
        <v>1294</v>
      </c>
      <c r="G453" s="26"/>
      <c r="H453" s="47" t="s">
        <v>49</v>
      </c>
      <c r="I453" s="26" t="s">
        <v>1295</v>
      </c>
      <c r="J453" s="34"/>
      <c r="K453" s="34"/>
    </row>
    <row r="454" spans="1:79" ht="18" hidden="1" customHeight="1" x14ac:dyDescent="0.4">
      <c r="A454" s="9">
        <f t="shared" si="14"/>
        <v>453</v>
      </c>
      <c r="B454" s="14" t="s">
        <v>1207</v>
      </c>
      <c r="C454" s="14"/>
      <c r="D454" s="15" t="s">
        <v>2229</v>
      </c>
      <c r="E454" s="14" t="s">
        <v>59</v>
      </c>
      <c r="F454" s="14" t="s">
        <v>1296</v>
      </c>
      <c r="G454" s="14" t="s">
        <v>1297</v>
      </c>
      <c r="H454" s="48" t="s">
        <v>49</v>
      </c>
      <c r="I454" s="14" t="s">
        <v>1298</v>
      </c>
      <c r="J454" s="34"/>
      <c r="K454" s="34"/>
    </row>
    <row r="455" spans="1:79" ht="18" customHeight="1" x14ac:dyDescent="0.4">
      <c r="A455" s="9"/>
      <c r="B455" s="10"/>
      <c r="C455" s="10"/>
      <c r="D455" s="15" t="s">
        <v>821</v>
      </c>
      <c r="E455" s="10" t="s">
        <v>1725</v>
      </c>
      <c r="F455" s="10" t="s">
        <v>123</v>
      </c>
      <c r="G455" s="10" t="s">
        <v>2201</v>
      </c>
      <c r="H455" s="48" t="s">
        <v>15</v>
      </c>
      <c r="I455" s="10" t="s">
        <v>2200</v>
      </c>
      <c r="J455" s="34" t="s">
        <v>2155</v>
      </c>
      <c r="K455" s="34">
        <v>33</v>
      </c>
    </row>
    <row r="456" spans="1:79" ht="18" hidden="1" customHeight="1" x14ac:dyDescent="0.4">
      <c r="A456" s="9">
        <f t="shared" ref="A456:A487" si="15">IF(COUNTA(B456:I456)=0,"",ROW()-1)</f>
        <v>455</v>
      </c>
      <c r="B456" s="14" t="s">
        <v>1207</v>
      </c>
      <c r="C456" s="14"/>
      <c r="D456" s="15" t="s">
        <v>2229</v>
      </c>
      <c r="E456" s="14" t="s">
        <v>351</v>
      </c>
      <c r="F456" s="14" t="s">
        <v>1303</v>
      </c>
      <c r="G456" s="14"/>
      <c r="H456" s="48" t="s">
        <v>49</v>
      </c>
      <c r="I456" s="14" t="s">
        <v>1304</v>
      </c>
      <c r="J456" s="34"/>
      <c r="K456" s="34"/>
    </row>
    <row r="457" spans="1:79" ht="18" hidden="1" customHeight="1" x14ac:dyDescent="0.4">
      <c r="A457" s="6">
        <f t="shared" si="15"/>
        <v>456</v>
      </c>
      <c r="B457" s="26" t="s">
        <v>1207</v>
      </c>
      <c r="C457" s="26" t="s">
        <v>65</v>
      </c>
      <c r="D457" s="27" t="s">
        <v>2229</v>
      </c>
      <c r="E457" s="26" t="s">
        <v>347</v>
      </c>
      <c r="F457" s="26" t="s">
        <v>1305</v>
      </c>
      <c r="G457" s="26" t="s">
        <v>1306</v>
      </c>
      <c r="H457" s="48" t="s">
        <v>49</v>
      </c>
      <c r="I457" s="26" t="s">
        <v>1307</v>
      </c>
      <c r="J457" s="34"/>
      <c r="K457" s="34"/>
    </row>
    <row r="458" spans="1:79" ht="18" hidden="1" customHeight="1" x14ac:dyDescent="0.4">
      <c r="A458" s="9">
        <f t="shared" si="15"/>
        <v>457</v>
      </c>
      <c r="B458" s="26" t="s">
        <v>1207</v>
      </c>
      <c r="C458" s="26"/>
      <c r="D458" s="27" t="s">
        <v>2229</v>
      </c>
      <c r="E458" s="26" t="s">
        <v>362</v>
      </c>
      <c r="F458" s="26" t="s">
        <v>1308</v>
      </c>
      <c r="G458" s="26" t="s">
        <v>1309</v>
      </c>
      <c r="H458" s="48" t="s">
        <v>49</v>
      </c>
      <c r="I458" s="26" t="s">
        <v>1310</v>
      </c>
      <c r="J458" s="34"/>
      <c r="K458" s="34"/>
    </row>
    <row r="459" spans="1:79" ht="18" hidden="1" customHeight="1" x14ac:dyDescent="0.4">
      <c r="A459" s="6">
        <f t="shared" si="15"/>
        <v>458</v>
      </c>
      <c r="B459" s="26" t="s">
        <v>1207</v>
      </c>
      <c r="C459" s="26" t="s">
        <v>493</v>
      </c>
      <c r="D459" s="27" t="s">
        <v>2229</v>
      </c>
      <c r="E459" s="26" t="s">
        <v>1299</v>
      </c>
      <c r="F459" s="26" t="s">
        <v>1300</v>
      </c>
      <c r="G459" s="26" t="s">
        <v>1301</v>
      </c>
      <c r="H459" s="47" t="s">
        <v>49</v>
      </c>
      <c r="I459" s="26" t="s">
        <v>1302</v>
      </c>
      <c r="J459" s="34"/>
      <c r="K459" s="34"/>
    </row>
    <row r="460" spans="1:79" ht="18" hidden="1" customHeight="1" x14ac:dyDescent="0.4">
      <c r="A460" s="9">
        <f t="shared" si="15"/>
        <v>459</v>
      </c>
      <c r="B460" s="14" t="s">
        <v>1207</v>
      </c>
      <c r="C460" s="14" t="s">
        <v>493</v>
      </c>
      <c r="D460" s="15" t="s">
        <v>2229</v>
      </c>
      <c r="E460" s="14" t="s">
        <v>46</v>
      </c>
      <c r="F460" s="14" t="s">
        <v>1314</v>
      </c>
      <c r="G460" s="14" t="s">
        <v>1315</v>
      </c>
      <c r="H460" s="48" t="s">
        <v>49</v>
      </c>
      <c r="I460" s="14" t="s">
        <v>1316</v>
      </c>
      <c r="J460" s="34"/>
      <c r="K460" s="34"/>
    </row>
    <row r="461" spans="1:79" ht="18" hidden="1" customHeight="1" x14ac:dyDescent="0.4">
      <c r="A461" s="6">
        <f t="shared" si="15"/>
        <v>460</v>
      </c>
      <c r="B461" s="14" t="s">
        <v>1207</v>
      </c>
      <c r="C461" s="14"/>
      <c r="D461" s="15" t="s">
        <v>2229</v>
      </c>
      <c r="E461" s="14" t="s">
        <v>46</v>
      </c>
      <c r="F461" s="14" t="s">
        <v>1317</v>
      </c>
      <c r="G461" s="14" t="s">
        <v>241</v>
      </c>
      <c r="H461" s="47" t="s">
        <v>49</v>
      </c>
      <c r="I461" s="14"/>
      <c r="J461" s="34"/>
      <c r="K461" s="34"/>
    </row>
    <row r="462" spans="1:79" ht="18" hidden="1" customHeight="1" x14ac:dyDescent="0.4">
      <c r="A462" s="9">
        <f t="shared" si="15"/>
        <v>461</v>
      </c>
      <c r="B462" s="14" t="s">
        <v>1207</v>
      </c>
      <c r="C462" s="14"/>
      <c r="D462" s="15" t="s">
        <v>2229</v>
      </c>
      <c r="E462" s="14" t="s">
        <v>357</v>
      </c>
      <c r="F462" s="14" t="s">
        <v>1318</v>
      </c>
      <c r="G462" s="14" t="s">
        <v>1319</v>
      </c>
      <c r="H462" s="48" t="s">
        <v>49</v>
      </c>
      <c r="I462" s="14" t="s">
        <v>1320</v>
      </c>
      <c r="J462" s="34"/>
      <c r="K462" s="34"/>
    </row>
    <row r="463" spans="1:79" ht="18" customHeight="1" x14ac:dyDescent="0.4">
      <c r="A463" s="9">
        <f t="shared" si="15"/>
        <v>462</v>
      </c>
      <c r="B463" s="10" t="s">
        <v>10</v>
      </c>
      <c r="C463" s="10" t="s">
        <v>442</v>
      </c>
      <c r="D463" s="11" t="s">
        <v>821</v>
      </c>
      <c r="E463" s="10" t="s">
        <v>476</v>
      </c>
      <c r="F463" s="10" t="s">
        <v>545</v>
      </c>
      <c r="G463" s="10" t="s">
        <v>123</v>
      </c>
      <c r="H463" s="47" t="s">
        <v>15</v>
      </c>
      <c r="I463" s="10" t="s">
        <v>546</v>
      </c>
      <c r="J463" s="34" t="s">
        <v>2155</v>
      </c>
      <c r="K463" s="34">
        <v>34</v>
      </c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</row>
    <row r="464" spans="1:79" ht="18" customHeight="1" x14ac:dyDescent="0.4">
      <c r="A464" s="9">
        <f t="shared" si="15"/>
        <v>463</v>
      </c>
      <c r="B464" s="26" t="s">
        <v>1207</v>
      </c>
      <c r="C464" s="26" t="s">
        <v>594</v>
      </c>
      <c r="D464" s="15" t="s">
        <v>821</v>
      </c>
      <c r="E464" s="26" t="s">
        <v>46</v>
      </c>
      <c r="F464" s="26" t="s">
        <v>1388</v>
      </c>
      <c r="G464" s="26" t="s">
        <v>1389</v>
      </c>
      <c r="H464" s="46" t="s">
        <v>15</v>
      </c>
      <c r="I464" s="26" t="s">
        <v>1377</v>
      </c>
      <c r="J464" s="34" t="s">
        <v>2155</v>
      </c>
      <c r="K464" s="34">
        <v>35</v>
      </c>
    </row>
    <row r="465" spans="1:11" ht="18" customHeight="1" x14ac:dyDescent="0.4">
      <c r="A465" s="6">
        <f t="shared" si="15"/>
        <v>464</v>
      </c>
      <c r="B465" s="7" t="s">
        <v>10</v>
      </c>
      <c r="C465" s="7" t="s">
        <v>427</v>
      </c>
      <c r="D465" s="15" t="s">
        <v>17</v>
      </c>
      <c r="E465" s="7" t="s">
        <v>433</v>
      </c>
      <c r="F465" s="7" t="s">
        <v>434</v>
      </c>
      <c r="G465" s="7" t="s">
        <v>435</v>
      </c>
      <c r="H465" s="46" t="s">
        <v>15</v>
      </c>
      <c r="I465" s="7" t="s">
        <v>436</v>
      </c>
      <c r="J465" s="34" t="s">
        <v>2156</v>
      </c>
      <c r="K465" s="34">
        <v>45</v>
      </c>
    </row>
    <row r="466" spans="1:11" ht="18" customHeight="1" x14ac:dyDescent="0.4">
      <c r="A466" s="9">
        <f t="shared" si="15"/>
        <v>465</v>
      </c>
      <c r="B466" s="14" t="s">
        <v>1207</v>
      </c>
      <c r="C466" s="14" t="s">
        <v>32</v>
      </c>
      <c r="D466" s="15" t="s">
        <v>17</v>
      </c>
      <c r="E466" s="14" t="s">
        <v>1326</v>
      </c>
      <c r="F466" s="14" t="s">
        <v>1327</v>
      </c>
      <c r="G466" s="14" t="s">
        <v>1082</v>
      </c>
      <c r="H466" s="46" t="s">
        <v>15</v>
      </c>
      <c r="I466" s="14" t="s">
        <v>1328</v>
      </c>
      <c r="J466" s="34" t="s">
        <v>2158</v>
      </c>
      <c r="K466" s="34">
        <v>41</v>
      </c>
    </row>
    <row r="467" spans="1:11" ht="18" hidden="1" customHeight="1" x14ac:dyDescent="0.4">
      <c r="A467" s="6">
        <f t="shared" si="15"/>
        <v>466</v>
      </c>
      <c r="B467" s="14" t="s">
        <v>1207</v>
      </c>
      <c r="C467" s="14" t="s">
        <v>65</v>
      </c>
      <c r="D467" s="15" t="s">
        <v>2229</v>
      </c>
      <c r="E467" s="14" t="s">
        <v>351</v>
      </c>
      <c r="F467" s="14" t="s">
        <v>1329</v>
      </c>
      <c r="G467" s="14" t="s">
        <v>1330</v>
      </c>
      <c r="H467" s="48" t="s">
        <v>49</v>
      </c>
      <c r="I467" s="26" t="s">
        <v>1331</v>
      </c>
      <c r="J467" s="34"/>
      <c r="K467" s="34"/>
    </row>
    <row r="468" spans="1:11" ht="18" customHeight="1" x14ac:dyDescent="0.4">
      <c r="A468" s="9">
        <f t="shared" si="15"/>
        <v>467</v>
      </c>
      <c r="B468" s="16" t="s">
        <v>798</v>
      </c>
      <c r="C468" s="16" t="s">
        <v>427</v>
      </c>
      <c r="D468" s="15" t="s">
        <v>17</v>
      </c>
      <c r="E468" s="16" t="s">
        <v>464</v>
      </c>
      <c r="F468" s="16" t="s">
        <v>825</v>
      </c>
      <c r="G468" s="16" t="s">
        <v>596</v>
      </c>
      <c r="H468" s="46" t="s">
        <v>15</v>
      </c>
      <c r="I468" s="16" t="s">
        <v>826</v>
      </c>
      <c r="J468" s="34" t="s">
        <v>2156</v>
      </c>
      <c r="K468" s="34">
        <v>44</v>
      </c>
    </row>
    <row r="469" spans="1:11" ht="18" customHeight="1" x14ac:dyDescent="0.4">
      <c r="A469" s="9">
        <f t="shared" si="15"/>
        <v>468</v>
      </c>
      <c r="B469" s="10" t="s">
        <v>1767</v>
      </c>
      <c r="C469" s="10" t="s">
        <v>936</v>
      </c>
      <c r="D469" s="11" t="s">
        <v>821</v>
      </c>
      <c r="E469" s="10" t="s">
        <v>59</v>
      </c>
      <c r="F469" s="10" t="s">
        <v>1819</v>
      </c>
      <c r="G469" s="10" t="s">
        <v>1814</v>
      </c>
      <c r="H469" s="46" t="s">
        <v>15</v>
      </c>
      <c r="I469" s="10" t="s">
        <v>1820</v>
      </c>
      <c r="J469" s="34" t="s">
        <v>2158</v>
      </c>
      <c r="K469" s="34">
        <v>15</v>
      </c>
    </row>
    <row r="470" spans="1:11" ht="18" hidden="1" customHeight="1" x14ac:dyDescent="0.4">
      <c r="A470" s="9">
        <f t="shared" si="15"/>
        <v>469</v>
      </c>
      <c r="B470" s="26" t="s">
        <v>1207</v>
      </c>
      <c r="C470" s="26"/>
      <c r="D470" s="27" t="s">
        <v>2229</v>
      </c>
      <c r="E470" s="26" t="s">
        <v>46</v>
      </c>
      <c r="F470" s="26" t="s">
        <v>135</v>
      </c>
      <c r="G470" s="26"/>
      <c r="H470" s="48" t="s">
        <v>49</v>
      </c>
      <c r="I470" s="26" t="s">
        <v>1335</v>
      </c>
      <c r="J470" s="34"/>
      <c r="K470" s="34"/>
    </row>
    <row r="471" spans="1:11" ht="18" customHeight="1" x14ac:dyDescent="0.4">
      <c r="A471" s="6">
        <f t="shared" si="15"/>
        <v>470</v>
      </c>
      <c r="B471" s="30" t="s">
        <v>1767</v>
      </c>
      <c r="C471" s="30" t="s">
        <v>532</v>
      </c>
      <c r="D471" s="31" t="s">
        <v>821</v>
      </c>
      <c r="E471" s="30" t="s">
        <v>413</v>
      </c>
      <c r="F471" s="30" t="s">
        <v>1821</v>
      </c>
      <c r="G471" s="30" t="s">
        <v>1807</v>
      </c>
      <c r="H471" s="46" t="s">
        <v>15</v>
      </c>
      <c r="I471" s="30" t="s">
        <v>1822</v>
      </c>
      <c r="J471" s="34" t="s">
        <v>2158</v>
      </c>
      <c r="K471" s="34">
        <v>16</v>
      </c>
    </row>
    <row r="472" spans="1:11" ht="18" customHeight="1" x14ac:dyDescent="0.4">
      <c r="A472" s="6">
        <f t="shared" si="15"/>
        <v>471</v>
      </c>
      <c r="B472" s="26" t="s">
        <v>1207</v>
      </c>
      <c r="C472" s="26" t="s">
        <v>427</v>
      </c>
      <c r="D472" s="15" t="s">
        <v>17</v>
      </c>
      <c r="E472" s="26" t="s">
        <v>360</v>
      </c>
      <c r="F472" s="26" t="s">
        <v>1379</v>
      </c>
      <c r="G472" s="26" t="s">
        <v>1380</v>
      </c>
      <c r="H472" s="46" t="s">
        <v>15</v>
      </c>
      <c r="I472" s="26" t="s">
        <v>1377</v>
      </c>
      <c r="J472" s="34" t="s">
        <v>2156</v>
      </c>
      <c r="K472" s="34">
        <v>43</v>
      </c>
    </row>
    <row r="473" spans="1:11" ht="18" customHeight="1" x14ac:dyDescent="0.4">
      <c r="A473" s="6">
        <f t="shared" si="15"/>
        <v>472</v>
      </c>
      <c r="B473" s="14" t="s">
        <v>798</v>
      </c>
      <c r="C473" s="14"/>
      <c r="D473" s="15" t="s">
        <v>821</v>
      </c>
      <c r="E473" s="14" t="s">
        <v>843</v>
      </c>
      <c r="F473" s="14" t="s">
        <v>844</v>
      </c>
      <c r="G473" s="14"/>
      <c r="H473" s="46" t="s">
        <v>15</v>
      </c>
      <c r="I473" s="14" t="s">
        <v>842</v>
      </c>
      <c r="J473" s="34" t="s">
        <v>2157</v>
      </c>
      <c r="K473" s="34">
        <v>33</v>
      </c>
    </row>
    <row r="474" spans="1:11" ht="18" customHeight="1" x14ac:dyDescent="0.4">
      <c r="A474" s="9">
        <f t="shared" si="15"/>
        <v>473</v>
      </c>
      <c r="B474" s="14" t="s">
        <v>1207</v>
      </c>
      <c r="C474" s="14" t="s">
        <v>594</v>
      </c>
      <c r="D474" s="15" t="s">
        <v>821</v>
      </c>
      <c r="E474" s="14" t="s">
        <v>865</v>
      </c>
      <c r="F474" s="14" t="s">
        <v>1351</v>
      </c>
      <c r="G474" s="14" t="s">
        <v>1352</v>
      </c>
      <c r="H474" s="46" t="s">
        <v>15</v>
      </c>
      <c r="I474" s="14" t="s">
        <v>1353</v>
      </c>
      <c r="J474" s="34" t="s">
        <v>2155</v>
      </c>
      <c r="K474" s="34">
        <v>36</v>
      </c>
    </row>
    <row r="475" spans="1:11" ht="18" customHeight="1" x14ac:dyDescent="0.4">
      <c r="A475" s="6">
        <f t="shared" si="15"/>
        <v>474</v>
      </c>
      <c r="B475" s="14" t="s">
        <v>1207</v>
      </c>
      <c r="C475" s="14"/>
      <c r="D475" s="15" t="s">
        <v>821</v>
      </c>
      <c r="E475" s="14" t="s">
        <v>1342</v>
      </c>
      <c r="F475" s="14" t="s">
        <v>1343</v>
      </c>
      <c r="G475" s="14" t="s">
        <v>950</v>
      </c>
      <c r="H475" s="46" t="s">
        <v>15</v>
      </c>
      <c r="I475" s="14" t="s">
        <v>1344</v>
      </c>
      <c r="J475" s="34" t="s">
        <v>2155</v>
      </c>
      <c r="K475" s="34">
        <v>37</v>
      </c>
    </row>
    <row r="476" spans="1:11" ht="18" customHeight="1" x14ac:dyDescent="0.4">
      <c r="A476" s="9">
        <f t="shared" si="15"/>
        <v>475</v>
      </c>
      <c r="B476" s="16" t="s">
        <v>798</v>
      </c>
      <c r="C476" s="16"/>
      <c r="D476" s="15" t="s">
        <v>821</v>
      </c>
      <c r="E476" s="16" t="s">
        <v>845</v>
      </c>
      <c r="F476" s="16" t="s">
        <v>846</v>
      </c>
      <c r="G476" s="16" t="s">
        <v>796</v>
      </c>
      <c r="H476" s="46" t="s">
        <v>15</v>
      </c>
      <c r="I476" s="16" t="s">
        <v>847</v>
      </c>
      <c r="J476" s="34" t="s">
        <v>2157</v>
      </c>
      <c r="K476" s="34">
        <v>34</v>
      </c>
    </row>
    <row r="477" spans="1:11" ht="18" customHeight="1" x14ac:dyDescent="0.4">
      <c r="A477" s="6">
        <f t="shared" si="15"/>
        <v>476</v>
      </c>
      <c r="B477" s="26" t="s">
        <v>1207</v>
      </c>
      <c r="C477" s="26"/>
      <c r="D477" s="27" t="s">
        <v>17</v>
      </c>
      <c r="E477" s="26" t="s">
        <v>405</v>
      </c>
      <c r="F477" s="26" t="s">
        <v>283</v>
      </c>
      <c r="G477" s="26"/>
      <c r="H477" s="46" t="s">
        <v>15</v>
      </c>
      <c r="I477" s="26" t="s">
        <v>1354</v>
      </c>
      <c r="J477" s="34" t="s">
        <v>2157</v>
      </c>
      <c r="K477" s="34">
        <v>37</v>
      </c>
    </row>
    <row r="478" spans="1:11" ht="18" customHeight="1" x14ac:dyDescent="0.4">
      <c r="A478" s="9">
        <f t="shared" si="15"/>
        <v>477</v>
      </c>
      <c r="B478" s="26" t="s">
        <v>1207</v>
      </c>
      <c r="C478" s="26"/>
      <c r="D478" s="15" t="s">
        <v>17</v>
      </c>
      <c r="E478" s="26" t="s">
        <v>1355</v>
      </c>
      <c r="F478" s="26" t="s">
        <v>949</v>
      </c>
      <c r="G478" s="26"/>
      <c r="H478" s="46" t="s">
        <v>15</v>
      </c>
      <c r="I478" s="26" t="s">
        <v>1356</v>
      </c>
      <c r="J478" s="34" t="s">
        <v>2157</v>
      </c>
      <c r="K478" s="34">
        <v>36</v>
      </c>
    </row>
    <row r="479" spans="1:11" ht="18" customHeight="1" x14ac:dyDescent="0.4">
      <c r="A479" s="9">
        <f t="shared" si="15"/>
        <v>478</v>
      </c>
      <c r="B479" s="26" t="s">
        <v>1207</v>
      </c>
      <c r="C479" s="14" t="s">
        <v>32</v>
      </c>
      <c r="D479" s="15" t="s">
        <v>821</v>
      </c>
      <c r="E479" s="14" t="s">
        <v>1404</v>
      </c>
      <c r="F479" s="14" t="s">
        <v>1213</v>
      </c>
      <c r="G479" s="14" t="s">
        <v>1405</v>
      </c>
      <c r="H479" s="46" t="s">
        <v>15</v>
      </c>
      <c r="I479" s="14" t="s">
        <v>1406</v>
      </c>
      <c r="J479" s="34" t="s">
        <v>2155</v>
      </c>
      <c r="K479" s="34">
        <v>38</v>
      </c>
    </row>
    <row r="480" spans="1:11" ht="18" hidden="1" customHeight="1" x14ac:dyDescent="0.4">
      <c r="A480" s="9">
        <f t="shared" si="15"/>
        <v>479</v>
      </c>
      <c r="B480" s="26" t="s">
        <v>1207</v>
      </c>
      <c r="C480" s="26"/>
      <c r="D480" s="27" t="s">
        <v>2229</v>
      </c>
      <c r="E480" s="26" t="s">
        <v>324</v>
      </c>
      <c r="F480" s="26" t="s">
        <v>96</v>
      </c>
      <c r="G480" s="26"/>
      <c r="H480" s="48" t="s">
        <v>49</v>
      </c>
      <c r="I480" s="26" t="s">
        <v>1357</v>
      </c>
      <c r="J480" s="34"/>
      <c r="K480" s="34"/>
    </row>
    <row r="481" spans="1:11" ht="18" customHeight="1" x14ac:dyDescent="0.4">
      <c r="A481" s="9">
        <f t="shared" si="15"/>
        <v>480</v>
      </c>
      <c r="B481" s="26" t="s">
        <v>1207</v>
      </c>
      <c r="C481" s="26"/>
      <c r="D481" s="27" t="s">
        <v>821</v>
      </c>
      <c r="E481" s="26" t="s">
        <v>1400</v>
      </c>
      <c r="F481" s="26" t="s">
        <v>123</v>
      </c>
      <c r="G481" s="26"/>
      <c r="H481" s="49" t="s">
        <v>15</v>
      </c>
      <c r="I481" s="14" t="s">
        <v>1401</v>
      </c>
      <c r="J481" s="34" t="s">
        <v>2155</v>
      </c>
      <c r="K481" s="34">
        <v>39</v>
      </c>
    </row>
    <row r="482" spans="1:11" ht="18" customHeight="1" x14ac:dyDescent="0.4">
      <c r="A482" s="6">
        <f t="shared" si="15"/>
        <v>481</v>
      </c>
      <c r="B482" s="20" t="s">
        <v>917</v>
      </c>
      <c r="C482" s="20" t="s">
        <v>923</v>
      </c>
      <c r="D482" s="15" t="s">
        <v>821</v>
      </c>
      <c r="E482" s="20" t="s">
        <v>90</v>
      </c>
      <c r="F482" s="20" t="s">
        <v>984</v>
      </c>
      <c r="G482" s="20"/>
      <c r="H482" s="46" t="s">
        <v>15</v>
      </c>
      <c r="I482" s="20" t="s">
        <v>985</v>
      </c>
      <c r="J482" s="34" t="s">
        <v>2156</v>
      </c>
      <c r="K482" s="34">
        <v>43</v>
      </c>
    </row>
    <row r="483" spans="1:11" ht="18" customHeight="1" x14ac:dyDescent="0.4">
      <c r="A483" s="6">
        <f t="shared" si="15"/>
        <v>482</v>
      </c>
      <c r="B483" s="20" t="s">
        <v>917</v>
      </c>
      <c r="C483" s="20" t="s">
        <v>923</v>
      </c>
      <c r="D483" s="15" t="s">
        <v>821</v>
      </c>
      <c r="E483" s="20" t="s">
        <v>989</v>
      </c>
      <c r="F483" s="20" t="s">
        <v>990</v>
      </c>
      <c r="G483" s="20"/>
      <c r="H483" s="46" t="s">
        <v>15</v>
      </c>
      <c r="I483" s="20" t="s">
        <v>991</v>
      </c>
      <c r="J483" s="34" t="s">
        <v>2156</v>
      </c>
      <c r="K483" s="34">
        <v>44</v>
      </c>
    </row>
    <row r="484" spans="1:11" ht="18" customHeight="1" x14ac:dyDescent="0.4">
      <c r="A484" s="6">
        <f t="shared" si="15"/>
        <v>483</v>
      </c>
      <c r="B484" s="20" t="s">
        <v>917</v>
      </c>
      <c r="C484" s="20" t="s">
        <v>918</v>
      </c>
      <c r="D484" s="15" t="s">
        <v>821</v>
      </c>
      <c r="E484" s="20" t="s">
        <v>1001</v>
      </c>
      <c r="F484" s="20" t="s">
        <v>1002</v>
      </c>
      <c r="G484" s="20"/>
      <c r="H484" s="46" t="s">
        <v>15</v>
      </c>
      <c r="I484" s="20" t="s">
        <v>1003</v>
      </c>
      <c r="J484" s="34" t="s">
        <v>2156</v>
      </c>
      <c r="K484" s="34">
        <v>45</v>
      </c>
    </row>
    <row r="485" spans="1:11" ht="18" hidden="1" customHeight="1" x14ac:dyDescent="0.4">
      <c r="A485" s="6">
        <f t="shared" si="15"/>
        <v>484</v>
      </c>
      <c r="B485" s="14" t="s">
        <v>1207</v>
      </c>
      <c r="C485" s="14"/>
      <c r="D485" s="15" t="s">
        <v>2229</v>
      </c>
      <c r="E485" s="50" t="s">
        <v>327</v>
      </c>
      <c r="F485" s="50" t="s">
        <v>639</v>
      </c>
      <c r="G485" s="50" t="s">
        <v>440</v>
      </c>
      <c r="H485" s="47" t="s">
        <v>49</v>
      </c>
      <c r="I485" s="14" t="s">
        <v>1365</v>
      </c>
      <c r="J485" s="34"/>
      <c r="K485" s="34"/>
    </row>
    <row r="486" spans="1:11" ht="18" customHeight="1" x14ac:dyDescent="0.4">
      <c r="A486" s="9">
        <f t="shared" si="15"/>
        <v>485</v>
      </c>
      <c r="B486" s="14" t="s">
        <v>917</v>
      </c>
      <c r="C486" s="14" t="s">
        <v>923</v>
      </c>
      <c r="D486" s="15" t="s">
        <v>821</v>
      </c>
      <c r="E486" s="14" t="s">
        <v>875</v>
      </c>
      <c r="F486" s="14" t="s">
        <v>1004</v>
      </c>
      <c r="G486" s="14" t="s">
        <v>1005</v>
      </c>
      <c r="H486" s="46" t="s">
        <v>15</v>
      </c>
      <c r="I486" s="14" t="s">
        <v>1006</v>
      </c>
      <c r="J486" s="34" t="s">
        <v>2156</v>
      </c>
      <c r="K486" s="34">
        <v>46</v>
      </c>
    </row>
    <row r="487" spans="1:11" ht="18" hidden="1" customHeight="1" x14ac:dyDescent="0.4">
      <c r="A487" s="6">
        <f t="shared" si="15"/>
        <v>486</v>
      </c>
      <c r="B487" s="14" t="s">
        <v>1207</v>
      </c>
      <c r="C487" s="14"/>
      <c r="D487" s="15" t="s">
        <v>2229</v>
      </c>
      <c r="E487" s="14" t="s">
        <v>24</v>
      </c>
      <c r="F487" s="14" t="s">
        <v>1370</v>
      </c>
      <c r="G487" s="14" t="s">
        <v>1371</v>
      </c>
      <c r="H487" s="47" t="s">
        <v>49</v>
      </c>
      <c r="I487" s="14" t="s">
        <v>1372</v>
      </c>
      <c r="J487" s="34"/>
      <c r="K487" s="34"/>
    </row>
    <row r="488" spans="1:11" ht="18" customHeight="1" x14ac:dyDescent="0.4">
      <c r="A488" s="9">
        <f t="shared" ref="A488:A519" si="16">IF(COUNTA(B488:I488)=0,"",ROW()-1)</f>
        <v>487</v>
      </c>
      <c r="B488" s="14" t="s">
        <v>917</v>
      </c>
      <c r="C488" s="14" t="s">
        <v>923</v>
      </c>
      <c r="D488" s="15" t="s">
        <v>821</v>
      </c>
      <c r="E488" s="14" t="s">
        <v>46</v>
      </c>
      <c r="F488" s="14" t="s">
        <v>406</v>
      </c>
      <c r="G488" s="14" t="s">
        <v>388</v>
      </c>
      <c r="H488" s="46" t="s">
        <v>15</v>
      </c>
      <c r="I488" s="14" t="s">
        <v>1028</v>
      </c>
      <c r="J488" s="34" t="s">
        <v>2156</v>
      </c>
      <c r="K488" s="34">
        <v>47</v>
      </c>
    </row>
    <row r="489" spans="1:11" ht="18" customHeight="1" x14ac:dyDescent="0.4">
      <c r="A489" s="6">
        <f t="shared" si="16"/>
        <v>488</v>
      </c>
      <c r="B489" s="26" t="s">
        <v>1207</v>
      </c>
      <c r="C489" s="26" t="s">
        <v>442</v>
      </c>
      <c r="D489" s="27" t="s">
        <v>17</v>
      </c>
      <c r="E489" s="26" t="s">
        <v>324</v>
      </c>
      <c r="F489" s="26" t="s">
        <v>1376</v>
      </c>
      <c r="G489" s="26" t="s">
        <v>511</v>
      </c>
      <c r="H489" s="46" t="s">
        <v>15</v>
      </c>
      <c r="I489" s="26" t="s">
        <v>1377</v>
      </c>
      <c r="J489" s="34" t="s">
        <v>2157</v>
      </c>
      <c r="K489" s="34">
        <v>14</v>
      </c>
    </row>
    <row r="490" spans="1:11" ht="18" customHeight="1" x14ac:dyDescent="0.4">
      <c r="A490" s="9">
        <f t="shared" si="16"/>
        <v>489</v>
      </c>
      <c r="B490" s="14" t="s">
        <v>798</v>
      </c>
      <c r="C490" s="14"/>
      <c r="D490" s="15" t="s">
        <v>821</v>
      </c>
      <c r="E490" s="14" t="s">
        <v>405</v>
      </c>
      <c r="F490" s="14" t="s">
        <v>270</v>
      </c>
      <c r="G490" s="14" t="s">
        <v>851</v>
      </c>
      <c r="H490" s="46" t="s">
        <v>15</v>
      </c>
      <c r="I490" s="14" t="s">
        <v>852</v>
      </c>
      <c r="J490" s="34" t="s">
        <v>2157</v>
      </c>
      <c r="K490" s="34">
        <v>35</v>
      </c>
    </row>
    <row r="491" spans="1:11" ht="18" customHeight="1" x14ac:dyDescent="0.4">
      <c r="A491" s="6">
        <f t="shared" si="16"/>
        <v>490</v>
      </c>
      <c r="B491" s="28" t="s">
        <v>1479</v>
      </c>
      <c r="C491" s="28" t="s">
        <v>594</v>
      </c>
      <c r="D491" s="15" t="s">
        <v>821</v>
      </c>
      <c r="E491" s="28" t="s">
        <v>1243</v>
      </c>
      <c r="F491" s="28" t="s">
        <v>900</v>
      </c>
      <c r="G491" s="28" t="s">
        <v>1616</v>
      </c>
      <c r="H491" s="46" t="s">
        <v>15</v>
      </c>
      <c r="I491" s="28" t="s">
        <v>1617</v>
      </c>
      <c r="J491" s="34" t="s">
        <v>2155</v>
      </c>
      <c r="K491" s="34">
        <v>40</v>
      </c>
    </row>
    <row r="492" spans="1:11" ht="18" customHeight="1" x14ac:dyDescent="0.4">
      <c r="A492" s="9">
        <f t="shared" si="16"/>
        <v>491</v>
      </c>
      <c r="B492" s="28" t="s">
        <v>1479</v>
      </c>
      <c r="C492" s="28"/>
      <c r="D492" s="15" t="s">
        <v>821</v>
      </c>
      <c r="E492" s="28" t="s">
        <v>1618</v>
      </c>
      <c r="F492" s="28" t="s">
        <v>1619</v>
      </c>
      <c r="G492" s="28"/>
      <c r="H492" s="46" t="s">
        <v>15</v>
      </c>
      <c r="I492" s="28" t="s">
        <v>1620</v>
      </c>
      <c r="J492" s="34" t="s">
        <v>2155</v>
      </c>
      <c r="K492" s="34">
        <v>41</v>
      </c>
    </row>
    <row r="493" spans="1:11" ht="18" customHeight="1" x14ac:dyDescent="0.4">
      <c r="A493" s="9">
        <f t="shared" si="16"/>
        <v>492</v>
      </c>
      <c r="B493" s="28" t="s">
        <v>1479</v>
      </c>
      <c r="C493" s="28"/>
      <c r="D493" s="15" t="s">
        <v>821</v>
      </c>
      <c r="E493" s="28" t="s">
        <v>464</v>
      </c>
      <c r="F493" s="28" t="s">
        <v>82</v>
      </c>
      <c r="G493" s="28" t="s">
        <v>1623</v>
      </c>
      <c r="H493" s="46" t="s">
        <v>15</v>
      </c>
      <c r="I493" s="28" t="s">
        <v>1624</v>
      </c>
      <c r="J493" s="34" t="s">
        <v>2155</v>
      </c>
      <c r="K493" s="34">
        <v>42</v>
      </c>
    </row>
    <row r="494" spans="1:11" ht="18" hidden="1" customHeight="1" x14ac:dyDescent="0.4">
      <c r="A494" s="9">
        <f t="shared" si="16"/>
        <v>493</v>
      </c>
      <c r="B494" s="26" t="s">
        <v>1207</v>
      </c>
      <c r="C494" s="26" t="s">
        <v>427</v>
      </c>
      <c r="D494" s="27" t="s">
        <v>2229</v>
      </c>
      <c r="E494" s="26" t="s">
        <v>650</v>
      </c>
      <c r="F494" s="26" t="s">
        <v>687</v>
      </c>
      <c r="G494" s="26" t="s">
        <v>1384</v>
      </c>
      <c r="H494" s="48" t="s">
        <v>49</v>
      </c>
      <c r="I494" s="26" t="s">
        <v>1377</v>
      </c>
      <c r="J494" s="34"/>
      <c r="K494" s="34"/>
    </row>
    <row r="495" spans="1:11" ht="18" hidden="1" customHeight="1" x14ac:dyDescent="0.4">
      <c r="A495" s="6">
        <f t="shared" si="16"/>
        <v>494</v>
      </c>
      <c r="B495" s="26" t="s">
        <v>1207</v>
      </c>
      <c r="C495" s="26" t="s">
        <v>427</v>
      </c>
      <c r="D495" s="27" t="s">
        <v>2229</v>
      </c>
      <c r="E495" s="26" t="s">
        <v>1385</v>
      </c>
      <c r="F495" s="26" t="s">
        <v>123</v>
      </c>
      <c r="G495" s="26" t="s">
        <v>620</v>
      </c>
      <c r="H495" s="47" t="s">
        <v>49</v>
      </c>
      <c r="I495" s="26" t="s">
        <v>1377</v>
      </c>
      <c r="J495" s="34"/>
      <c r="K495" s="34"/>
    </row>
    <row r="496" spans="1:11" ht="18" customHeight="1" x14ac:dyDescent="0.4">
      <c r="A496" s="6">
        <f t="shared" si="16"/>
        <v>495</v>
      </c>
      <c r="B496" s="28" t="s">
        <v>1479</v>
      </c>
      <c r="C496" s="28"/>
      <c r="D496" s="29" t="s">
        <v>821</v>
      </c>
      <c r="E496" s="28" t="s">
        <v>1385</v>
      </c>
      <c r="F496" s="28" t="s">
        <v>1513</v>
      </c>
      <c r="G496" s="28" t="s">
        <v>1514</v>
      </c>
      <c r="H496" s="46" t="s">
        <v>15</v>
      </c>
      <c r="I496" s="28" t="s">
        <v>1515</v>
      </c>
      <c r="J496" s="34" t="s">
        <v>2155</v>
      </c>
      <c r="K496" s="34">
        <v>43</v>
      </c>
    </row>
    <row r="497" spans="1:11" ht="18" customHeight="1" x14ac:dyDescent="0.4">
      <c r="A497" s="9">
        <f t="shared" si="16"/>
        <v>496</v>
      </c>
      <c r="B497" s="14" t="s">
        <v>917</v>
      </c>
      <c r="C497" s="14" t="s">
        <v>923</v>
      </c>
      <c r="D497" s="15" t="s">
        <v>821</v>
      </c>
      <c r="E497" s="14" t="s">
        <v>1038</v>
      </c>
      <c r="F497" s="14" t="s">
        <v>1039</v>
      </c>
      <c r="G497" s="14"/>
      <c r="H497" s="46" t="s">
        <v>15</v>
      </c>
      <c r="I497" s="14" t="s">
        <v>1040</v>
      </c>
      <c r="J497" s="34" t="s">
        <v>2156</v>
      </c>
      <c r="K497" s="34">
        <v>48</v>
      </c>
    </row>
    <row r="498" spans="1:11" ht="18" customHeight="1" x14ac:dyDescent="0.4">
      <c r="A498" s="9">
        <f t="shared" si="16"/>
        <v>497</v>
      </c>
      <c r="B498" s="14" t="s">
        <v>798</v>
      </c>
      <c r="C498" s="14"/>
      <c r="D498" s="15" t="s">
        <v>821</v>
      </c>
      <c r="E498" s="14" t="s">
        <v>862</v>
      </c>
      <c r="F498" s="14" t="s">
        <v>361</v>
      </c>
      <c r="G498" s="14"/>
      <c r="H498" s="46" t="s">
        <v>15</v>
      </c>
      <c r="I498" s="14" t="s">
        <v>863</v>
      </c>
      <c r="J498" s="34" t="s">
        <v>2157</v>
      </c>
      <c r="K498" s="34">
        <v>36</v>
      </c>
    </row>
    <row r="499" spans="1:11" ht="18" hidden="1" customHeight="1" x14ac:dyDescent="0.4">
      <c r="A499" s="6">
        <f t="shared" si="16"/>
        <v>498</v>
      </c>
      <c r="B499" s="26" t="s">
        <v>1207</v>
      </c>
      <c r="C499" s="26" t="s">
        <v>1390</v>
      </c>
      <c r="D499" s="27" t="s">
        <v>2229</v>
      </c>
      <c r="E499" s="26" t="s">
        <v>1391</v>
      </c>
      <c r="F499" s="26" t="s">
        <v>984</v>
      </c>
      <c r="G499" s="26" t="s">
        <v>1392</v>
      </c>
      <c r="H499" s="48" t="s">
        <v>49</v>
      </c>
      <c r="I499" s="26" t="s">
        <v>1377</v>
      </c>
      <c r="J499" s="34"/>
      <c r="K499" s="34"/>
    </row>
    <row r="500" spans="1:11" ht="18" hidden="1" customHeight="1" x14ac:dyDescent="0.4">
      <c r="A500" s="9">
        <f t="shared" si="16"/>
        <v>499</v>
      </c>
      <c r="B500" s="26" t="s">
        <v>1207</v>
      </c>
      <c r="C500" s="26" t="s">
        <v>493</v>
      </c>
      <c r="D500" s="27" t="s">
        <v>2229</v>
      </c>
      <c r="E500" s="26" t="s">
        <v>24</v>
      </c>
      <c r="F500" s="26" t="s">
        <v>1393</v>
      </c>
      <c r="G500" s="26" t="s">
        <v>1394</v>
      </c>
      <c r="H500" s="47" t="s">
        <v>49</v>
      </c>
      <c r="I500" s="26" t="s">
        <v>1377</v>
      </c>
      <c r="J500" s="34"/>
      <c r="K500" s="34"/>
    </row>
    <row r="501" spans="1:11" ht="18" hidden="1" customHeight="1" x14ac:dyDescent="0.4">
      <c r="A501" s="6">
        <f t="shared" si="16"/>
        <v>500</v>
      </c>
      <c r="B501" s="26" t="s">
        <v>1207</v>
      </c>
      <c r="C501" s="26" t="s">
        <v>493</v>
      </c>
      <c r="D501" s="27" t="s">
        <v>2229</v>
      </c>
      <c r="E501" s="26" t="s">
        <v>157</v>
      </c>
      <c r="F501" s="26" t="s">
        <v>1395</v>
      </c>
      <c r="G501" s="26" t="s">
        <v>1396</v>
      </c>
      <c r="H501" s="48" t="s">
        <v>49</v>
      </c>
      <c r="I501" s="26" t="s">
        <v>1377</v>
      </c>
      <c r="J501" s="34"/>
      <c r="K501" s="34"/>
    </row>
    <row r="502" spans="1:11" ht="18" customHeight="1" x14ac:dyDescent="0.4">
      <c r="A502" s="9">
        <f t="shared" si="16"/>
        <v>501</v>
      </c>
      <c r="B502" s="26" t="s">
        <v>1207</v>
      </c>
      <c r="C502" s="26" t="s">
        <v>909</v>
      </c>
      <c r="D502" s="15" t="s">
        <v>821</v>
      </c>
      <c r="E502" s="26" t="s">
        <v>319</v>
      </c>
      <c r="F502" s="26" t="s">
        <v>910</v>
      </c>
      <c r="G502" s="26" t="s">
        <v>911</v>
      </c>
      <c r="H502" s="46" t="s">
        <v>15</v>
      </c>
      <c r="I502" s="26" t="s">
        <v>1377</v>
      </c>
      <c r="J502" s="34" t="s">
        <v>2155</v>
      </c>
      <c r="K502" s="34">
        <v>44</v>
      </c>
    </row>
    <row r="503" spans="1:11" ht="18" customHeight="1" x14ac:dyDescent="0.4">
      <c r="A503" s="9">
        <f t="shared" si="16"/>
        <v>502</v>
      </c>
      <c r="B503" s="26" t="s">
        <v>1207</v>
      </c>
      <c r="C503" s="26"/>
      <c r="D503" s="15" t="s">
        <v>821</v>
      </c>
      <c r="E503" s="26" t="s">
        <v>1032</v>
      </c>
      <c r="F503" s="26" t="s">
        <v>1410</v>
      </c>
      <c r="G503" s="26"/>
      <c r="H503" s="49" t="s">
        <v>15</v>
      </c>
      <c r="I503" s="26" t="s">
        <v>1411</v>
      </c>
      <c r="J503" s="34" t="s">
        <v>2157</v>
      </c>
      <c r="K503" s="34">
        <v>37</v>
      </c>
    </row>
    <row r="504" spans="1:11" ht="18" customHeight="1" x14ac:dyDescent="0.4">
      <c r="A504" s="6">
        <f t="shared" si="16"/>
        <v>503</v>
      </c>
      <c r="B504" s="26" t="s">
        <v>1207</v>
      </c>
      <c r="C504" s="26" t="s">
        <v>1381</v>
      </c>
      <c r="D504" s="15" t="s">
        <v>821</v>
      </c>
      <c r="E504" s="26" t="s">
        <v>372</v>
      </c>
      <c r="F504" s="26" t="s">
        <v>1382</v>
      </c>
      <c r="G504" s="26" t="s">
        <v>1383</v>
      </c>
      <c r="H504" s="46" t="s">
        <v>15</v>
      </c>
      <c r="I504" s="26" t="s">
        <v>1377</v>
      </c>
      <c r="J504" s="34" t="s">
        <v>2155</v>
      </c>
      <c r="K504" s="34">
        <v>45</v>
      </c>
    </row>
    <row r="505" spans="1:11" ht="18" customHeight="1" x14ac:dyDescent="0.4">
      <c r="A505" s="6">
        <f t="shared" si="16"/>
        <v>504</v>
      </c>
      <c r="B505" s="26" t="s">
        <v>1207</v>
      </c>
      <c r="C505" s="26"/>
      <c r="D505" s="15" t="s">
        <v>821</v>
      </c>
      <c r="E505" s="26" t="s">
        <v>739</v>
      </c>
      <c r="F505" s="26" t="s">
        <v>1412</v>
      </c>
      <c r="G505" s="26" t="s">
        <v>1413</v>
      </c>
      <c r="H505" s="49" t="s">
        <v>15</v>
      </c>
      <c r="I505" s="26" t="s">
        <v>1414</v>
      </c>
      <c r="J505" s="34" t="s">
        <v>2157</v>
      </c>
      <c r="K505" s="34">
        <v>38</v>
      </c>
    </row>
    <row r="506" spans="1:11" ht="18" customHeight="1" x14ac:dyDescent="0.4">
      <c r="A506" s="9">
        <f t="shared" si="16"/>
        <v>505</v>
      </c>
      <c r="B506" s="14" t="s">
        <v>1207</v>
      </c>
      <c r="C506" s="14"/>
      <c r="D506" s="15" t="s">
        <v>17</v>
      </c>
      <c r="E506" s="14" t="s">
        <v>735</v>
      </c>
      <c r="F506" s="14" t="s">
        <v>48</v>
      </c>
      <c r="G506" s="14"/>
      <c r="H506" s="46" t="s">
        <v>15</v>
      </c>
      <c r="I506" s="14" t="s">
        <v>1399</v>
      </c>
      <c r="J506" s="34" t="s">
        <v>2158</v>
      </c>
      <c r="K506" s="34">
        <v>6</v>
      </c>
    </row>
    <row r="507" spans="1:11" ht="18" customHeight="1" x14ac:dyDescent="0.4">
      <c r="A507" s="6">
        <f t="shared" si="16"/>
        <v>506</v>
      </c>
      <c r="B507" s="30" t="s">
        <v>1667</v>
      </c>
      <c r="C507" s="30" t="s">
        <v>923</v>
      </c>
      <c r="D507" s="15" t="s">
        <v>821</v>
      </c>
      <c r="E507" s="30" t="s">
        <v>1635</v>
      </c>
      <c r="F507" s="30" t="s">
        <v>1668</v>
      </c>
      <c r="G507" s="30" t="s">
        <v>1669</v>
      </c>
      <c r="H507" s="46" t="s">
        <v>15</v>
      </c>
      <c r="I507" s="30" t="s">
        <v>1670</v>
      </c>
      <c r="J507" s="34" t="s">
        <v>2155</v>
      </c>
      <c r="K507" s="34">
        <v>46</v>
      </c>
    </row>
    <row r="508" spans="1:11" ht="18" customHeight="1" x14ac:dyDescent="0.4">
      <c r="A508" s="9">
        <f t="shared" si="16"/>
        <v>507</v>
      </c>
      <c r="B508" s="14" t="s">
        <v>1667</v>
      </c>
      <c r="C508" s="14" t="s">
        <v>923</v>
      </c>
      <c r="D508" s="15" t="s">
        <v>821</v>
      </c>
      <c r="E508" s="14" t="s">
        <v>171</v>
      </c>
      <c r="F508" s="14" t="s">
        <v>1671</v>
      </c>
      <c r="G508" s="14" t="s">
        <v>1672</v>
      </c>
      <c r="H508" s="46" t="s">
        <v>15</v>
      </c>
      <c r="I508" s="14" t="s">
        <v>1673</v>
      </c>
      <c r="J508" s="34" t="s">
        <v>2155</v>
      </c>
      <c r="K508" s="34">
        <v>47</v>
      </c>
    </row>
    <row r="509" spans="1:11" ht="18" customHeight="1" x14ac:dyDescent="0.4">
      <c r="A509" s="6">
        <f t="shared" si="16"/>
        <v>508</v>
      </c>
      <c r="B509" s="26" t="s">
        <v>1207</v>
      </c>
      <c r="C509" s="14" t="s">
        <v>442</v>
      </c>
      <c r="D509" s="15" t="s">
        <v>17</v>
      </c>
      <c r="E509" s="14" t="s">
        <v>1402</v>
      </c>
      <c r="F509" s="14" t="s">
        <v>104</v>
      </c>
      <c r="G509" s="14"/>
      <c r="H509" s="46" t="s">
        <v>15</v>
      </c>
      <c r="I509" s="14" t="s">
        <v>1403</v>
      </c>
      <c r="J509" s="34" t="s">
        <v>2158</v>
      </c>
      <c r="K509" s="34">
        <v>4</v>
      </c>
    </row>
    <row r="510" spans="1:11" ht="18" customHeight="1" x14ac:dyDescent="0.4">
      <c r="A510" s="6">
        <f t="shared" si="16"/>
        <v>509</v>
      </c>
      <c r="B510" s="20" t="s">
        <v>917</v>
      </c>
      <c r="C510" s="20" t="s">
        <v>532</v>
      </c>
      <c r="D510" s="15" t="s">
        <v>821</v>
      </c>
      <c r="E510" s="20" t="s">
        <v>324</v>
      </c>
      <c r="F510" s="20" t="s">
        <v>764</v>
      </c>
      <c r="G510" s="20" t="s">
        <v>620</v>
      </c>
      <c r="H510" s="46" t="s">
        <v>15</v>
      </c>
      <c r="I510" s="20" t="s">
        <v>932</v>
      </c>
      <c r="J510" s="34" t="s">
        <v>2157</v>
      </c>
      <c r="K510" s="34">
        <v>39</v>
      </c>
    </row>
    <row r="511" spans="1:11" ht="18" customHeight="1" x14ac:dyDescent="0.4">
      <c r="A511" s="6">
        <f t="shared" si="16"/>
        <v>510</v>
      </c>
      <c r="B511" s="20" t="s">
        <v>917</v>
      </c>
      <c r="C511" s="20" t="s">
        <v>936</v>
      </c>
      <c r="D511" s="15" t="s">
        <v>821</v>
      </c>
      <c r="E511" s="20" t="s">
        <v>856</v>
      </c>
      <c r="F511" s="20" t="s">
        <v>937</v>
      </c>
      <c r="G511" s="20" t="s">
        <v>283</v>
      </c>
      <c r="H511" s="46" t="s">
        <v>15</v>
      </c>
      <c r="I511" s="20" t="s">
        <v>935</v>
      </c>
      <c r="J511" s="34" t="s">
        <v>2157</v>
      </c>
      <c r="K511" s="34">
        <v>40</v>
      </c>
    </row>
    <row r="512" spans="1:11" ht="18" customHeight="1" x14ac:dyDescent="0.4">
      <c r="A512" s="9">
        <f t="shared" si="16"/>
        <v>511</v>
      </c>
      <c r="B512" s="14" t="s">
        <v>864</v>
      </c>
      <c r="C512" s="14" t="s">
        <v>532</v>
      </c>
      <c r="D512" s="15" t="s">
        <v>821</v>
      </c>
      <c r="E512" s="14" t="s">
        <v>878</v>
      </c>
      <c r="F512" s="14" t="s">
        <v>879</v>
      </c>
      <c r="G512" s="14"/>
      <c r="H512" s="47" t="s">
        <v>15</v>
      </c>
      <c r="I512" s="14" t="s">
        <v>880</v>
      </c>
      <c r="J512" s="34" t="s">
        <v>2157</v>
      </c>
      <c r="K512" s="34">
        <v>41</v>
      </c>
    </row>
    <row r="513" spans="1:11" ht="18" customHeight="1" x14ac:dyDescent="0.4">
      <c r="A513" s="9">
        <f t="shared" si="16"/>
        <v>512</v>
      </c>
      <c r="B513" s="26" t="s">
        <v>1207</v>
      </c>
      <c r="C513" s="26"/>
      <c r="D513" s="15" t="s">
        <v>821</v>
      </c>
      <c r="E513" s="26" t="s">
        <v>324</v>
      </c>
      <c r="F513" s="26" t="s">
        <v>1415</v>
      </c>
      <c r="G513" s="26"/>
      <c r="H513" s="49" t="s">
        <v>15</v>
      </c>
      <c r="I513" s="26" t="s">
        <v>1416</v>
      </c>
      <c r="J513" s="34" t="s">
        <v>2157</v>
      </c>
      <c r="K513" s="34">
        <v>42</v>
      </c>
    </row>
    <row r="514" spans="1:11" ht="18" customHeight="1" x14ac:dyDescent="0.4">
      <c r="A514" s="9">
        <f t="shared" si="16"/>
        <v>513</v>
      </c>
      <c r="B514" s="26" t="s">
        <v>1207</v>
      </c>
      <c r="C514" s="26"/>
      <c r="D514" s="15" t="s">
        <v>821</v>
      </c>
      <c r="E514" s="26" t="s">
        <v>84</v>
      </c>
      <c r="F514" s="26" t="s">
        <v>695</v>
      </c>
      <c r="G514" s="26" t="s">
        <v>104</v>
      </c>
      <c r="H514" s="46" t="s">
        <v>15</v>
      </c>
      <c r="I514" s="26" t="s">
        <v>1377</v>
      </c>
      <c r="J514" s="34" t="s">
        <v>2157</v>
      </c>
      <c r="K514" s="34">
        <v>43</v>
      </c>
    </row>
    <row r="515" spans="1:11" ht="18" customHeight="1" x14ac:dyDescent="0.4">
      <c r="A515" s="9">
        <f t="shared" si="16"/>
        <v>514</v>
      </c>
      <c r="B515" s="14" t="s">
        <v>917</v>
      </c>
      <c r="C515" s="14" t="s">
        <v>977</v>
      </c>
      <c r="D515" s="15" t="s">
        <v>821</v>
      </c>
      <c r="E515" s="14" t="s">
        <v>351</v>
      </c>
      <c r="F515" s="14" t="s">
        <v>1044</v>
      </c>
      <c r="G515" s="14" t="s">
        <v>1045</v>
      </c>
      <c r="H515" s="46" t="s">
        <v>15</v>
      </c>
      <c r="I515" s="14" t="s">
        <v>1046</v>
      </c>
      <c r="J515" s="34" t="s">
        <v>2156</v>
      </c>
      <c r="K515" s="34">
        <v>49</v>
      </c>
    </row>
    <row r="516" spans="1:11" ht="18" customHeight="1" x14ac:dyDescent="0.4">
      <c r="A516" s="9">
        <f t="shared" si="16"/>
        <v>515</v>
      </c>
      <c r="B516" s="30" t="s">
        <v>1675</v>
      </c>
      <c r="C516" s="30" t="s">
        <v>923</v>
      </c>
      <c r="D516" s="15" t="s">
        <v>821</v>
      </c>
      <c r="E516" s="30" t="s">
        <v>339</v>
      </c>
      <c r="F516" s="30" t="s">
        <v>1676</v>
      </c>
      <c r="G516" s="30" t="s">
        <v>1677</v>
      </c>
      <c r="H516" s="46" t="s">
        <v>15</v>
      </c>
      <c r="I516" s="30" t="s">
        <v>1678</v>
      </c>
      <c r="J516" s="34" t="s">
        <v>2155</v>
      </c>
      <c r="K516" s="34">
        <v>48</v>
      </c>
    </row>
    <row r="517" spans="1:11" ht="18" hidden="1" customHeight="1" x14ac:dyDescent="0.4">
      <c r="A517" s="6">
        <f t="shared" si="16"/>
        <v>516</v>
      </c>
      <c r="B517" s="26"/>
      <c r="C517" s="26"/>
      <c r="D517" s="27"/>
      <c r="E517" s="14" t="s">
        <v>347</v>
      </c>
      <c r="F517" s="14" t="s">
        <v>2147</v>
      </c>
      <c r="G517" s="14" t="s">
        <v>2148</v>
      </c>
      <c r="H517" s="47" t="s">
        <v>49</v>
      </c>
      <c r="I517" s="26" t="s">
        <v>1377</v>
      </c>
      <c r="J517" s="34"/>
      <c r="K517" s="34"/>
    </row>
    <row r="518" spans="1:11" ht="18" customHeight="1" x14ac:dyDescent="0.4">
      <c r="A518" s="6">
        <f t="shared" si="16"/>
        <v>517</v>
      </c>
      <c r="B518" s="14" t="s">
        <v>1741</v>
      </c>
      <c r="C518" s="14" t="s">
        <v>539</v>
      </c>
      <c r="D518" s="15" t="s">
        <v>821</v>
      </c>
      <c r="E518" s="14" t="s">
        <v>1742</v>
      </c>
      <c r="F518" s="14" t="s">
        <v>1743</v>
      </c>
      <c r="G518" s="14" t="s">
        <v>1744</v>
      </c>
      <c r="H518" s="46" t="s">
        <v>15</v>
      </c>
      <c r="I518" s="14" t="s">
        <v>1745</v>
      </c>
      <c r="J518" s="34" t="s">
        <v>2155</v>
      </c>
      <c r="K518" s="34">
        <v>49</v>
      </c>
    </row>
    <row r="519" spans="1:11" ht="18" hidden="1" customHeight="1" x14ac:dyDescent="0.4">
      <c r="A519" s="6">
        <f t="shared" si="16"/>
        <v>518</v>
      </c>
      <c r="B519" s="26" t="s">
        <v>1207</v>
      </c>
      <c r="C519" s="14"/>
      <c r="D519" s="15" t="s">
        <v>2229</v>
      </c>
      <c r="E519" s="14" t="s">
        <v>1424</v>
      </c>
      <c r="F519" s="14" t="s">
        <v>30</v>
      </c>
      <c r="G519" s="14" t="s">
        <v>1425</v>
      </c>
      <c r="H519" s="47" t="s">
        <v>49</v>
      </c>
      <c r="I519" s="10" t="s">
        <v>1426</v>
      </c>
      <c r="J519" s="34"/>
      <c r="K519" s="34"/>
    </row>
    <row r="520" spans="1:11" ht="18" customHeight="1" x14ac:dyDescent="0.4">
      <c r="A520" s="6">
        <f t="shared" ref="A520:A530" si="17">IF(COUNTA(B520:I520)=0,"",ROW()-1)</f>
        <v>519</v>
      </c>
      <c r="B520" s="7" t="s">
        <v>10</v>
      </c>
      <c r="C520" s="14" t="s">
        <v>923</v>
      </c>
      <c r="D520" s="15" t="s">
        <v>821</v>
      </c>
      <c r="E520" s="7" t="s">
        <v>516</v>
      </c>
      <c r="F520" s="7" t="s">
        <v>517</v>
      </c>
      <c r="G520" s="7" t="s">
        <v>265</v>
      </c>
      <c r="H520" s="46" t="s">
        <v>15</v>
      </c>
      <c r="I520" s="7" t="s">
        <v>518</v>
      </c>
      <c r="J520" s="34" t="s">
        <v>2156</v>
      </c>
      <c r="K520" s="34">
        <v>50</v>
      </c>
    </row>
    <row r="521" spans="1:11" ht="18" hidden="1" customHeight="1" x14ac:dyDescent="0.4">
      <c r="A521" s="6">
        <f t="shared" si="17"/>
        <v>520</v>
      </c>
      <c r="B521" s="26" t="s">
        <v>1207</v>
      </c>
      <c r="C521" s="14"/>
      <c r="D521" s="15" t="s">
        <v>2229</v>
      </c>
      <c r="E521" s="14" t="s">
        <v>1430</v>
      </c>
      <c r="F521" s="14" t="s">
        <v>1431</v>
      </c>
      <c r="G521" s="14" t="s">
        <v>1432</v>
      </c>
      <c r="H521" s="47" t="s">
        <v>49</v>
      </c>
      <c r="I521" s="10" t="s">
        <v>1433</v>
      </c>
      <c r="J521" s="34"/>
      <c r="K521" s="34"/>
    </row>
    <row r="522" spans="1:11" ht="18" customHeight="1" x14ac:dyDescent="0.4">
      <c r="A522" s="9">
        <f t="shared" si="17"/>
        <v>521</v>
      </c>
      <c r="B522" s="10" t="s">
        <v>10</v>
      </c>
      <c r="C522" s="14" t="s">
        <v>923</v>
      </c>
      <c r="D522" s="15" t="s">
        <v>821</v>
      </c>
      <c r="E522" s="10" t="s">
        <v>405</v>
      </c>
      <c r="F522" s="10" t="s">
        <v>519</v>
      </c>
      <c r="G522" s="10" t="s">
        <v>157</v>
      </c>
      <c r="H522" s="46" t="s">
        <v>15</v>
      </c>
      <c r="I522" s="10" t="s">
        <v>518</v>
      </c>
      <c r="J522" s="34" t="s">
        <v>2156</v>
      </c>
      <c r="K522" s="34">
        <v>51</v>
      </c>
    </row>
    <row r="523" spans="1:11" ht="18" hidden="1" customHeight="1" x14ac:dyDescent="0.4">
      <c r="A523" s="6">
        <f t="shared" si="17"/>
        <v>522</v>
      </c>
      <c r="B523" s="26" t="s">
        <v>1207</v>
      </c>
      <c r="C523" s="14"/>
      <c r="D523" s="15" t="s">
        <v>2229</v>
      </c>
      <c r="E523" s="14" t="s">
        <v>1435</v>
      </c>
      <c r="F523" s="14" t="s">
        <v>1436</v>
      </c>
      <c r="G523" s="14" t="s">
        <v>630</v>
      </c>
      <c r="H523" s="47" t="s">
        <v>49</v>
      </c>
      <c r="I523" s="10" t="s">
        <v>1437</v>
      </c>
      <c r="J523" s="34"/>
      <c r="K523" s="34"/>
    </row>
    <row r="524" spans="1:11" ht="18" hidden="1" customHeight="1" x14ac:dyDescent="0.4">
      <c r="A524" s="9">
        <f t="shared" si="17"/>
        <v>523</v>
      </c>
      <c r="B524" s="26" t="s">
        <v>1207</v>
      </c>
      <c r="C524" s="26"/>
      <c r="D524" s="27" t="s">
        <v>2229</v>
      </c>
      <c r="E524" s="26" t="s">
        <v>1438</v>
      </c>
      <c r="F524" s="26" t="s">
        <v>1439</v>
      </c>
      <c r="G524" s="26"/>
      <c r="H524" s="48" t="s">
        <v>49</v>
      </c>
      <c r="I524" s="26" t="s">
        <v>1440</v>
      </c>
      <c r="J524" s="34"/>
      <c r="K524" s="34"/>
    </row>
    <row r="525" spans="1:11" ht="18" hidden="1" customHeight="1" x14ac:dyDescent="0.4">
      <c r="A525" s="6">
        <f t="shared" si="17"/>
        <v>524</v>
      </c>
      <c r="B525" s="14" t="s">
        <v>1207</v>
      </c>
      <c r="C525" s="14"/>
      <c r="D525" s="15" t="s">
        <v>2229</v>
      </c>
      <c r="E525" s="14" t="s">
        <v>377</v>
      </c>
      <c r="F525" s="14" t="s">
        <v>335</v>
      </c>
      <c r="G525" s="14" t="s">
        <v>1441</v>
      </c>
      <c r="H525" s="48" t="s">
        <v>49</v>
      </c>
      <c r="I525" s="14" t="s">
        <v>1442</v>
      </c>
      <c r="J525" s="34"/>
      <c r="K525" s="34"/>
    </row>
    <row r="526" spans="1:11" ht="18" hidden="1" customHeight="1" x14ac:dyDescent="0.4">
      <c r="A526" s="9">
        <f t="shared" si="17"/>
        <v>525</v>
      </c>
      <c r="B526" s="26" t="s">
        <v>1207</v>
      </c>
      <c r="C526" s="26"/>
      <c r="D526" s="27" t="s">
        <v>2229</v>
      </c>
      <c r="E526" s="26" t="s">
        <v>1443</v>
      </c>
      <c r="F526" s="26" t="s">
        <v>1444</v>
      </c>
      <c r="G526" s="26" t="s">
        <v>1445</v>
      </c>
      <c r="H526" s="48" t="s">
        <v>49</v>
      </c>
      <c r="I526" s="26" t="s">
        <v>1446</v>
      </c>
      <c r="J526" s="34"/>
      <c r="K526" s="34"/>
    </row>
    <row r="527" spans="1:11" ht="18" customHeight="1" x14ac:dyDescent="0.4">
      <c r="A527" s="6">
        <f t="shared" si="17"/>
        <v>526</v>
      </c>
      <c r="B527" s="26" t="s">
        <v>1207</v>
      </c>
      <c r="C527" s="26" t="s">
        <v>442</v>
      </c>
      <c r="D527" s="15" t="s">
        <v>17</v>
      </c>
      <c r="E527" s="26" t="s">
        <v>84</v>
      </c>
      <c r="F527" s="26" t="s">
        <v>1447</v>
      </c>
      <c r="G527" s="26"/>
      <c r="H527" s="46" t="s">
        <v>15</v>
      </c>
      <c r="I527" s="26" t="s">
        <v>1448</v>
      </c>
      <c r="J527" s="34" t="s">
        <v>2158</v>
      </c>
      <c r="K527" s="34">
        <v>38</v>
      </c>
    </row>
    <row r="528" spans="1:11" ht="18" customHeight="1" x14ac:dyDescent="0.4">
      <c r="A528" s="9">
        <f t="shared" si="17"/>
        <v>527</v>
      </c>
      <c r="B528" s="14" t="s">
        <v>1479</v>
      </c>
      <c r="C528" s="14" t="s">
        <v>1627</v>
      </c>
      <c r="D528" s="15" t="s">
        <v>821</v>
      </c>
      <c r="E528" s="14" t="s">
        <v>62</v>
      </c>
      <c r="F528" s="14" t="s">
        <v>1628</v>
      </c>
      <c r="G528" s="14" t="s">
        <v>1629</v>
      </c>
      <c r="H528" s="46" t="s">
        <v>15</v>
      </c>
      <c r="I528" s="14" t="s">
        <v>1630</v>
      </c>
      <c r="J528" s="34" t="s">
        <v>2157</v>
      </c>
      <c r="K528" s="34">
        <v>44</v>
      </c>
    </row>
    <row r="529" spans="1:79" ht="18" customHeight="1" x14ac:dyDescent="0.4">
      <c r="A529" s="9">
        <f t="shared" si="17"/>
        <v>528</v>
      </c>
      <c r="B529" s="30" t="s">
        <v>1675</v>
      </c>
      <c r="C529" s="30" t="s">
        <v>909</v>
      </c>
      <c r="D529" s="15" t="s">
        <v>821</v>
      </c>
      <c r="E529" s="30" t="s">
        <v>1702</v>
      </c>
      <c r="F529" s="30" t="s">
        <v>511</v>
      </c>
      <c r="G529" s="30" t="s">
        <v>367</v>
      </c>
      <c r="H529" s="46" t="s">
        <v>15</v>
      </c>
      <c r="I529" s="30" t="s">
        <v>1703</v>
      </c>
      <c r="J529" s="34" t="s">
        <v>2155</v>
      </c>
      <c r="K529" s="34">
        <v>50</v>
      </c>
    </row>
    <row r="530" spans="1:79" ht="18" customHeight="1" x14ac:dyDescent="0.4">
      <c r="A530" s="6">
        <f t="shared" si="17"/>
        <v>529</v>
      </c>
      <c r="B530" s="14" t="s">
        <v>1051</v>
      </c>
      <c r="C530" s="14" t="s">
        <v>1076</v>
      </c>
      <c r="D530" s="15" t="s">
        <v>821</v>
      </c>
      <c r="E530" s="14" t="s">
        <v>1077</v>
      </c>
      <c r="F530" s="14" t="s">
        <v>1078</v>
      </c>
      <c r="G530" s="14" t="s">
        <v>96</v>
      </c>
      <c r="H530" s="47" t="s">
        <v>15</v>
      </c>
      <c r="I530" s="14" t="s">
        <v>1079</v>
      </c>
      <c r="J530" s="34" t="s">
        <v>2156</v>
      </c>
      <c r="K530" s="34">
        <v>52</v>
      </c>
    </row>
    <row r="531" spans="1:79" ht="18" customHeight="1" x14ac:dyDescent="0.4">
      <c r="A531" s="9"/>
      <c r="B531" s="26"/>
      <c r="C531" s="26"/>
      <c r="D531" s="27" t="s">
        <v>821</v>
      </c>
      <c r="E531" s="14" t="s">
        <v>2204</v>
      </c>
      <c r="F531" s="14" t="s">
        <v>1415</v>
      </c>
      <c r="G531" s="14"/>
      <c r="H531" s="46" t="s">
        <v>15</v>
      </c>
      <c r="I531" s="26" t="s">
        <v>2203</v>
      </c>
      <c r="J531" s="34" t="s">
        <v>2161</v>
      </c>
      <c r="K531" s="34">
        <v>17</v>
      </c>
    </row>
    <row r="532" spans="1:79" ht="18" customHeight="1" x14ac:dyDescent="0.4">
      <c r="A532" s="9">
        <f t="shared" ref="A532:A563" si="18">IF(COUNTA(B532:I532)=0,"",ROW()-1)</f>
        <v>531</v>
      </c>
      <c r="B532" s="14" t="s">
        <v>917</v>
      </c>
      <c r="C532" s="14" t="s">
        <v>918</v>
      </c>
      <c r="D532" s="15" t="s">
        <v>821</v>
      </c>
      <c r="E532" s="14" t="s">
        <v>1022</v>
      </c>
      <c r="F532" s="14" t="s">
        <v>1023</v>
      </c>
      <c r="G532" s="14"/>
      <c r="H532" s="46" t="s">
        <v>15</v>
      </c>
      <c r="I532" s="14" t="s">
        <v>1024</v>
      </c>
      <c r="J532" s="34" t="s">
        <v>2157</v>
      </c>
      <c r="K532" s="34">
        <v>45</v>
      </c>
    </row>
    <row r="533" spans="1:79" ht="18" customHeight="1" x14ac:dyDescent="0.4">
      <c r="A533" s="9">
        <f t="shared" si="18"/>
        <v>532</v>
      </c>
      <c r="B533" s="22" t="s">
        <v>1051</v>
      </c>
      <c r="C533" s="22" t="s">
        <v>532</v>
      </c>
      <c r="D533" s="15" t="s">
        <v>821</v>
      </c>
      <c r="E533" s="22" t="s">
        <v>1060</v>
      </c>
      <c r="F533" s="22" t="s">
        <v>1150</v>
      </c>
      <c r="G533" s="22" t="s">
        <v>367</v>
      </c>
      <c r="H533" s="46" t="s">
        <v>15</v>
      </c>
      <c r="I533" s="22" t="s">
        <v>1151</v>
      </c>
      <c r="J533" s="34" t="s">
        <v>2157</v>
      </c>
      <c r="K533" s="34">
        <v>46</v>
      </c>
    </row>
    <row r="534" spans="1:79" ht="18" customHeight="1" x14ac:dyDescent="0.4">
      <c r="A534" s="9">
        <f t="shared" si="18"/>
        <v>533</v>
      </c>
      <c r="B534" s="22" t="s">
        <v>1051</v>
      </c>
      <c r="C534" s="22" t="s">
        <v>532</v>
      </c>
      <c r="D534" s="15" t="s">
        <v>821</v>
      </c>
      <c r="E534" s="22" t="s">
        <v>1136</v>
      </c>
      <c r="F534" s="22" t="s">
        <v>1137</v>
      </c>
      <c r="G534" s="22" t="s">
        <v>1138</v>
      </c>
      <c r="H534" s="46" t="s">
        <v>15</v>
      </c>
      <c r="I534" s="22" t="s">
        <v>1139</v>
      </c>
      <c r="J534" s="34" t="s">
        <v>2157</v>
      </c>
      <c r="K534" s="34">
        <v>47</v>
      </c>
    </row>
    <row r="535" spans="1:79" ht="18" customHeight="1" x14ac:dyDescent="0.4">
      <c r="A535" s="9">
        <f t="shared" si="18"/>
        <v>534</v>
      </c>
      <c r="B535" s="14" t="s">
        <v>1207</v>
      </c>
      <c r="C535" s="14"/>
      <c r="D535" s="15" t="s">
        <v>821</v>
      </c>
      <c r="E535" s="10" t="s">
        <v>51</v>
      </c>
      <c r="F535" s="10" t="s">
        <v>1466</v>
      </c>
      <c r="G535" s="10" t="s">
        <v>1467</v>
      </c>
      <c r="H535" s="47" t="s">
        <v>15</v>
      </c>
      <c r="I535" s="14" t="s">
        <v>1468</v>
      </c>
      <c r="J535" s="34" t="s">
        <v>2161</v>
      </c>
      <c r="K535" s="34">
        <v>18</v>
      </c>
    </row>
    <row r="536" spans="1:79" ht="18" customHeight="1" x14ac:dyDescent="0.4">
      <c r="A536" s="9">
        <f t="shared" si="18"/>
        <v>535</v>
      </c>
      <c r="B536" s="22" t="s">
        <v>1051</v>
      </c>
      <c r="C536" s="22" t="s">
        <v>532</v>
      </c>
      <c r="D536" s="15" t="s">
        <v>821</v>
      </c>
      <c r="E536" s="22" t="s">
        <v>1170</v>
      </c>
      <c r="F536" s="22" t="s">
        <v>1171</v>
      </c>
      <c r="G536" s="22" t="s">
        <v>364</v>
      </c>
      <c r="H536" s="46" t="s">
        <v>15</v>
      </c>
      <c r="I536" s="22" t="s">
        <v>1172</v>
      </c>
      <c r="J536" s="34" t="s">
        <v>2157</v>
      </c>
      <c r="K536" s="34">
        <v>48</v>
      </c>
    </row>
    <row r="537" spans="1:79" ht="18" customHeight="1" x14ac:dyDescent="0.4">
      <c r="A537" s="6">
        <f t="shared" si="18"/>
        <v>536</v>
      </c>
      <c r="B537" s="14" t="s">
        <v>1051</v>
      </c>
      <c r="C537" s="14" t="s">
        <v>532</v>
      </c>
      <c r="D537" s="15" t="s">
        <v>821</v>
      </c>
      <c r="E537" s="14" t="s">
        <v>1132</v>
      </c>
      <c r="F537" s="14" t="s">
        <v>1133</v>
      </c>
      <c r="G537" s="14" t="s">
        <v>1134</v>
      </c>
      <c r="H537" s="46" t="s">
        <v>15</v>
      </c>
      <c r="I537" s="14" t="s">
        <v>1135</v>
      </c>
      <c r="J537" s="34" t="s">
        <v>2157</v>
      </c>
      <c r="K537" s="34">
        <v>49</v>
      </c>
    </row>
    <row r="538" spans="1:79" ht="18" customHeight="1" x14ac:dyDescent="0.4">
      <c r="A538" s="9">
        <f t="shared" si="18"/>
        <v>537</v>
      </c>
      <c r="B538" s="22" t="s">
        <v>1051</v>
      </c>
      <c r="C538" s="22" t="s">
        <v>923</v>
      </c>
      <c r="D538" s="15" t="s">
        <v>821</v>
      </c>
      <c r="E538" s="22" t="s">
        <v>1080</v>
      </c>
      <c r="F538" s="22" t="s">
        <v>1081</v>
      </c>
      <c r="G538" s="22" t="s">
        <v>1082</v>
      </c>
      <c r="H538" s="46" t="s">
        <v>15</v>
      </c>
      <c r="I538" s="22" t="s">
        <v>1083</v>
      </c>
      <c r="J538" s="34" t="s">
        <v>2156</v>
      </c>
      <c r="K538" s="34">
        <v>53</v>
      </c>
    </row>
    <row r="539" spans="1:79" s="5" customFormat="1" ht="18" customHeight="1" x14ac:dyDescent="0.4">
      <c r="A539" s="9">
        <f t="shared" si="18"/>
        <v>538</v>
      </c>
      <c r="B539" s="10" t="s">
        <v>1767</v>
      </c>
      <c r="C539" s="10"/>
      <c r="D539" s="11" t="s">
        <v>821</v>
      </c>
      <c r="E539" s="10" t="s">
        <v>46</v>
      </c>
      <c r="F539" s="10" t="s">
        <v>231</v>
      </c>
      <c r="G539" s="10" t="s">
        <v>1823</v>
      </c>
      <c r="H539" s="46" t="s">
        <v>15</v>
      </c>
      <c r="I539" s="10" t="s">
        <v>1824</v>
      </c>
      <c r="J539" s="34" t="s">
        <v>2158</v>
      </c>
      <c r="K539" s="34">
        <v>17</v>
      </c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</row>
    <row r="540" spans="1:79" ht="18" hidden="1" customHeight="1" x14ac:dyDescent="0.4">
      <c r="A540" s="6">
        <f t="shared" si="18"/>
        <v>539</v>
      </c>
      <c r="B540" s="14" t="s">
        <v>1479</v>
      </c>
      <c r="C540" s="14" t="s">
        <v>493</v>
      </c>
      <c r="D540" s="15" t="s">
        <v>2229</v>
      </c>
      <c r="E540" s="14" t="s">
        <v>330</v>
      </c>
      <c r="F540" s="14" t="s">
        <v>1480</v>
      </c>
      <c r="G540" s="14"/>
      <c r="H540" s="47" t="s">
        <v>49</v>
      </c>
      <c r="I540" s="14" t="s">
        <v>1481</v>
      </c>
      <c r="J540" s="34"/>
      <c r="K540" s="34"/>
    </row>
    <row r="541" spans="1:79" ht="18" customHeight="1" x14ac:dyDescent="0.4">
      <c r="A541" s="9">
        <f t="shared" si="18"/>
        <v>540</v>
      </c>
      <c r="B541" s="14" t="s">
        <v>1479</v>
      </c>
      <c r="C541" s="14"/>
      <c r="D541" s="15" t="s">
        <v>17</v>
      </c>
      <c r="E541" s="14" t="s">
        <v>24</v>
      </c>
      <c r="F541" s="14" t="s">
        <v>184</v>
      </c>
      <c r="G541" s="14"/>
      <c r="H541" s="46" t="s">
        <v>15</v>
      </c>
      <c r="I541" s="10" t="s">
        <v>1482</v>
      </c>
      <c r="J541" s="34" t="s">
        <v>2157</v>
      </c>
      <c r="K541" s="34">
        <v>21</v>
      </c>
    </row>
    <row r="542" spans="1:79" ht="18" customHeight="1" x14ac:dyDescent="0.4">
      <c r="A542" s="6">
        <f t="shared" si="18"/>
        <v>541</v>
      </c>
      <c r="B542" s="7" t="s">
        <v>10</v>
      </c>
      <c r="C542" s="7" t="s">
        <v>2154</v>
      </c>
      <c r="D542" s="11" t="s">
        <v>821</v>
      </c>
      <c r="E542" s="7" t="s">
        <v>46</v>
      </c>
      <c r="F542" s="7" t="s">
        <v>543</v>
      </c>
      <c r="G542" s="7" t="s">
        <v>544</v>
      </c>
      <c r="H542" s="48" t="s">
        <v>15</v>
      </c>
      <c r="I542" s="7" t="s">
        <v>534</v>
      </c>
      <c r="J542" s="34" t="s">
        <v>2161</v>
      </c>
      <c r="K542" s="34">
        <v>19</v>
      </c>
    </row>
    <row r="543" spans="1:79" ht="18" customHeight="1" x14ac:dyDescent="0.4">
      <c r="A543" s="6">
        <f t="shared" si="18"/>
        <v>542</v>
      </c>
      <c r="B543" s="14" t="s">
        <v>1051</v>
      </c>
      <c r="C543" s="14" t="s">
        <v>1084</v>
      </c>
      <c r="D543" s="15" t="s">
        <v>821</v>
      </c>
      <c r="E543" s="14" t="s">
        <v>1085</v>
      </c>
      <c r="F543" s="14" t="s">
        <v>1086</v>
      </c>
      <c r="G543" s="14" t="s">
        <v>29</v>
      </c>
      <c r="H543" s="46" t="s">
        <v>15</v>
      </c>
      <c r="I543" s="14" t="s">
        <v>1087</v>
      </c>
      <c r="J543" s="34" t="s">
        <v>2156</v>
      </c>
      <c r="K543" s="34">
        <v>54</v>
      </c>
    </row>
    <row r="544" spans="1:79" ht="18" hidden="1" customHeight="1" x14ac:dyDescent="0.4">
      <c r="A544" s="6">
        <f t="shared" si="18"/>
        <v>543</v>
      </c>
      <c r="B544" s="14" t="s">
        <v>1479</v>
      </c>
      <c r="C544" s="14"/>
      <c r="D544" s="15" t="s">
        <v>2229</v>
      </c>
      <c r="E544" s="14" t="s">
        <v>1487</v>
      </c>
      <c r="F544" s="14" t="s">
        <v>1488</v>
      </c>
      <c r="G544" s="14"/>
      <c r="H544" s="48" t="s">
        <v>49</v>
      </c>
      <c r="I544" s="10" t="s">
        <v>1489</v>
      </c>
      <c r="J544" s="34"/>
      <c r="K544" s="34"/>
    </row>
    <row r="545" spans="1:11" ht="18" customHeight="1" x14ac:dyDescent="0.4">
      <c r="A545" s="9">
        <f t="shared" si="18"/>
        <v>544</v>
      </c>
      <c r="B545" s="28" t="s">
        <v>1479</v>
      </c>
      <c r="C545" s="28" t="s">
        <v>909</v>
      </c>
      <c r="D545" s="29" t="s">
        <v>17</v>
      </c>
      <c r="E545" s="28" t="s">
        <v>84</v>
      </c>
      <c r="F545" s="28" t="s">
        <v>1490</v>
      </c>
      <c r="G545" s="28" t="s">
        <v>1491</v>
      </c>
      <c r="H545" s="46" t="s">
        <v>15</v>
      </c>
      <c r="I545" s="28" t="s">
        <v>1492</v>
      </c>
      <c r="J545" s="34" t="s">
        <v>2158</v>
      </c>
      <c r="K545" s="34">
        <v>3</v>
      </c>
    </row>
    <row r="546" spans="1:11" ht="18" customHeight="1" x14ac:dyDescent="0.4">
      <c r="A546" s="9">
        <f t="shared" si="18"/>
        <v>545</v>
      </c>
      <c r="B546" s="26" t="s">
        <v>1207</v>
      </c>
      <c r="C546" s="26" t="s">
        <v>923</v>
      </c>
      <c r="D546" s="15" t="s">
        <v>821</v>
      </c>
      <c r="E546" s="26" t="s">
        <v>497</v>
      </c>
      <c r="F546" s="26" t="s">
        <v>1386</v>
      </c>
      <c r="G546" s="26" t="s">
        <v>1387</v>
      </c>
      <c r="H546" s="46" t="s">
        <v>15</v>
      </c>
      <c r="I546" s="26" t="s">
        <v>1377</v>
      </c>
      <c r="J546" s="34" t="s">
        <v>2156</v>
      </c>
      <c r="K546" s="34">
        <v>55</v>
      </c>
    </row>
    <row r="547" spans="1:11" ht="18" customHeight="1" x14ac:dyDescent="0.4">
      <c r="A547" s="6">
        <f t="shared" si="18"/>
        <v>546</v>
      </c>
      <c r="B547" s="26" t="s">
        <v>1207</v>
      </c>
      <c r="C547" s="26" t="s">
        <v>923</v>
      </c>
      <c r="D547" s="15" t="s">
        <v>821</v>
      </c>
      <c r="E547" s="26" t="s">
        <v>275</v>
      </c>
      <c r="F547" s="26" t="s">
        <v>1267</v>
      </c>
      <c r="G547" s="26" t="s">
        <v>663</v>
      </c>
      <c r="H547" s="46" t="s">
        <v>15</v>
      </c>
      <c r="I547" s="26" t="s">
        <v>1377</v>
      </c>
      <c r="J547" s="34" t="s">
        <v>2156</v>
      </c>
      <c r="K547" s="34">
        <v>56</v>
      </c>
    </row>
    <row r="548" spans="1:11" ht="18" hidden="1" customHeight="1" x14ac:dyDescent="0.4">
      <c r="A548" s="6">
        <f t="shared" si="18"/>
        <v>547</v>
      </c>
      <c r="B548" s="28" t="s">
        <v>1479</v>
      </c>
      <c r="C548" s="28"/>
      <c r="D548" s="29" t="s">
        <v>2229</v>
      </c>
      <c r="E548" s="28" t="s">
        <v>684</v>
      </c>
      <c r="F548" s="28" t="s">
        <v>1497</v>
      </c>
      <c r="G548" s="28" t="s">
        <v>1497</v>
      </c>
      <c r="H548" s="48" t="s">
        <v>49</v>
      </c>
      <c r="I548" s="28" t="s">
        <v>1496</v>
      </c>
      <c r="J548" s="34"/>
      <c r="K548" s="34"/>
    </row>
    <row r="549" spans="1:11" ht="18" customHeight="1" x14ac:dyDescent="0.4">
      <c r="A549" s="9">
        <f t="shared" si="18"/>
        <v>548</v>
      </c>
      <c r="B549" s="26"/>
      <c r="C549" s="26" t="s">
        <v>923</v>
      </c>
      <c r="D549" s="15" t="s">
        <v>821</v>
      </c>
      <c r="E549" s="14" t="s">
        <v>1424</v>
      </c>
      <c r="F549" s="14" t="s">
        <v>238</v>
      </c>
      <c r="G549" s="14" t="s">
        <v>2146</v>
      </c>
      <c r="H549" s="49" t="s">
        <v>15</v>
      </c>
      <c r="I549" s="26" t="s">
        <v>1377</v>
      </c>
      <c r="J549" s="34" t="s">
        <v>2156</v>
      </c>
      <c r="K549" s="34">
        <v>57</v>
      </c>
    </row>
    <row r="550" spans="1:11" ht="18" customHeight="1" x14ac:dyDescent="0.4">
      <c r="A550" s="6">
        <f t="shared" si="18"/>
        <v>549</v>
      </c>
      <c r="B550" s="22" t="s">
        <v>1051</v>
      </c>
      <c r="C550" s="22" t="s">
        <v>2150</v>
      </c>
      <c r="D550" s="15" t="s">
        <v>821</v>
      </c>
      <c r="E550" s="22" t="s">
        <v>324</v>
      </c>
      <c r="F550" s="22" t="s">
        <v>1098</v>
      </c>
      <c r="G550" s="22" t="s">
        <v>1099</v>
      </c>
      <c r="H550" s="49" t="s">
        <v>15</v>
      </c>
      <c r="I550" s="22" t="s">
        <v>1100</v>
      </c>
      <c r="J550" s="34" t="s">
        <v>2157</v>
      </c>
      <c r="K550" s="34">
        <v>50</v>
      </c>
    </row>
    <row r="551" spans="1:11" ht="18" customHeight="1" x14ac:dyDescent="0.4">
      <c r="A551" s="9">
        <f t="shared" si="18"/>
        <v>550</v>
      </c>
      <c r="B551" s="22" t="s">
        <v>1051</v>
      </c>
      <c r="C551" s="22" t="s">
        <v>532</v>
      </c>
      <c r="D551" s="15" t="s">
        <v>821</v>
      </c>
      <c r="E551" s="22" t="s">
        <v>1101</v>
      </c>
      <c r="F551" s="22" t="s">
        <v>1102</v>
      </c>
      <c r="G551" s="22" t="s">
        <v>310</v>
      </c>
      <c r="H551" s="46" t="s">
        <v>15</v>
      </c>
      <c r="I551" s="22" t="s">
        <v>1103</v>
      </c>
      <c r="J551" s="34" t="s">
        <v>2157</v>
      </c>
      <c r="K551" s="34">
        <v>51</v>
      </c>
    </row>
    <row r="552" spans="1:11" ht="18" hidden="1" customHeight="1" x14ac:dyDescent="0.4">
      <c r="A552" s="6">
        <f t="shared" si="18"/>
        <v>551</v>
      </c>
      <c r="B552" s="28" t="s">
        <v>1479</v>
      </c>
      <c r="C552" s="28"/>
      <c r="D552" s="29" t="s">
        <v>2229</v>
      </c>
      <c r="E552" s="28" t="s">
        <v>818</v>
      </c>
      <c r="F552" s="28" t="s">
        <v>1503</v>
      </c>
      <c r="G552" s="28" t="s">
        <v>1504</v>
      </c>
      <c r="H552" s="48" t="s">
        <v>49</v>
      </c>
      <c r="I552" s="28" t="s">
        <v>1505</v>
      </c>
      <c r="J552" s="34"/>
      <c r="K552" s="34"/>
    </row>
    <row r="553" spans="1:11" ht="18" customHeight="1" x14ac:dyDescent="0.4">
      <c r="A553" s="9">
        <f t="shared" si="18"/>
        <v>552</v>
      </c>
      <c r="B553" s="14" t="s">
        <v>1479</v>
      </c>
      <c r="C553" s="14" t="s">
        <v>442</v>
      </c>
      <c r="D553" s="15" t="s">
        <v>17</v>
      </c>
      <c r="E553" s="14" t="s">
        <v>46</v>
      </c>
      <c r="F553" s="14" t="s">
        <v>1506</v>
      </c>
      <c r="G553" s="14" t="s">
        <v>1507</v>
      </c>
      <c r="H553" s="46" t="s">
        <v>15</v>
      </c>
      <c r="I553" s="10" t="s">
        <v>1508</v>
      </c>
      <c r="J553" s="34" t="s">
        <v>2158</v>
      </c>
      <c r="K553" s="34">
        <v>7</v>
      </c>
    </row>
    <row r="554" spans="1:11" ht="18" customHeight="1" x14ac:dyDescent="0.4">
      <c r="A554" s="9">
        <f t="shared" si="18"/>
        <v>553</v>
      </c>
      <c r="B554" s="26" t="s">
        <v>1207</v>
      </c>
      <c r="C554" s="26" t="s">
        <v>2214</v>
      </c>
      <c r="D554" s="15" t="s">
        <v>821</v>
      </c>
      <c r="E554" s="26" t="s">
        <v>405</v>
      </c>
      <c r="F554" s="26" t="s">
        <v>1376</v>
      </c>
      <c r="G554" s="26" t="s">
        <v>1378</v>
      </c>
      <c r="H554" s="46" t="s">
        <v>15</v>
      </c>
      <c r="I554" s="26" t="s">
        <v>1377</v>
      </c>
      <c r="J554" s="34" t="s">
        <v>2155</v>
      </c>
      <c r="K554" s="34">
        <v>51</v>
      </c>
    </row>
    <row r="555" spans="1:11" ht="18" customHeight="1" x14ac:dyDescent="0.4">
      <c r="A555" s="6">
        <f t="shared" si="18"/>
        <v>554</v>
      </c>
      <c r="B555" s="14" t="s">
        <v>1479</v>
      </c>
      <c r="C555" s="14"/>
      <c r="D555" s="15" t="s">
        <v>821</v>
      </c>
      <c r="E555" s="14" t="s">
        <v>59</v>
      </c>
      <c r="F555" s="14" t="s">
        <v>658</v>
      </c>
      <c r="G555" s="14"/>
      <c r="H555" s="46" t="s">
        <v>15</v>
      </c>
      <c r="I555" s="10" t="s">
        <v>1483</v>
      </c>
      <c r="J555" s="34" t="s">
        <v>2156</v>
      </c>
      <c r="K555" s="34">
        <v>58</v>
      </c>
    </row>
    <row r="556" spans="1:11" ht="18" customHeight="1" x14ac:dyDescent="0.4">
      <c r="A556" s="6">
        <f t="shared" si="18"/>
        <v>555</v>
      </c>
      <c r="B556" s="26" t="s">
        <v>1207</v>
      </c>
      <c r="C556" s="26"/>
      <c r="D556" s="15" t="s">
        <v>821</v>
      </c>
      <c r="E556" s="26" t="s">
        <v>405</v>
      </c>
      <c r="F556" s="26" t="s">
        <v>1311</v>
      </c>
      <c r="G556" s="26" t="s">
        <v>1312</v>
      </c>
      <c r="H556" s="46" t="s">
        <v>15</v>
      </c>
      <c r="I556" s="26" t="s">
        <v>1313</v>
      </c>
      <c r="J556" s="34" t="s">
        <v>2155</v>
      </c>
      <c r="K556" s="34">
        <v>52</v>
      </c>
    </row>
    <row r="557" spans="1:11" ht="18" customHeight="1" x14ac:dyDescent="0.4">
      <c r="A557" s="9">
        <f t="shared" si="18"/>
        <v>556</v>
      </c>
      <c r="B557" s="14" t="s">
        <v>1479</v>
      </c>
      <c r="C557" s="14"/>
      <c r="D557" s="15" t="s">
        <v>17</v>
      </c>
      <c r="E557" s="14" t="s">
        <v>222</v>
      </c>
      <c r="F557" s="14" t="s">
        <v>1516</v>
      </c>
      <c r="G557" s="14" t="s">
        <v>96</v>
      </c>
      <c r="H557" s="46" t="s">
        <v>15</v>
      </c>
      <c r="I557" s="10" t="s">
        <v>1517</v>
      </c>
      <c r="J557" s="34" t="s">
        <v>2157</v>
      </c>
      <c r="K557" s="34">
        <v>43</v>
      </c>
    </row>
    <row r="558" spans="1:11" ht="18" hidden="1" customHeight="1" x14ac:dyDescent="0.4">
      <c r="A558" s="6">
        <f t="shared" si="18"/>
        <v>557</v>
      </c>
      <c r="B558" s="14" t="s">
        <v>1479</v>
      </c>
      <c r="C558" s="14"/>
      <c r="D558" s="15" t="s">
        <v>2229</v>
      </c>
      <c r="E558" s="14" t="s">
        <v>351</v>
      </c>
      <c r="F558" s="14" t="s">
        <v>1516</v>
      </c>
      <c r="G558" s="14" t="s">
        <v>1518</v>
      </c>
      <c r="H558" s="48" t="s">
        <v>49</v>
      </c>
      <c r="I558" s="14" t="s">
        <v>1519</v>
      </c>
      <c r="J558" s="34"/>
      <c r="K558" s="34"/>
    </row>
    <row r="559" spans="1:11" ht="18" customHeight="1" x14ac:dyDescent="0.4">
      <c r="A559" s="9">
        <f t="shared" si="18"/>
        <v>558</v>
      </c>
      <c r="B559" s="28" t="s">
        <v>1479</v>
      </c>
      <c r="C559" s="28" t="s">
        <v>493</v>
      </c>
      <c r="D559" s="29" t="s">
        <v>17</v>
      </c>
      <c r="E559" s="28" t="s">
        <v>377</v>
      </c>
      <c r="F559" s="28" t="s">
        <v>151</v>
      </c>
      <c r="G559" s="28"/>
      <c r="H559" s="46" t="s">
        <v>15</v>
      </c>
      <c r="I559" s="28" t="s">
        <v>1520</v>
      </c>
      <c r="J559" s="34" t="s">
        <v>2157</v>
      </c>
      <c r="K559" s="34">
        <v>33</v>
      </c>
    </row>
    <row r="560" spans="1:11" ht="18" customHeight="1" x14ac:dyDescent="0.4">
      <c r="A560" s="6">
        <f t="shared" si="18"/>
        <v>559</v>
      </c>
      <c r="B560" s="30" t="s">
        <v>1767</v>
      </c>
      <c r="C560" s="30" t="s">
        <v>961</v>
      </c>
      <c r="D560" s="31" t="s">
        <v>821</v>
      </c>
      <c r="E560" s="30" t="s">
        <v>351</v>
      </c>
      <c r="F560" s="30" t="s">
        <v>1825</v>
      </c>
      <c r="G560" s="30" t="s">
        <v>1826</v>
      </c>
      <c r="H560" s="46" t="s">
        <v>15</v>
      </c>
      <c r="I560" s="30" t="s">
        <v>1827</v>
      </c>
      <c r="J560" s="34" t="s">
        <v>2158</v>
      </c>
      <c r="K560" s="34">
        <v>18</v>
      </c>
    </row>
    <row r="561" spans="1:11" ht="18" customHeight="1" x14ac:dyDescent="0.4">
      <c r="A561" s="9">
        <f t="shared" si="18"/>
        <v>560</v>
      </c>
      <c r="B561" s="14" t="s">
        <v>1479</v>
      </c>
      <c r="C561" s="14" t="s">
        <v>909</v>
      </c>
      <c r="D561" s="15" t="s">
        <v>17</v>
      </c>
      <c r="E561" s="14" t="s">
        <v>1523</v>
      </c>
      <c r="F561" s="14" t="s">
        <v>1524</v>
      </c>
      <c r="G561" s="14" t="s">
        <v>1525</v>
      </c>
      <c r="H561" s="46" t="s">
        <v>15</v>
      </c>
      <c r="I561" s="10" t="s">
        <v>1526</v>
      </c>
      <c r="J561" s="34" t="s">
        <v>2158</v>
      </c>
      <c r="K561" s="34">
        <v>2</v>
      </c>
    </row>
    <row r="562" spans="1:11" ht="18" customHeight="1" x14ac:dyDescent="0.4">
      <c r="A562" s="6">
        <f t="shared" si="18"/>
        <v>561</v>
      </c>
      <c r="B562" s="30" t="s">
        <v>1767</v>
      </c>
      <c r="C562" s="30"/>
      <c r="D562" s="31" t="s">
        <v>821</v>
      </c>
      <c r="E562" s="30" t="s">
        <v>1830</v>
      </c>
      <c r="F562" s="30" t="s">
        <v>619</v>
      </c>
      <c r="G562" s="30" t="s">
        <v>1831</v>
      </c>
      <c r="H562" s="46" t="s">
        <v>15</v>
      </c>
      <c r="I562" s="30" t="s">
        <v>1832</v>
      </c>
      <c r="J562" s="34" t="s">
        <v>2158</v>
      </c>
      <c r="K562" s="34">
        <v>19</v>
      </c>
    </row>
    <row r="563" spans="1:11" ht="18" hidden="1" customHeight="1" x14ac:dyDescent="0.4">
      <c r="A563" s="9">
        <f t="shared" si="18"/>
        <v>562</v>
      </c>
      <c r="B563" s="28" t="s">
        <v>1479</v>
      </c>
      <c r="C563" s="28"/>
      <c r="D563" s="29" t="s">
        <v>2229</v>
      </c>
      <c r="E563" s="28" t="s">
        <v>721</v>
      </c>
      <c r="F563" s="28" t="s">
        <v>1530</v>
      </c>
      <c r="G563" s="28"/>
      <c r="H563" s="48" t="s">
        <v>49</v>
      </c>
      <c r="I563" s="28" t="s">
        <v>1531</v>
      </c>
      <c r="J563" s="34"/>
      <c r="K563" s="34"/>
    </row>
    <row r="564" spans="1:11" ht="18" customHeight="1" x14ac:dyDescent="0.4">
      <c r="A564" s="6">
        <f t="shared" ref="A564:A595" si="19">IF(COUNTA(B564:I564)=0,"",ROW()-1)</f>
        <v>563</v>
      </c>
      <c r="B564" s="28" t="s">
        <v>1479</v>
      </c>
      <c r="C564" s="28"/>
      <c r="D564" s="29" t="s">
        <v>17</v>
      </c>
      <c r="E564" s="28" t="s">
        <v>1532</v>
      </c>
      <c r="F564" s="28" t="s">
        <v>1533</v>
      </c>
      <c r="G564" s="28"/>
      <c r="H564" s="46" t="s">
        <v>15</v>
      </c>
      <c r="I564" s="28" t="s">
        <v>1534</v>
      </c>
      <c r="J564" s="34" t="s">
        <v>2157</v>
      </c>
      <c r="K564" s="34">
        <v>45</v>
      </c>
    </row>
    <row r="565" spans="1:11" ht="18" customHeight="1" x14ac:dyDescent="0.4">
      <c r="A565" s="9">
        <f t="shared" si="19"/>
        <v>564</v>
      </c>
      <c r="B565" s="22" t="s">
        <v>1051</v>
      </c>
      <c r="C565" s="22" t="s">
        <v>1113</v>
      </c>
      <c r="D565" s="15" t="s">
        <v>821</v>
      </c>
      <c r="E565" s="22" t="s">
        <v>958</v>
      </c>
      <c r="F565" s="22" t="s">
        <v>1114</v>
      </c>
      <c r="G565" s="22" t="s">
        <v>119</v>
      </c>
      <c r="H565" s="46" t="s">
        <v>15</v>
      </c>
      <c r="I565" s="22" t="s">
        <v>1115</v>
      </c>
      <c r="J565" s="34" t="s">
        <v>2157</v>
      </c>
      <c r="K565" s="34">
        <v>52</v>
      </c>
    </row>
    <row r="566" spans="1:11" ht="18" customHeight="1" x14ac:dyDescent="0.4">
      <c r="A566" s="6">
        <f t="shared" si="19"/>
        <v>565</v>
      </c>
      <c r="B566" s="14" t="s">
        <v>1051</v>
      </c>
      <c r="C566" s="14" t="s">
        <v>532</v>
      </c>
      <c r="D566" s="15" t="s">
        <v>821</v>
      </c>
      <c r="E566" s="14" t="s">
        <v>1032</v>
      </c>
      <c r="F566" s="14" t="s">
        <v>1110</v>
      </c>
      <c r="G566" s="14" t="s">
        <v>1111</v>
      </c>
      <c r="H566" s="46" t="s">
        <v>15</v>
      </c>
      <c r="I566" s="14" t="s">
        <v>1112</v>
      </c>
      <c r="J566" s="34" t="s">
        <v>2157</v>
      </c>
      <c r="K566" s="34">
        <v>53</v>
      </c>
    </row>
    <row r="567" spans="1:11" ht="18" customHeight="1" x14ac:dyDescent="0.4">
      <c r="A567" s="9">
        <f t="shared" si="19"/>
        <v>566</v>
      </c>
      <c r="B567" s="14" t="s">
        <v>1207</v>
      </c>
      <c r="C567" s="14" t="s">
        <v>578</v>
      </c>
      <c r="D567" s="15" t="s">
        <v>821</v>
      </c>
      <c r="E567" s="14" t="s">
        <v>1228</v>
      </c>
      <c r="F567" s="14" t="s">
        <v>1229</v>
      </c>
      <c r="G567" s="14" t="s">
        <v>402</v>
      </c>
      <c r="H567" s="46" t="s">
        <v>15</v>
      </c>
      <c r="I567" s="14" t="s">
        <v>1230</v>
      </c>
      <c r="J567" s="34" t="s">
        <v>2158</v>
      </c>
      <c r="K567" s="34">
        <v>20</v>
      </c>
    </row>
    <row r="568" spans="1:11" ht="18" customHeight="1" x14ac:dyDescent="0.4">
      <c r="A568" s="6">
        <f t="shared" si="19"/>
        <v>567</v>
      </c>
      <c r="B568" s="14" t="s">
        <v>1051</v>
      </c>
      <c r="C568" s="14" t="s">
        <v>532</v>
      </c>
      <c r="D568" s="15" t="s">
        <v>821</v>
      </c>
      <c r="E568" s="14" t="s">
        <v>1104</v>
      </c>
      <c r="F568" s="14" t="s">
        <v>1105</v>
      </c>
      <c r="G568" s="14" t="s">
        <v>1082</v>
      </c>
      <c r="H568" s="47" t="s">
        <v>15</v>
      </c>
      <c r="I568" s="14" t="s">
        <v>1106</v>
      </c>
      <c r="J568" s="34" t="s">
        <v>2157</v>
      </c>
      <c r="K568" s="34">
        <v>54</v>
      </c>
    </row>
    <row r="569" spans="1:11" ht="18" hidden="1" customHeight="1" x14ac:dyDescent="0.4">
      <c r="A569" s="9">
        <f t="shared" si="19"/>
        <v>568</v>
      </c>
      <c r="B569" s="28" t="s">
        <v>1479</v>
      </c>
      <c r="C569" s="28"/>
      <c r="D569" s="29"/>
      <c r="E569" s="28" t="s">
        <v>1474</v>
      </c>
      <c r="F569" s="28" t="s">
        <v>1541</v>
      </c>
      <c r="G569" s="28"/>
      <c r="H569" s="47" t="s">
        <v>49</v>
      </c>
      <c r="I569" s="28" t="s">
        <v>1542</v>
      </c>
      <c r="J569" s="34"/>
      <c r="K569" s="34"/>
    </row>
    <row r="570" spans="1:11" ht="18" hidden="1" customHeight="1" x14ac:dyDescent="0.4">
      <c r="A570" s="6">
        <f t="shared" si="19"/>
        <v>569</v>
      </c>
      <c r="B570" s="14" t="s">
        <v>1479</v>
      </c>
      <c r="C570" s="14" t="s">
        <v>65</v>
      </c>
      <c r="D570" s="15" t="s">
        <v>2229</v>
      </c>
      <c r="E570" s="14" t="s">
        <v>333</v>
      </c>
      <c r="F570" s="14" t="s">
        <v>1543</v>
      </c>
      <c r="G570" s="14" t="s">
        <v>123</v>
      </c>
      <c r="H570" s="47" t="s">
        <v>49</v>
      </c>
      <c r="I570" s="14" t="s">
        <v>1544</v>
      </c>
      <c r="J570" s="34"/>
      <c r="K570" s="34"/>
    </row>
    <row r="571" spans="1:11" ht="18" customHeight="1" x14ac:dyDescent="0.4">
      <c r="A571" s="9">
        <f t="shared" si="19"/>
        <v>570</v>
      </c>
      <c r="B571" s="14" t="s">
        <v>1479</v>
      </c>
      <c r="C571" s="14"/>
      <c r="D571" s="15" t="s">
        <v>17</v>
      </c>
      <c r="E571" s="14" t="s">
        <v>324</v>
      </c>
      <c r="F571" s="14" t="s">
        <v>96</v>
      </c>
      <c r="G571" s="14"/>
      <c r="H571" s="46" t="s">
        <v>15</v>
      </c>
      <c r="I571" s="14" t="s">
        <v>1545</v>
      </c>
      <c r="J571" s="34" t="s">
        <v>2157</v>
      </c>
      <c r="K571" s="34">
        <v>32</v>
      </c>
    </row>
    <row r="572" spans="1:11" ht="18" customHeight="1" x14ac:dyDescent="0.4">
      <c r="A572" s="6">
        <f t="shared" si="19"/>
        <v>571</v>
      </c>
      <c r="B572" s="28" t="s">
        <v>1479</v>
      </c>
      <c r="C572" s="28" t="s">
        <v>65</v>
      </c>
      <c r="D572" s="29" t="s">
        <v>17</v>
      </c>
      <c r="E572" s="28" t="s">
        <v>347</v>
      </c>
      <c r="F572" s="28" t="s">
        <v>123</v>
      </c>
      <c r="G572" s="28" t="s">
        <v>1546</v>
      </c>
      <c r="H572" s="46" t="s">
        <v>15</v>
      </c>
      <c r="I572" s="28" t="s">
        <v>1547</v>
      </c>
      <c r="J572" s="34" t="s">
        <v>2157</v>
      </c>
      <c r="K572" s="34">
        <v>30</v>
      </c>
    </row>
    <row r="573" spans="1:11" ht="18" hidden="1" customHeight="1" x14ac:dyDescent="0.4">
      <c r="A573" s="9">
        <f t="shared" si="19"/>
        <v>572</v>
      </c>
      <c r="B573" s="28" t="s">
        <v>1479</v>
      </c>
      <c r="C573" s="28"/>
      <c r="D573" s="29" t="s">
        <v>2229</v>
      </c>
      <c r="E573" s="28" t="s">
        <v>1548</v>
      </c>
      <c r="F573" s="28" t="s">
        <v>123</v>
      </c>
      <c r="G573" s="28" t="s">
        <v>1549</v>
      </c>
      <c r="H573" s="47" t="s">
        <v>49</v>
      </c>
      <c r="I573" s="28" t="s">
        <v>1550</v>
      </c>
      <c r="J573" s="34"/>
      <c r="K573" s="34"/>
    </row>
    <row r="574" spans="1:11" ht="18" customHeight="1" x14ac:dyDescent="0.4">
      <c r="A574" s="6">
        <f t="shared" si="19"/>
        <v>573</v>
      </c>
      <c r="B574" s="14" t="s">
        <v>1051</v>
      </c>
      <c r="C574" s="14" t="s">
        <v>532</v>
      </c>
      <c r="D574" s="15" t="s">
        <v>821</v>
      </c>
      <c r="E574" s="14" t="s">
        <v>46</v>
      </c>
      <c r="F574" s="14" t="s">
        <v>1092</v>
      </c>
      <c r="G574" s="14" t="s">
        <v>1093</v>
      </c>
      <c r="H574" s="47" t="s">
        <v>15</v>
      </c>
      <c r="I574" s="14" t="s">
        <v>1094</v>
      </c>
      <c r="J574" s="34" t="s">
        <v>2157</v>
      </c>
      <c r="K574" s="34">
        <v>55</v>
      </c>
    </row>
    <row r="575" spans="1:11" ht="18" hidden="1" customHeight="1" x14ac:dyDescent="0.4">
      <c r="A575" s="9">
        <f t="shared" si="19"/>
        <v>574</v>
      </c>
      <c r="B575" s="28" t="s">
        <v>1479</v>
      </c>
      <c r="C575" s="28" t="s">
        <v>65</v>
      </c>
      <c r="D575" s="29" t="s">
        <v>2229</v>
      </c>
      <c r="E575" s="28" t="s">
        <v>59</v>
      </c>
      <c r="F575" s="28" t="s">
        <v>1553</v>
      </c>
      <c r="G575" s="28"/>
      <c r="H575" s="48" t="s">
        <v>49</v>
      </c>
      <c r="I575" s="28" t="s">
        <v>1554</v>
      </c>
      <c r="J575" s="34"/>
      <c r="K575" s="34"/>
    </row>
    <row r="576" spans="1:11" ht="18" hidden="1" customHeight="1" x14ac:dyDescent="0.4">
      <c r="A576" s="6">
        <f t="shared" si="19"/>
        <v>575</v>
      </c>
      <c r="B576" s="28" t="s">
        <v>1479</v>
      </c>
      <c r="C576" s="28"/>
      <c r="D576" s="29" t="s">
        <v>2229</v>
      </c>
      <c r="E576" s="28" t="s">
        <v>90</v>
      </c>
      <c r="F576" s="28" t="s">
        <v>1553</v>
      </c>
      <c r="G576" s="28"/>
      <c r="H576" s="47" t="s">
        <v>49</v>
      </c>
      <c r="I576" s="28" t="s">
        <v>1555</v>
      </c>
      <c r="J576" s="34"/>
      <c r="K576" s="34"/>
    </row>
    <row r="577" spans="1:11" ht="18" customHeight="1" x14ac:dyDescent="0.4">
      <c r="A577" s="9">
        <f t="shared" si="19"/>
        <v>576</v>
      </c>
      <c r="B577" s="14" t="s">
        <v>1479</v>
      </c>
      <c r="C577" s="14"/>
      <c r="D577" s="15" t="s">
        <v>17</v>
      </c>
      <c r="E577" s="14" t="s">
        <v>1556</v>
      </c>
      <c r="F577" s="14" t="s">
        <v>1557</v>
      </c>
      <c r="G577" s="14" t="s">
        <v>1558</v>
      </c>
      <c r="H577" s="47" t="s">
        <v>15</v>
      </c>
      <c r="I577" s="14" t="s">
        <v>1559</v>
      </c>
      <c r="J577" s="34" t="s">
        <v>2157</v>
      </c>
      <c r="K577" s="34">
        <v>26</v>
      </c>
    </row>
    <row r="578" spans="1:11" ht="18" customHeight="1" x14ac:dyDescent="0.4">
      <c r="A578" s="6">
        <f t="shared" si="19"/>
        <v>577</v>
      </c>
      <c r="B578" s="14" t="s">
        <v>1479</v>
      </c>
      <c r="C578" s="14"/>
      <c r="D578" s="15" t="s">
        <v>17</v>
      </c>
      <c r="E578" s="14" t="s">
        <v>476</v>
      </c>
      <c r="F578" s="14" t="s">
        <v>270</v>
      </c>
      <c r="G578" s="14" t="s">
        <v>1560</v>
      </c>
      <c r="H578" s="46" t="s">
        <v>15</v>
      </c>
      <c r="I578" s="14" t="s">
        <v>1561</v>
      </c>
      <c r="J578" s="34" t="s">
        <v>2157</v>
      </c>
      <c r="K578" s="34">
        <v>27</v>
      </c>
    </row>
    <row r="579" spans="1:11" ht="18" hidden="1" customHeight="1" x14ac:dyDescent="0.4">
      <c r="A579" s="9">
        <f t="shared" si="19"/>
        <v>578</v>
      </c>
      <c r="B579" s="28" t="s">
        <v>1479</v>
      </c>
      <c r="C579" s="28"/>
      <c r="D579" s="29" t="s">
        <v>2229</v>
      </c>
      <c r="E579" s="14" t="s">
        <v>1562</v>
      </c>
      <c r="F579" s="14" t="s">
        <v>212</v>
      </c>
      <c r="G579" s="14" t="s">
        <v>1563</v>
      </c>
      <c r="H579" s="47" t="s">
        <v>49</v>
      </c>
      <c r="I579" s="28" t="s">
        <v>1564</v>
      </c>
      <c r="J579" s="34"/>
      <c r="K579" s="34"/>
    </row>
    <row r="580" spans="1:11" ht="18" hidden="1" customHeight="1" x14ac:dyDescent="0.4">
      <c r="A580" s="6">
        <f t="shared" si="19"/>
        <v>579</v>
      </c>
      <c r="B580" s="28" t="s">
        <v>1479</v>
      </c>
      <c r="C580" s="28"/>
      <c r="D580" s="29" t="s">
        <v>2229</v>
      </c>
      <c r="E580" s="28" t="s">
        <v>1284</v>
      </c>
      <c r="F580" s="28" t="s">
        <v>1565</v>
      </c>
      <c r="G580" s="28" t="s">
        <v>1566</v>
      </c>
      <c r="H580" s="47" t="s">
        <v>49</v>
      </c>
      <c r="I580" s="28" t="s">
        <v>1567</v>
      </c>
      <c r="J580" s="34"/>
      <c r="K580" s="34"/>
    </row>
    <row r="581" spans="1:11" ht="18" hidden="1" customHeight="1" x14ac:dyDescent="0.4">
      <c r="A581" s="9">
        <f t="shared" si="19"/>
        <v>580</v>
      </c>
      <c r="B581" s="14" t="s">
        <v>1479</v>
      </c>
      <c r="C581" s="14"/>
      <c r="D581" s="15" t="s">
        <v>2229</v>
      </c>
      <c r="E581" s="14" t="s">
        <v>1568</v>
      </c>
      <c r="F581" s="14" t="s">
        <v>1569</v>
      </c>
      <c r="G581" s="14"/>
      <c r="H581" s="47" t="s">
        <v>49</v>
      </c>
      <c r="I581" s="14" t="s">
        <v>1570</v>
      </c>
      <c r="J581" s="34"/>
      <c r="K581" s="34"/>
    </row>
    <row r="582" spans="1:11" ht="18" hidden="1" customHeight="1" x14ac:dyDescent="0.4">
      <c r="A582" s="6">
        <f t="shared" si="19"/>
        <v>581</v>
      </c>
      <c r="B582" s="14" t="s">
        <v>1479</v>
      </c>
      <c r="C582" s="14"/>
      <c r="D582" s="15" t="s">
        <v>2229</v>
      </c>
      <c r="E582" s="14" t="s">
        <v>1571</v>
      </c>
      <c r="F582" s="14" t="s">
        <v>1572</v>
      </c>
      <c r="G582" s="14"/>
      <c r="H582" s="47" t="s">
        <v>49</v>
      </c>
      <c r="I582" s="14" t="s">
        <v>1573</v>
      </c>
      <c r="J582" s="34"/>
      <c r="K582" s="34"/>
    </row>
    <row r="583" spans="1:11" ht="18" hidden="1" customHeight="1" x14ac:dyDescent="0.4">
      <c r="A583" s="9">
        <f t="shared" si="19"/>
        <v>582</v>
      </c>
      <c r="B583" s="28" t="s">
        <v>1479</v>
      </c>
      <c r="C583" s="28"/>
      <c r="D583" s="29" t="s">
        <v>2229</v>
      </c>
      <c r="E583" s="28" t="s">
        <v>1574</v>
      </c>
      <c r="F583" s="28" t="s">
        <v>1575</v>
      </c>
      <c r="G583" s="28"/>
      <c r="H583" s="47" t="s">
        <v>49</v>
      </c>
      <c r="I583" s="28" t="s">
        <v>1576</v>
      </c>
      <c r="J583" s="34"/>
      <c r="K583" s="34"/>
    </row>
    <row r="584" spans="1:11" ht="18" hidden="1" customHeight="1" x14ac:dyDescent="0.4">
      <c r="A584" s="6">
        <f t="shared" si="19"/>
        <v>583</v>
      </c>
      <c r="B584" s="28" t="s">
        <v>1479</v>
      </c>
      <c r="C584" s="28"/>
      <c r="D584" s="29" t="s">
        <v>2229</v>
      </c>
      <c r="E584" s="28" t="s">
        <v>1577</v>
      </c>
      <c r="F584" s="28" t="s">
        <v>996</v>
      </c>
      <c r="G584" s="28"/>
      <c r="H584" s="47" t="s">
        <v>49</v>
      </c>
      <c r="I584" s="28" t="s">
        <v>1578</v>
      </c>
      <c r="J584" s="34"/>
      <c r="K584" s="34"/>
    </row>
    <row r="585" spans="1:11" ht="18" hidden="1" customHeight="1" x14ac:dyDescent="0.4">
      <c r="A585" s="9">
        <f t="shared" si="19"/>
        <v>584</v>
      </c>
      <c r="B585" s="14" t="s">
        <v>1479</v>
      </c>
      <c r="C585" s="14"/>
      <c r="D585" s="15" t="s">
        <v>2229</v>
      </c>
      <c r="E585" s="14" t="s">
        <v>1579</v>
      </c>
      <c r="F585" s="14" t="s">
        <v>1580</v>
      </c>
      <c r="G585" s="14"/>
      <c r="H585" s="47" t="s">
        <v>49</v>
      </c>
      <c r="I585" s="14" t="s">
        <v>1581</v>
      </c>
      <c r="J585" s="34"/>
      <c r="K585" s="34"/>
    </row>
    <row r="586" spans="1:11" ht="18" hidden="1" customHeight="1" x14ac:dyDescent="0.4">
      <c r="A586" s="6">
        <f t="shared" si="19"/>
        <v>585</v>
      </c>
      <c r="B586" s="28" t="s">
        <v>1479</v>
      </c>
      <c r="C586" s="28"/>
      <c r="D586" s="29" t="s">
        <v>2229</v>
      </c>
      <c r="E586" s="28" t="s">
        <v>929</v>
      </c>
      <c r="F586" s="28" t="s">
        <v>1582</v>
      </c>
      <c r="G586" s="28" t="s">
        <v>1583</v>
      </c>
      <c r="H586" s="48" t="s">
        <v>49</v>
      </c>
      <c r="I586" s="28" t="s">
        <v>1584</v>
      </c>
      <c r="J586" s="34"/>
      <c r="K586" s="34"/>
    </row>
    <row r="587" spans="1:11" ht="18" hidden="1" customHeight="1" x14ac:dyDescent="0.4">
      <c r="A587" s="9">
        <f t="shared" si="19"/>
        <v>586</v>
      </c>
      <c r="B587" s="28" t="s">
        <v>1479</v>
      </c>
      <c r="C587" s="28"/>
      <c r="D587" s="29" t="s">
        <v>2229</v>
      </c>
      <c r="E587" s="28" t="s">
        <v>1585</v>
      </c>
      <c r="F587" s="28" t="s">
        <v>1586</v>
      </c>
      <c r="G587" s="28"/>
      <c r="H587" s="47" t="s">
        <v>49</v>
      </c>
      <c r="I587" s="28" t="s">
        <v>1587</v>
      </c>
      <c r="J587" s="34"/>
      <c r="K587" s="34"/>
    </row>
    <row r="588" spans="1:11" ht="18" hidden="1" customHeight="1" x14ac:dyDescent="0.4">
      <c r="A588" s="6">
        <f t="shared" si="19"/>
        <v>587</v>
      </c>
      <c r="B588" s="28" t="s">
        <v>1479</v>
      </c>
      <c r="C588" s="28" t="s">
        <v>493</v>
      </c>
      <c r="D588" s="29" t="s">
        <v>2229</v>
      </c>
      <c r="E588" s="28" t="s">
        <v>1588</v>
      </c>
      <c r="F588" s="28" t="s">
        <v>1589</v>
      </c>
      <c r="G588" s="28" t="s">
        <v>1589</v>
      </c>
      <c r="H588" s="48" t="s">
        <v>49</v>
      </c>
      <c r="I588" s="28" t="s">
        <v>1590</v>
      </c>
      <c r="J588" s="34"/>
      <c r="K588" s="34"/>
    </row>
    <row r="589" spans="1:11" ht="18" customHeight="1" x14ac:dyDescent="0.4">
      <c r="A589" s="9">
        <f t="shared" si="19"/>
        <v>588</v>
      </c>
      <c r="B589" s="22" t="s">
        <v>1051</v>
      </c>
      <c r="C589" s="22" t="s">
        <v>532</v>
      </c>
      <c r="D589" s="15" t="s">
        <v>821</v>
      </c>
      <c r="E589" s="22" t="s">
        <v>1095</v>
      </c>
      <c r="F589" s="22" t="s">
        <v>1096</v>
      </c>
      <c r="G589" s="22" t="s">
        <v>61</v>
      </c>
      <c r="H589" s="46" t="s">
        <v>15</v>
      </c>
      <c r="I589" s="22" t="s">
        <v>1097</v>
      </c>
      <c r="J589" s="34" t="s">
        <v>2157</v>
      </c>
      <c r="K589" s="34">
        <v>56</v>
      </c>
    </row>
    <row r="590" spans="1:11" ht="18" hidden="1" customHeight="1" x14ac:dyDescent="0.4">
      <c r="A590" s="6">
        <f t="shared" si="19"/>
        <v>589</v>
      </c>
      <c r="B590" s="28" t="s">
        <v>1479</v>
      </c>
      <c r="C590" s="28"/>
      <c r="D590" s="29" t="s">
        <v>2229</v>
      </c>
      <c r="E590" s="28" t="s">
        <v>1593</v>
      </c>
      <c r="F590" s="28" t="s">
        <v>1594</v>
      </c>
      <c r="G590" s="28"/>
      <c r="H590" s="48" t="s">
        <v>49</v>
      </c>
      <c r="I590" s="28" t="s">
        <v>1595</v>
      </c>
      <c r="J590" s="34"/>
      <c r="K590" s="34"/>
    </row>
    <row r="591" spans="1:11" ht="18" hidden="1" customHeight="1" x14ac:dyDescent="0.4">
      <c r="A591" s="9">
        <f t="shared" si="19"/>
        <v>590</v>
      </c>
      <c r="B591" s="28" t="s">
        <v>1479</v>
      </c>
      <c r="C591" s="28"/>
      <c r="D591" s="29" t="s">
        <v>2229</v>
      </c>
      <c r="E591" s="28" t="s">
        <v>1596</v>
      </c>
      <c r="F591" s="28" t="s">
        <v>1597</v>
      </c>
      <c r="G591" s="28"/>
      <c r="H591" s="48" t="s">
        <v>49</v>
      </c>
      <c r="I591" s="28" t="s">
        <v>1598</v>
      </c>
      <c r="J591" s="34"/>
      <c r="K591" s="34"/>
    </row>
    <row r="592" spans="1:11" ht="18" customHeight="1" x14ac:dyDescent="0.4">
      <c r="A592" s="9">
        <f t="shared" si="19"/>
        <v>591</v>
      </c>
      <c r="B592" s="14" t="s">
        <v>917</v>
      </c>
      <c r="C592" s="14" t="s">
        <v>918</v>
      </c>
      <c r="D592" s="15" t="s">
        <v>821</v>
      </c>
      <c r="E592" s="14" t="s">
        <v>571</v>
      </c>
      <c r="F592" s="14" t="s">
        <v>367</v>
      </c>
      <c r="G592" s="14" t="s">
        <v>2163</v>
      </c>
      <c r="H592" s="47" t="s">
        <v>15</v>
      </c>
      <c r="I592" s="14" t="s">
        <v>2162</v>
      </c>
      <c r="J592" s="34" t="s">
        <v>2157</v>
      </c>
      <c r="K592" s="34">
        <v>57</v>
      </c>
    </row>
    <row r="593" spans="1:11" ht="18" customHeight="1" x14ac:dyDescent="0.4">
      <c r="A593" s="6">
        <f t="shared" si="19"/>
        <v>592</v>
      </c>
      <c r="B593" s="10" t="s">
        <v>1675</v>
      </c>
      <c r="C593" s="10" t="s">
        <v>909</v>
      </c>
      <c r="D593" s="15" t="s">
        <v>821</v>
      </c>
      <c r="E593" s="10" t="s">
        <v>46</v>
      </c>
      <c r="F593" s="10" t="s">
        <v>1311</v>
      </c>
      <c r="G593" s="10" t="s">
        <v>1312</v>
      </c>
      <c r="H593" s="46" t="s">
        <v>15</v>
      </c>
      <c r="I593" s="10" t="s">
        <v>1679</v>
      </c>
      <c r="J593" s="34" t="s">
        <v>2155</v>
      </c>
      <c r="K593" s="34">
        <v>53</v>
      </c>
    </row>
    <row r="594" spans="1:11" ht="18" hidden="1" customHeight="1" x14ac:dyDescent="0.4">
      <c r="A594" s="6">
        <f t="shared" si="19"/>
        <v>593</v>
      </c>
      <c r="B594" s="14" t="s">
        <v>1479</v>
      </c>
      <c r="C594" s="14"/>
      <c r="D594" s="15" t="s">
        <v>2229</v>
      </c>
      <c r="E594" s="14" t="s">
        <v>1604</v>
      </c>
      <c r="F594" s="14" t="s">
        <v>1605</v>
      </c>
      <c r="G594" s="14"/>
      <c r="H594" s="48" t="s">
        <v>49</v>
      </c>
      <c r="I594" s="14" t="s">
        <v>1606</v>
      </c>
      <c r="J594" s="34"/>
      <c r="K594" s="34"/>
    </row>
    <row r="595" spans="1:11" ht="18" hidden="1" customHeight="1" x14ac:dyDescent="0.4">
      <c r="A595" s="9">
        <f t="shared" si="19"/>
        <v>594</v>
      </c>
      <c r="B595" s="14" t="s">
        <v>1479</v>
      </c>
      <c r="C595" s="14"/>
      <c r="D595" s="15" t="s">
        <v>2229</v>
      </c>
      <c r="E595" s="14" t="s">
        <v>1607</v>
      </c>
      <c r="F595" s="14" t="s">
        <v>1608</v>
      </c>
      <c r="G595" s="14"/>
      <c r="H595" s="47" t="s">
        <v>49</v>
      </c>
      <c r="I595" s="14" t="s">
        <v>1609</v>
      </c>
      <c r="J595" s="34"/>
      <c r="K595" s="34"/>
    </row>
    <row r="596" spans="1:11" ht="18" customHeight="1" x14ac:dyDescent="0.4">
      <c r="A596" s="9">
        <f t="shared" ref="A596:A616" si="20">IF(COUNTA(B596:I596)=0,"",ROW()-1)</f>
        <v>595</v>
      </c>
      <c r="B596" s="10" t="s">
        <v>1767</v>
      </c>
      <c r="C596" s="10"/>
      <c r="D596" s="11" t="s">
        <v>821</v>
      </c>
      <c r="E596" s="10" t="s">
        <v>1803</v>
      </c>
      <c r="F596" s="10" t="s">
        <v>1804</v>
      </c>
      <c r="G596" s="10" t="s">
        <v>1805</v>
      </c>
      <c r="H596" s="47" t="s">
        <v>15</v>
      </c>
      <c r="I596" s="10" t="s">
        <v>1806</v>
      </c>
      <c r="J596" s="34" t="s">
        <v>2157</v>
      </c>
      <c r="K596" s="34">
        <v>58</v>
      </c>
    </row>
    <row r="597" spans="1:11" ht="18" customHeight="1" x14ac:dyDescent="0.4">
      <c r="A597" s="6">
        <f t="shared" si="20"/>
        <v>596</v>
      </c>
      <c r="B597" s="14" t="s">
        <v>1479</v>
      </c>
      <c r="C597" s="14"/>
      <c r="D597" s="15" t="s">
        <v>821</v>
      </c>
      <c r="E597" s="14" t="s">
        <v>1509</v>
      </c>
      <c r="F597" s="14" t="s">
        <v>1506</v>
      </c>
      <c r="G597" s="14"/>
      <c r="H597" s="46" t="s">
        <v>15</v>
      </c>
      <c r="I597" s="14" t="s">
        <v>1510</v>
      </c>
      <c r="J597" s="34" t="s">
        <v>2155</v>
      </c>
      <c r="K597" s="34">
        <v>54</v>
      </c>
    </row>
    <row r="598" spans="1:11" ht="18" customHeight="1" x14ac:dyDescent="0.4">
      <c r="A598" s="9">
        <f t="shared" si="20"/>
        <v>597</v>
      </c>
      <c r="B598" s="28" t="s">
        <v>1479</v>
      </c>
      <c r="C598" s="28"/>
      <c r="D598" s="15" t="s">
        <v>821</v>
      </c>
      <c r="E598" s="28" t="s">
        <v>339</v>
      </c>
      <c r="F598" s="28" t="s">
        <v>934</v>
      </c>
      <c r="G598" s="28"/>
      <c r="H598" s="46" t="s">
        <v>15</v>
      </c>
      <c r="I598" s="28" t="s">
        <v>1655</v>
      </c>
      <c r="J598" s="34" t="s">
        <v>2155</v>
      </c>
      <c r="K598" s="34">
        <v>55</v>
      </c>
    </row>
    <row r="599" spans="1:11" ht="18" customHeight="1" x14ac:dyDescent="0.4">
      <c r="A599" s="9">
        <f t="shared" si="20"/>
        <v>598</v>
      </c>
      <c r="B599" s="28" t="s">
        <v>1479</v>
      </c>
      <c r="C599" s="28"/>
      <c r="D599" s="29" t="s">
        <v>17</v>
      </c>
      <c r="E599" s="28" t="s">
        <v>1613</v>
      </c>
      <c r="F599" s="28" t="s">
        <v>519</v>
      </c>
      <c r="G599" s="28" t="s">
        <v>1614</v>
      </c>
      <c r="H599" s="46" t="s">
        <v>15</v>
      </c>
      <c r="I599" s="28" t="s">
        <v>1615</v>
      </c>
      <c r="J599" s="34" t="s">
        <v>2157</v>
      </c>
      <c r="K599" s="34">
        <v>44</v>
      </c>
    </row>
    <row r="600" spans="1:11" ht="18" customHeight="1" x14ac:dyDescent="0.4">
      <c r="A600" s="9">
        <f t="shared" si="20"/>
        <v>599</v>
      </c>
      <c r="B600" s="10" t="s">
        <v>10</v>
      </c>
      <c r="C600" s="10" t="s">
        <v>2154</v>
      </c>
      <c r="D600" s="11" t="s">
        <v>821</v>
      </c>
      <c r="E600" s="10" t="s">
        <v>84</v>
      </c>
      <c r="F600" s="10" t="s">
        <v>355</v>
      </c>
      <c r="G600" s="10" t="s">
        <v>533</v>
      </c>
      <c r="H600" s="48" t="s">
        <v>15</v>
      </c>
      <c r="I600" s="10" t="s">
        <v>534</v>
      </c>
      <c r="J600" s="34" t="s">
        <v>2161</v>
      </c>
      <c r="K600" s="34">
        <v>20</v>
      </c>
    </row>
    <row r="601" spans="1:11" ht="18" customHeight="1" x14ac:dyDescent="0.4">
      <c r="A601" s="9">
        <f t="shared" si="20"/>
        <v>600</v>
      </c>
      <c r="B601" s="14" t="s">
        <v>1479</v>
      </c>
      <c r="C601" s="14" t="s">
        <v>909</v>
      </c>
      <c r="D601" s="15" t="s">
        <v>821</v>
      </c>
      <c r="E601" s="14" t="s">
        <v>360</v>
      </c>
      <c r="F601" s="14" t="s">
        <v>1651</v>
      </c>
      <c r="G601" s="14" t="s">
        <v>1652</v>
      </c>
      <c r="H601" s="46" t="s">
        <v>15</v>
      </c>
      <c r="I601" s="14" t="s">
        <v>1653</v>
      </c>
      <c r="J601" s="34" t="s">
        <v>2155</v>
      </c>
      <c r="K601" s="34">
        <v>56</v>
      </c>
    </row>
    <row r="602" spans="1:11" ht="18" hidden="1" customHeight="1" x14ac:dyDescent="0.4">
      <c r="A602" s="6">
        <f t="shared" si="20"/>
        <v>601</v>
      </c>
      <c r="B602" s="14" t="s">
        <v>1479</v>
      </c>
      <c r="C602" s="14"/>
      <c r="D602" s="15" t="s">
        <v>2229</v>
      </c>
      <c r="E602" s="14" t="s">
        <v>362</v>
      </c>
      <c r="F602" s="14" t="s">
        <v>1621</v>
      </c>
      <c r="G602" s="14"/>
      <c r="H602" s="46" t="s">
        <v>49</v>
      </c>
      <c r="I602" s="14" t="s">
        <v>1622</v>
      </c>
      <c r="J602" s="34"/>
      <c r="K602" s="34"/>
    </row>
    <row r="603" spans="1:11" ht="18" customHeight="1" x14ac:dyDescent="0.4">
      <c r="A603" s="9">
        <f t="shared" si="20"/>
        <v>602</v>
      </c>
      <c r="B603" s="28" t="s">
        <v>1479</v>
      </c>
      <c r="C603" s="28"/>
      <c r="D603" s="15" t="s">
        <v>821</v>
      </c>
      <c r="E603" s="28" t="s">
        <v>59</v>
      </c>
      <c r="F603" s="28" t="s">
        <v>1610</v>
      </c>
      <c r="G603" s="28"/>
      <c r="H603" s="46" t="s">
        <v>15</v>
      </c>
      <c r="I603" s="28" t="s">
        <v>1611</v>
      </c>
      <c r="J603" s="34" t="s">
        <v>2155</v>
      </c>
      <c r="K603" s="34">
        <v>57</v>
      </c>
    </row>
    <row r="604" spans="1:11" ht="18" hidden="1" customHeight="1" x14ac:dyDescent="0.4">
      <c r="A604" s="6">
        <f t="shared" si="20"/>
        <v>603</v>
      </c>
      <c r="B604" s="14" t="s">
        <v>1479</v>
      </c>
      <c r="C604" s="14"/>
      <c r="D604" s="15" t="s">
        <v>2229</v>
      </c>
      <c r="E604" s="14" t="s">
        <v>360</v>
      </c>
      <c r="F604" s="14" t="s">
        <v>833</v>
      </c>
      <c r="G604" s="14" t="s">
        <v>1625</v>
      </c>
      <c r="H604" s="48" t="s">
        <v>49</v>
      </c>
      <c r="I604" s="14" t="s">
        <v>1626</v>
      </c>
      <c r="J604" s="34"/>
      <c r="K604" s="34"/>
    </row>
    <row r="605" spans="1:11" ht="18" customHeight="1" x14ac:dyDescent="0.4">
      <c r="A605" s="6">
        <f t="shared" si="20"/>
        <v>604</v>
      </c>
      <c r="B605" s="14" t="s">
        <v>1479</v>
      </c>
      <c r="C605" s="14"/>
      <c r="D605" s="15" t="s">
        <v>821</v>
      </c>
      <c r="E605" s="14" t="s">
        <v>62</v>
      </c>
      <c r="F605" s="14" t="s">
        <v>91</v>
      </c>
      <c r="G605" s="14" t="s">
        <v>2144</v>
      </c>
      <c r="H605" s="47" t="s">
        <v>15</v>
      </c>
      <c r="I605" s="14" t="s">
        <v>2145</v>
      </c>
      <c r="J605" s="34" t="s">
        <v>2155</v>
      </c>
      <c r="K605" s="34">
        <v>58</v>
      </c>
    </row>
    <row r="606" spans="1:11" ht="18" customHeight="1" x14ac:dyDescent="0.4">
      <c r="A606" s="6">
        <f t="shared" si="20"/>
        <v>605</v>
      </c>
      <c r="B606" s="28" t="s">
        <v>1479</v>
      </c>
      <c r="C606" s="28"/>
      <c r="D606" s="29" t="s">
        <v>17</v>
      </c>
      <c r="E606" s="28" t="s">
        <v>362</v>
      </c>
      <c r="F606" s="28" t="s">
        <v>1631</v>
      </c>
      <c r="G606" s="28"/>
      <c r="H606" s="46" t="s">
        <v>15</v>
      </c>
      <c r="I606" s="28" t="s">
        <v>1632</v>
      </c>
      <c r="J606" s="34" t="s">
        <v>2158</v>
      </c>
      <c r="K606" s="34">
        <v>5</v>
      </c>
    </row>
    <row r="607" spans="1:11" ht="18" customHeight="1" x14ac:dyDescent="0.4">
      <c r="A607" s="6">
        <f t="shared" si="20"/>
        <v>606</v>
      </c>
      <c r="B607" s="14" t="s">
        <v>864</v>
      </c>
      <c r="C607" s="14"/>
      <c r="D607" s="15" t="s">
        <v>821</v>
      </c>
      <c r="E607" s="14" t="s">
        <v>873</v>
      </c>
      <c r="F607" s="14" t="s">
        <v>874</v>
      </c>
      <c r="G607" s="14" t="s">
        <v>96</v>
      </c>
      <c r="H607" s="47" t="s">
        <v>15</v>
      </c>
      <c r="I607" s="14"/>
      <c r="J607" s="34" t="s">
        <v>2155</v>
      </c>
      <c r="K607" s="34">
        <v>59</v>
      </c>
    </row>
    <row r="608" spans="1:11" ht="18" hidden="1" customHeight="1" x14ac:dyDescent="0.4">
      <c r="A608" s="6">
        <f t="shared" si="20"/>
        <v>607</v>
      </c>
      <c r="B608" s="28" t="s">
        <v>1479</v>
      </c>
      <c r="C608" s="28" t="s">
        <v>493</v>
      </c>
      <c r="D608" s="29" t="s">
        <v>2229</v>
      </c>
      <c r="E608" s="28" t="s">
        <v>1635</v>
      </c>
      <c r="F608" s="28" t="s">
        <v>1636</v>
      </c>
      <c r="G608" s="28"/>
      <c r="H608" s="47" t="s">
        <v>49</v>
      </c>
      <c r="I608" s="28" t="s">
        <v>1637</v>
      </c>
      <c r="J608" s="34"/>
      <c r="K608" s="34"/>
    </row>
    <row r="609" spans="1:79" ht="18" customHeight="1" x14ac:dyDescent="0.4">
      <c r="A609" s="9">
        <f t="shared" si="20"/>
        <v>608</v>
      </c>
      <c r="B609" s="28" t="s">
        <v>1479</v>
      </c>
      <c r="C609" s="28" t="s">
        <v>1638</v>
      </c>
      <c r="D609" s="29" t="s">
        <v>17</v>
      </c>
      <c r="E609" s="28" t="s">
        <v>333</v>
      </c>
      <c r="F609" s="28" t="s">
        <v>411</v>
      </c>
      <c r="G609" s="28" t="s">
        <v>1639</v>
      </c>
      <c r="H609" s="46" t="s">
        <v>15</v>
      </c>
      <c r="I609" s="28" t="s">
        <v>1640</v>
      </c>
      <c r="J609" s="34" t="s">
        <v>2158</v>
      </c>
      <c r="K609" s="34">
        <v>14</v>
      </c>
    </row>
    <row r="610" spans="1:79" ht="18" hidden="1" customHeight="1" x14ac:dyDescent="0.4">
      <c r="A610" s="6">
        <f t="shared" si="20"/>
        <v>609</v>
      </c>
      <c r="B610" s="28" t="s">
        <v>1479</v>
      </c>
      <c r="C610" s="28"/>
      <c r="D610" s="29" t="s">
        <v>2229</v>
      </c>
      <c r="E610" s="28" t="s">
        <v>1641</v>
      </c>
      <c r="F610" s="28" t="s">
        <v>474</v>
      </c>
      <c r="G610" s="28"/>
      <c r="H610" s="47" t="s">
        <v>49</v>
      </c>
      <c r="I610" s="28" t="s">
        <v>1642</v>
      </c>
      <c r="J610" s="34"/>
      <c r="K610" s="34"/>
    </row>
    <row r="611" spans="1:79" ht="18" hidden="1" customHeight="1" x14ac:dyDescent="0.4">
      <c r="A611" s="9">
        <f t="shared" si="20"/>
        <v>610</v>
      </c>
      <c r="B611" s="28" t="s">
        <v>1479</v>
      </c>
      <c r="C611" s="28" t="s">
        <v>65</v>
      </c>
      <c r="D611" s="29" t="s">
        <v>2229</v>
      </c>
      <c r="E611" s="28" t="s">
        <v>59</v>
      </c>
      <c r="F611" s="28" t="s">
        <v>1111</v>
      </c>
      <c r="G611" s="28"/>
      <c r="H611" s="47" t="s">
        <v>49</v>
      </c>
      <c r="I611" s="28" t="s">
        <v>1643</v>
      </c>
      <c r="J611" s="34"/>
      <c r="K611" s="34"/>
    </row>
    <row r="612" spans="1:79" ht="18" customHeight="1" x14ac:dyDescent="0.4">
      <c r="A612" s="6">
        <f t="shared" si="20"/>
        <v>611</v>
      </c>
      <c r="B612" s="28" t="s">
        <v>1479</v>
      </c>
      <c r="C612" s="28" t="s">
        <v>65</v>
      </c>
      <c r="D612" s="29" t="s">
        <v>17</v>
      </c>
      <c r="E612" s="28" t="s">
        <v>62</v>
      </c>
      <c r="F612" s="28" t="s">
        <v>1644</v>
      </c>
      <c r="G612" s="28" t="s">
        <v>1645</v>
      </c>
      <c r="H612" s="46" t="s">
        <v>15</v>
      </c>
      <c r="I612" s="28" t="s">
        <v>1646</v>
      </c>
      <c r="J612" s="34" t="s">
        <v>2158</v>
      </c>
      <c r="K612" s="34">
        <v>12</v>
      </c>
    </row>
    <row r="613" spans="1:79" ht="18" customHeight="1" x14ac:dyDescent="0.4">
      <c r="A613" s="9">
        <f t="shared" si="20"/>
        <v>612</v>
      </c>
      <c r="B613" s="28" t="s">
        <v>1479</v>
      </c>
      <c r="C613" s="28"/>
      <c r="D613" s="29" t="s">
        <v>17</v>
      </c>
      <c r="E613" s="28" t="s">
        <v>476</v>
      </c>
      <c r="F613" s="28" t="s">
        <v>1647</v>
      </c>
      <c r="G613" s="28" t="s">
        <v>317</v>
      </c>
      <c r="H613" s="46" t="s">
        <v>15</v>
      </c>
      <c r="I613" s="28" t="s">
        <v>1648</v>
      </c>
      <c r="J613" s="34" t="s">
        <v>2158</v>
      </c>
      <c r="K613" s="34">
        <v>13</v>
      </c>
    </row>
    <row r="614" spans="1:79" ht="18" hidden="1" customHeight="1" x14ac:dyDescent="0.4">
      <c r="A614" s="6">
        <f t="shared" si="20"/>
        <v>613</v>
      </c>
      <c r="B614" s="28" t="s">
        <v>1479</v>
      </c>
      <c r="C614" s="28" t="s">
        <v>493</v>
      </c>
      <c r="D614" s="29" t="s">
        <v>2229</v>
      </c>
      <c r="E614" s="28" t="s">
        <v>372</v>
      </c>
      <c r="F614" s="28" t="s">
        <v>1649</v>
      </c>
      <c r="G614" s="28"/>
      <c r="H614" s="47" t="s">
        <v>49</v>
      </c>
      <c r="I614" s="28" t="s">
        <v>1650</v>
      </c>
      <c r="J614" s="34"/>
      <c r="K614" s="34"/>
    </row>
    <row r="615" spans="1:79" ht="18" customHeight="1" x14ac:dyDescent="0.4">
      <c r="A615" s="6">
        <f t="shared" si="20"/>
        <v>614</v>
      </c>
      <c r="B615" s="26" t="s">
        <v>1207</v>
      </c>
      <c r="C615" s="26"/>
      <c r="D615" s="15" t="s">
        <v>821</v>
      </c>
      <c r="E615" s="26" t="s">
        <v>656</v>
      </c>
      <c r="F615" s="26" t="s">
        <v>1397</v>
      </c>
      <c r="G615" s="26" t="s">
        <v>1398</v>
      </c>
      <c r="H615" s="47" t="s">
        <v>15</v>
      </c>
      <c r="I615" s="26" t="s">
        <v>1377</v>
      </c>
      <c r="J615" s="34" t="s">
        <v>2155</v>
      </c>
      <c r="K615" s="34">
        <v>60</v>
      </c>
    </row>
    <row r="616" spans="1:79" ht="18" customHeight="1" x14ac:dyDescent="0.4">
      <c r="A616" s="6">
        <f t="shared" si="20"/>
        <v>615</v>
      </c>
      <c r="B616" s="28" t="s">
        <v>1479</v>
      </c>
      <c r="C616" s="28"/>
      <c r="D616" s="15" t="s">
        <v>17</v>
      </c>
      <c r="E616" s="28" t="s">
        <v>476</v>
      </c>
      <c r="F616" s="28" t="s">
        <v>123</v>
      </c>
      <c r="G616" s="28" t="s">
        <v>2188</v>
      </c>
      <c r="H616" s="46" t="s">
        <v>15</v>
      </c>
      <c r="I616" s="28" t="s">
        <v>1654</v>
      </c>
      <c r="J616" s="34" t="s">
        <v>2158</v>
      </c>
      <c r="K616" s="34">
        <v>11</v>
      </c>
    </row>
    <row r="617" spans="1:79" ht="18" customHeight="1" x14ac:dyDescent="0.4">
      <c r="A617" s="51"/>
      <c r="B617" s="52"/>
      <c r="C617" s="14" t="s">
        <v>923</v>
      </c>
      <c r="D617" s="15" t="s">
        <v>821</v>
      </c>
      <c r="E617" s="14" t="s">
        <v>405</v>
      </c>
      <c r="F617" s="26" t="s">
        <v>2224</v>
      </c>
      <c r="G617" s="26" t="s">
        <v>1672</v>
      </c>
      <c r="H617" s="46" t="s">
        <v>15</v>
      </c>
      <c r="I617" s="14" t="s">
        <v>2216</v>
      </c>
      <c r="J617" s="34" t="s">
        <v>2155</v>
      </c>
      <c r="K617" s="34">
        <v>61</v>
      </c>
    </row>
    <row r="618" spans="1:79" ht="18" hidden="1" customHeight="1" x14ac:dyDescent="0.4">
      <c r="A618" s="6">
        <f t="shared" ref="A618:A665" si="21">IF(COUNTA(B618:I618)=0,"",ROW()-1)</f>
        <v>617</v>
      </c>
      <c r="B618" s="14" t="s">
        <v>1479</v>
      </c>
      <c r="C618" s="14"/>
      <c r="D618" s="15" t="s">
        <v>2229</v>
      </c>
      <c r="E618" s="14" t="s">
        <v>697</v>
      </c>
      <c r="F618" s="14" t="s">
        <v>406</v>
      </c>
      <c r="G618" s="14" t="s">
        <v>1656</v>
      </c>
      <c r="H618" s="47" t="s">
        <v>49</v>
      </c>
      <c r="I618" s="14" t="s">
        <v>1657</v>
      </c>
      <c r="J618" s="34"/>
      <c r="K618" s="34"/>
    </row>
    <row r="619" spans="1:79" ht="18" hidden="1" customHeight="1" x14ac:dyDescent="0.4">
      <c r="A619" s="9">
        <f t="shared" si="21"/>
        <v>618</v>
      </c>
      <c r="B619" s="28" t="s">
        <v>1479</v>
      </c>
      <c r="C619" s="28" t="s">
        <v>493</v>
      </c>
      <c r="D619" s="29" t="s">
        <v>2229</v>
      </c>
      <c r="E619" s="28" t="s">
        <v>324</v>
      </c>
      <c r="F619" s="28" t="s">
        <v>1658</v>
      </c>
      <c r="G619" s="28" t="s">
        <v>1659</v>
      </c>
      <c r="H619" s="48" t="s">
        <v>49</v>
      </c>
      <c r="I619" s="28" t="s">
        <v>1660</v>
      </c>
      <c r="J619" s="34"/>
      <c r="K619" s="34"/>
    </row>
    <row r="620" spans="1:79" ht="18" hidden="1" customHeight="1" x14ac:dyDescent="0.4">
      <c r="A620" s="6">
        <f t="shared" si="21"/>
        <v>619</v>
      </c>
      <c r="B620" s="14" t="s">
        <v>1479</v>
      </c>
      <c r="C620" s="14"/>
      <c r="D620" s="15" t="s">
        <v>2229</v>
      </c>
      <c r="E620" s="14" t="s">
        <v>1661</v>
      </c>
      <c r="F620" s="14" t="s">
        <v>1662</v>
      </c>
      <c r="G620" s="14"/>
      <c r="H620" s="47" t="s">
        <v>49</v>
      </c>
      <c r="I620" s="14" t="s">
        <v>1663</v>
      </c>
      <c r="J620" s="34"/>
      <c r="K620" s="34"/>
    </row>
    <row r="621" spans="1:79" s="5" customFormat="1" ht="18" hidden="1" customHeight="1" x14ac:dyDescent="0.4">
      <c r="A621" s="9">
        <f t="shared" si="21"/>
        <v>620</v>
      </c>
      <c r="B621" s="14" t="s">
        <v>1479</v>
      </c>
      <c r="C621" s="14"/>
      <c r="D621" s="15" t="s">
        <v>2229</v>
      </c>
      <c r="E621" s="14" t="s">
        <v>616</v>
      </c>
      <c r="F621" s="14" t="s">
        <v>1664</v>
      </c>
      <c r="G621" s="14" t="s">
        <v>1665</v>
      </c>
      <c r="H621" s="47" t="s">
        <v>49</v>
      </c>
      <c r="I621" s="14" t="s">
        <v>1666</v>
      </c>
      <c r="J621" s="34"/>
      <c r="K621" s="3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</row>
    <row r="622" spans="1:79" ht="18" customHeight="1" x14ac:dyDescent="0.4">
      <c r="A622" s="9">
        <f t="shared" si="21"/>
        <v>621</v>
      </c>
      <c r="B622" s="14" t="s">
        <v>1479</v>
      </c>
      <c r="C622" s="14"/>
      <c r="D622" s="15" t="s">
        <v>821</v>
      </c>
      <c r="E622" s="14" t="s">
        <v>1484</v>
      </c>
      <c r="F622" s="14" t="s">
        <v>1485</v>
      </c>
      <c r="G622" s="14"/>
      <c r="H622" s="46" t="s">
        <v>15</v>
      </c>
      <c r="I622" s="10" t="s">
        <v>1486</v>
      </c>
      <c r="J622" s="34" t="s">
        <v>2155</v>
      </c>
      <c r="K622" s="34">
        <v>62</v>
      </c>
    </row>
    <row r="623" spans="1:79" ht="18" customHeight="1" x14ac:dyDescent="0.4">
      <c r="A623" s="9">
        <f t="shared" si="21"/>
        <v>622</v>
      </c>
      <c r="B623" s="14" t="s">
        <v>864</v>
      </c>
      <c r="C623" s="14"/>
      <c r="D623" s="15" t="s">
        <v>821</v>
      </c>
      <c r="E623" s="14" t="s">
        <v>869</v>
      </c>
      <c r="F623" s="14" t="s">
        <v>870</v>
      </c>
      <c r="G623" s="14" t="s">
        <v>871</v>
      </c>
      <c r="H623" s="47" t="s">
        <v>15</v>
      </c>
      <c r="I623" s="14" t="s">
        <v>872</v>
      </c>
      <c r="J623" s="34" t="s">
        <v>2155</v>
      </c>
      <c r="K623" s="34">
        <v>63</v>
      </c>
    </row>
    <row r="624" spans="1:79" ht="18" customHeight="1" x14ac:dyDescent="0.4">
      <c r="A624" s="6">
        <f t="shared" si="21"/>
        <v>623</v>
      </c>
      <c r="B624" s="30" t="s">
        <v>1667</v>
      </c>
      <c r="C624" s="30" t="s">
        <v>923</v>
      </c>
      <c r="D624" s="31" t="s">
        <v>17</v>
      </c>
      <c r="E624" s="30" t="s">
        <v>423</v>
      </c>
      <c r="F624" s="30" t="s">
        <v>1507</v>
      </c>
      <c r="G624" s="30" t="s">
        <v>1127</v>
      </c>
      <c r="H624" s="46" t="s">
        <v>15</v>
      </c>
      <c r="I624" s="30" t="s">
        <v>1674</v>
      </c>
      <c r="J624" s="34" t="s">
        <v>2156</v>
      </c>
      <c r="K624" s="34">
        <v>1</v>
      </c>
    </row>
    <row r="625" spans="1:11" ht="18" customHeight="1" x14ac:dyDescent="0.4">
      <c r="A625" s="6">
        <f t="shared" si="21"/>
        <v>624</v>
      </c>
      <c r="B625" s="20" t="s">
        <v>917</v>
      </c>
      <c r="C625" s="20" t="s">
        <v>923</v>
      </c>
      <c r="D625" s="15" t="s">
        <v>821</v>
      </c>
      <c r="E625" s="20" t="s">
        <v>650</v>
      </c>
      <c r="F625" s="20" t="s">
        <v>258</v>
      </c>
      <c r="G625" s="20" t="s">
        <v>927</v>
      </c>
      <c r="H625" s="46" t="s">
        <v>15</v>
      </c>
      <c r="I625" s="20" t="s">
        <v>928</v>
      </c>
      <c r="J625" s="34" t="s">
        <v>2155</v>
      </c>
      <c r="K625" s="34">
        <v>64</v>
      </c>
    </row>
    <row r="626" spans="1:11" ht="18" customHeight="1" x14ac:dyDescent="0.4">
      <c r="A626" s="9">
        <f t="shared" si="21"/>
        <v>625</v>
      </c>
      <c r="B626" s="14" t="s">
        <v>1207</v>
      </c>
      <c r="C626" s="14"/>
      <c r="D626" s="15" t="s">
        <v>821</v>
      </c>
      <c r="E626" s="14" t="s">
        <v>1345</v>
      </c>
      <c r="F626" s="14" t="s">
        <v>1346</v>
      </c>
      <c r="G626" s="14" t="s">
        <v>1347</v>
      </c>
      <c r="H626" s="47" t="s">
        <v>15</v>
      </c>
      <c r="I626" s="14" t="s">
        <v>1348</v>
      </c>
      <c r="J626" s="34" t="s">
        <v>2156</v>
      </c>
      <c r="K626" s="34">
        <v>59</v>
      </c>
    </row>
    <row r="627" spans="1:11" ht="18" customHeight="1" x14ac:dyDescent="0.4">
      <c r="A627" s="9">
        <f t="shared" si="21"/>
        <v>626</v>
      </c>
      <c r="B627" s="14" t="s">
        <v>1479</v>
      </c>
      <c r="C627" s="14"/>
      <c r="D627" s="15" t="s">
        <v>821</v>
      </c>
      <c r="E627" s="14" t="s">
        <v>646</v>
      </c>
      <c r="F627" s="14" t="s">
        <v>123</v>
      </c>
      <c r="G627" s="14" t="s">
        <v>1633</v>
      </c>
      <c r="H627" s="46" t="s">
        <v>15</v>
      </c>
      <c r="I627" s="14" t="s">
        <v>1634</v>
      </c>
      <c r="J627" s="34" t="s">
        <v>2156</v>
      </c>
      <c r="K627" s="34">
        <v>60</v>
      </c>
    </row>
    <row r="628" spans="1:11" ht="18" hidden="1" customHeight="1" x14ac:dyDescent="0.4">
      <c r="A628" s="6">
        <f t="shared" si="21"/>
        <v>627</v>
      </c>
      <c r="B628" s="7" t="s">
        <v>10</v>
      </c>
      <c r="C628" s="7" t="s">
        <v>32</v>
      </c>
      <c r="D628" s="8"/>
      <c r="E628" s="7" t="s">
        <v>535</v>
      </c>
      <c r="F628" s="7" t="s">
        <v>536</v>
      </c>
      <c r="G628" s="7" t="s">
        <v>537</v>
      </c>
      <c r="H628" s="47" t="s">
        <v>49</v>
      </c>
      <c r="I628" s="7" t="s">
        <v>538</v>
      </c>
      <c r="J628" s="34"/>
      <c r="K628" s="34"/>
    </row>
    <row r="629" spans="1:11" ht="18" customHeight="1" x14ac:dyDescent="0.4">
      <c r="A629" s="9">
        <f t="shared" si="21"/>
        <v>628</v>
      </c>
      <c r="B629" s="10" t="s">
        <v>1767</v>
      </c>
      <c r="C629" s="10"/>
      <c r="D629" s="11" t="s">
        <v>821</v>
      </c>
      <c r="E629" s="10" t="s">
        <v>494</v>
      </c>
      <c r="F629" s="10" t="s">
        <v>1773</v>
      </c>
      <c r="G629" s="10" t="s">
        <v>1774</v>
      </c>
      <c r="H629" s="46" t="s">
        <v>15</v>
      </c>
      <c r="I629" s="10" t="s">
        <v>1775</v>
      </c>
      <c r="J629" s="34" t="s">
        <v>2156</v>
      </c>
      <c r="K629" s="34">
        <v>61</v>
      </c>
    </row>
    <row r="630" spans="1:11" ht="18" customHeight="1" x14ac:dyDescent="0.4">
      <c r="A630" s="9">
        <f t="shared" si="21"/>
        <v>629</v>
      </c>
      <c r="B630" s="14" t="s">
        <v>864</v>
      </c>
      <c r="C630" s="14"/>
      <c r="D630" s="11" t="s">
        <v>821</v>
      </c>
      <c r="E630" s="14" t="s">
        <v>896</v>
      </c>
      <c r="F630" s="14" t="s">
        <v>474</v>
      </c>
      <c r="G630" s="14" t="s">
        <v>770</v>
      </c>
      <c r="H630" s="47" t="s">
        <v>15</v>
      </c>
      <c r="I630" s="14" t="s">
        <v>897</v>
      </c>
      <c r="J630" s="34" t="s">
        <v>2156</v>
      </c>
      <c r="K630" s="34">
        <v>62</v>
      </c>
    </row>
    <row r="631" spans="1:11" ht="18" customHeight="1" x14ac:dyDescent="0.4">
      <c r="A631" s="6">
        <f t="shared" si="21"/>
        <v>630</v>
      </c>
      <c r="B631" s="30" t="s">
        <v>1767</v>
      </c>
      <c r="C631" s="30"/>
      <c r="D631" s="15" t="s">
        <v>821</v>
      </c>
      <c r="E631" s="30" t="s">
        <v>494</v>
      </c>
      <c r="F631" s="30" t="s">
        <v>1807</v>
      </c>
      <c r="G631" s="30" t="s">
        <v>342</v>
      </c>
      <c r="H631" s="46" t="s">
        <v>15</v>
      </c>
      <c r="I631" s="30" t="s">
        <v>1808</v>
      </c>
      <c r="J631" s="34" t="s">
        <v>2157</v>
      </c>
      <c r="K631" s="34">
        <v>59</v>
      </c>
    </row>
    <row r="632" spans="1:11" ht="18" customHeight="1" x14ac:dyDescent="0.4">
      <c r="A632" s="55">
        <f t="shared" si="21"/>
        <v>631</v>
      </c>
      <c r="B632" s="55"/>
      <c r="C632" s="55"/>
      <c r="D632" s="55" t="s">
        <v>821</v>
      </c>
      <c r="E632" s="32" t="s">
        <v>324</v>
      </c>
      <c r="F632" s="32" t="s">
        <v>2217</v>
      </c>
      <c r="G632" s="32" t="s">
        <v>340</v>
      </c>
      <c r="H632" s="56" t="s">
        <v>15</v>
      </c>
      <c r="I632" s="10" t="s">
        <v>2218</v>
      </c>
      <c r="J632" s="34" t="s">
        <v>2156</v>
      </c>
      <c r="K632" s="34">
        <v>63</v>
      </c>
    </row>
    <row r="633" spans="1:11" ht="18" customHeight="1" x14ac:dyDescent="0.4">
      <c r="A633" s="9">
        <f t="shared" si="21"/>
        <v>632</v>
      </c>
      <c r="B633" s="30" t="s">
        <v>1675</v>
      </c>
      <c r="C633" s="30" t="s">
        <v>427</v>
      </c>
      <c r="D633" s="31" t="s">
        <v>17</v>
      </c>
      <c r="E633" s="30" t="s">
        <v>476</v>
      </c>
      <c r="F633" s="30" t="s">
        <v>1680</v>
      </c>
      <c r="G633" s="30" t="s">
        <v>1681</v>
      </c>
      <c r="H633" s="46" t="s">
        <v>15</v>
      </c>
      <c r="I633" s="30" t="s">
        <v>1682</v>
      </c>
      <c r="J633" s="34" t="s">
        <v>2157</v>
      </c>
      <c r="K633" s="34">
        <v>6</v>
      </c>
    </row>
    <row r="634" spans="1:11" ht="18" customHeight="1" x14ac:dyDescent="0.4">
      <c r="A634" s="6">
        <f t="shared" si="21"/>
        <v>633</v>
      </c>
      <c r="B634" s="10" t="s">
        <v>1675</v>
      </c>
      <c r="C634" s="10" t="s">
        <v>594</v>
      </c>
      <c r="D634" s="11" t="s">
        <v>17</v>
      </c>
      <c r="E634" s="10" t="s">
        <v>319</v>
      </c>
      <c r="F634" s="10" t="s">
        <v>1447</v>
      </c>
      <c r="G634" s="10" t="s">
        <v>850</v>
      </c>
      <c r="H634" s="46" t="s">
        <v>15</v>
      </c>
      <c r="I634" s="10" t="s">
        <v>1683</v>
      </c>
      <c r="J634" s="34" t="s">
        <v>2157</v>
      </c>
      <c r="K634" s="34">
        <v>2</v>
      </c>
    </row>
    <row r="635" spans="1:11" ht="18" customHeight="1" x14ac:dyDescent="0.4">
      <c r="A635" s="9">
        <f t="shared" si="21"/>
        <v>634</v>
      </c>
      <c r="B635" s="30" t="s">
        <v>1675</v>
      </c>
      <c r="C635" s="30" t="s">
        <v>594</v>
      </c>
      <c r="D635" s="31" t="s">
        <v>17</v>
      </c>
      <c r="E635" s="30" t="s">
        <v>1684</v>
      </c>
      <c r="F635" s="30" t="s">
        <v>29</v>
      </c>
      <c r="G635" s="30" t="s">
        <v>1685</v>
      </c>
      <c r="H635" s="46" t="s">
        <v>15</v>
      </c>
      <c r="I635" s="30" t="s">
        <v>1686</v>
      </c>
      <c r="J635" s="34" t="s">
        <v>2157</v>
      </c>
      <c r="K635" s="34">
        <v>3</v>
      </c>
    </row>
    <row r="636" spans="1:11" ht="18" customHeight="1" x14ac:dyDescent="0.4">
      <c r="A636" s="6">
        <f t="shared" si="21"/>
        <v>635</v>
      </c>
      <c r="B636" s="14" t="s">
        <v>1675</v>
      </c>
      <c r="C636" s="10" t="s">
        <v>427</v>
      </c>
      <c r="D636" s="11" t="s">
        <v>17</v>
      </c>
      <c r="E636" s="10" t="s">
        <v>973</v>
      </c>
      <c r="F636" s="10" t="s">
        <v>1699</v>
      </c>
      <c r="G636" s="10" t="s">
        <v>1700</v>
      </c>
      <c r="H636" s="46" t="s">
        <v>15</v>
      </c>
      <c r="I636" s="10" t="s">
        <v>1701</v>
      </c>
      <c r="J636" s="34" t="s">
        <v>2156</v>
      </c>
      <c r="K636" s="34">
        <v>2</v>
      </c>
    </row>
    <row r="637" spans="1:11" ht="18" customHeight="1" x14ac:dyDescent="0.4">
      <c r="A637" s="6">
        <f t="shared" si="21"/>
        <v>636</v>
      </c>
      <c r="B637" s="30" t="s">
        <v>1767</v>
      </c>
      <c r="C637" s="30"/>
      <c r="D637" s="31" t="s">
        <v>821</v>
      </c>
      <c r="E637" s="30" t="s">
        <v>1837</v>
      </c>
      <c r="F637" s="30" t="s">
        <v>1838</v>
      </c>
      <c r="G637" s="30" t="s">
        <v>388</v>
      </c>
      <c r="H637" s="46" t="s">
        <v>15</v>
      </c>
      <c r="I637" s="30" t="s">
        <v>1839</v>
      </c>
      <c r="J637" s="34" t="s">
        <v>2158</v>
      </c>
      <c r="K637" s="34">
        <v>21</v>
      </c>
    </row>
    <row r="638" spans="1:11" ht="18" customHeight="1" x14ac:dyDescent="0.4">
      <c r="A638" s="6">
        <f t="shared" si="21"/>
        <v>637</v>
      </c>
      <c r="B638" s="10" t="s">
        <v>1675</v>
      </c>
      <c r="C638" s="14" t="s">
        <v>594</v>
      </c>
      <c r="D638" s="11" t="s">
        <v>17</v>
      </c>
      <c r="E638" s="14" t="s">
        <v>80</v>
      </c>
      <c r="F638" s="14" t="s">
        <v>874</v>
      </c>
      <c r="G638" s="14" t="s">
        <v>342</v>
      </c>
      <c r="H638" s="46" t="s">
        <v>15</v>
      </c>
      <c r="I638" s="14" t="s">
        <v>75</v>
      </c>
      <c r="J638" s="34" t="s">
        <v>2157</v>
      </c>
      <c r="K638" s="34">
        <v>5</v>
      </c>
    </row>
    <row r="639" spans="1:11" ht="18" customHeight="1" x14ac:dyDescent="0.4">
      <c r="A639" s="6">
        <f t="shared" si="21"/>
        <v>638</v>
      </c>
      <c r="B639" s="30" t="s">
        <v>1767</v>
      </c>
      <c r="C639" s="30"/>
      <c r="D639" s="15" t="s">
        <v>821</v>
      </c>
      <c r="E639" s="30" t="s">
        <v>1799</v>
      </c>
      <c r="F639" s="30" t="s">
        <v>1800</v>
      </c>
      <c r="G639" s="30" t="s">
        <v>1801</v>
      </c>
      <c r="H639" s="46" t="s">
        <v>15</v>
      </c>
      <c r="I639" s="30" t="s">
        <v>1802</v>
      </c>
      <c r="J639" s="34" t="s">
        <v>2157</v>
      </c>
      <c r="K639" s="34">
        <v>60</v>
      </c>
    </row>
    <row r="640" spans="1:11" ht="18" customHeight="1" x14ac:dyDescent="0.4">
      <c r="A640" s="9">
        <f t="shared" si="21"/>
        <v>639</v>
      </c>
      <c r="B640" s="10" t="s">
        <v>1767</v>
      </c>
      <c r="C640" s="10"/>
      <c r="D640" s="15" t="s">
        <v>821</v>
      </c>
      <c r="E640" s="10" t="s">
        <v>1796</v>
      </c>
      <c r="F640" s="10" t="s">
        <v>1797</v>
      </c>
      <c r="G640" s="10" t="s">
        <v>342</v>
      </c>
      <c r="H640" s="46" t="s">
        <v>15</v>
      </c>
      <c r="I640" s="10" t="s">
        <v>1798</v>
      </c>
      <c r="J640" s="34" t="s">
        <v>2157</v>
      </c>
      <c r="K640" s="34">
        <v>61</v>
      </c>
    </row>
    <row r="641" spans="1:79" ht="18" customHeight="1" x14ac:dyDescent="0.4">
      <c r="A641" s="6">
        <f t="shared" si="21"/>
        <v>640</v>
      </c>
      <c r="B641" s="30" t="s">
        <v>1767</v>
      </c>
      <c r="C641" s="30"/>
      <c r="D641" s="31" t="s">
        <v>821</v>
      </c>
      <c r="E641" s="30" t="s">
        <v>1783</v>
      </c>
      <c r="F641" s="30" t="s">
        <v>343</v>
      </c>
      <c r="G641" s="30" t="s">
        <v>1784</v>
      </c>
      <c r="H641" s="46" t="s">
        <v>15</v>
      </c>
      <c r="I641" s="30" t="s">
        <v>1785</v>
      </c>
      <c r="J641" s="34" t="s">
        <v>2157</v>
      </c>
      <c r="K641" s="34">
        <v>62</v>
      </c>
    </row>
    <row r="642" spans="1:79" ht="18" customHeight="1" x14ac:dyDescent="0.4">
      <c r="A642" s="6">
        <f t="shared" si="21"/>
        <v>641</v>
      </c>
      <c r="B642" s="30" t="s">
        <v>1767</v>
      </c>
      <c r="C642" s="30"/>
      <c r="D642" s="31" t="s">
        <v>821</v>
      </c>
      <c r="E642" s="30" t="s">
        <v>1842</v>
      </c>
      <c r="F642" s="30" t="s">
        <v>758</v>
      </c>
      <c r="G642" s="30" t="s">
        <v>96</v>
      </c>
      <c r="H642" s="46" t="s">
        <v>15</v>
      </c>
      <c r="I642" s="30" t="s">
        <v>1843</v>
      </c>
      <c r="J642" s="34" t="s">
        <v>2158</v>
      </c>
      <c r="K642" s="34">
        <v>22</v>
      </c>
    </row>
    <row r="643" spans="1:79" ht="18" customHeight="1" x14ac:dyDescent="0.4">
      <c r="A643" s="9">
        <f t="shared" si="21"/>
        <v>642</v>
      </c>
      <c r="B643" s="10" t="s">
        <v>1767</v>
      </c>
      <c r="C643" s="10"/>
      <c r="D643" s="11" t="s">
        <v>821</v>
      </c>
      <c r="E643" s="10" t="s">
        <v>46</v>
      </c>
      <c r="F643" s="10" t="s">
        <v>1844</v>
      </c>
      <c r="G643" s="10" t="s">
        <v>1845</v>
      </c>
      <c r="H643" s="46" t="s">
        <v>15</v>
      </c>
      <c r="I643" s="10" t="s">
        <v>1846</v>
      </c>
      <c r="J643" s="34" t="s">
        <v>2158</v>
      </c>
      <c r="K643" s="34">
        <v>23</v>
      </c>
    </row>
    <row r="644" spans="1:79" ht="18" customHeight="1" x14ac:dyDescent="0.4">
      <c r="A644" s="6">
        <f t="shared" si="21"/>
        <v>643</v>
      </c>
      <c r="B644" s="30" t="s">
        <v>1767</v>
      </c>
      <c r="C644" s="30"/>
      <c r="D644" s="31" t="s">
        <v>821</v>
      </c>
      <c r="E644" s="30" t="s">
        <v>1847</v>
      </c>
      <c r="F644" s="30" t="s">
        <v>283</v>
      </c>
      <c r="G644" s="30" t="s">
        <v>1848</v>
      </c>
      <c r="H644" s="46" t="s">
        <v>15</v>
      </c>
      <c r="I644" s="30" t="s">
        <v>1765</v>
      </c>
      <c r="J644" s="34" t="s">
        <v>2158</v>
      </c>
      <c r="K644" s="34">
        <v>24</v>
      </c>
    </row>
    <row r="645" spans="1:79" ht="18" customHeight="1" x14ac:dyDescent="0.4">
      <c r="A645" s="9">
        <f t="shared" si="21"/>
        <v>644</v>
      </c>
      <c r="B645" s="10" t="s">
        <v>1767</v>
      </c>
      <c r="C645" s="10"/>
      <c r="D645" s="11" t="s">
        <v>821</v>
      </c>
      <c r="E645" s="10" t="s">
        <v>571</v>
      </c>
      <c r="F645" s="10" t="s">
        <v>1849</v>
      </c>
      <c r="G645" s="10" t="s">
        <v>1462</v>
      </c>
      <c r="H645" s="46" t="s">
        <v>15</v>
      </c>
      <c r="I645" s="10" t="s">
        <v>1850</v>
      </c>
      <c r="J645" s="34" t="s">
        <v>2158</v>
      </c>
      <c r="K645" s="34">
        <v>25</v>
      </c>
    </row>
    <row r="646" spans="1:79" ht="18" customHeight="1" x14ac:dyDescent="0.4">
      <c r="A646" s="6">
        <f t="shared" si="21"/>
        <v>645</v>
      </c>
      <c r="B646" s="10" t="s">
        <v>1928</v>
      </c>
      <c r="C646" s="10"/>
      <c r="D646" s="11" t="s">
        <v>821</v>
      </c>
      <c r="E646" s="10" t="s">
        <v>670</v>
      </c>
      <c r="F646" s="10" t="s">
        <v>78</v>
      </c>
      <c r="G646" s="10" t="s">
        <v>219</v>
      </c>
      <c r="H646" s="46" t="s">
        <v>15</v>
      </c>
      <c r="I646" s="10" t="s">
        <v>1940</v>
      </c>
      <c r="J646" s="34" t="s">
        <v>2161</v>
      </c>
      <c r="K646" s="34">
        <v>21</v>
      </c>
    </row>
    <row r="647" spans="1:79" ht="18" customHeight="1" x14ac:dyDescent="0.4">
      <c r="A647" s="6">
        <f t="shared" si="21"/>
        <v>646</v>
      </c>
      <c r="B647" s="30" t="s">
        <v>1767</v>
      </c>
      <c r="C647" s="30"/>
      <c r="D647" s="31" t="s">
        <v>821</v>
      </c>
      <c r="E647" s="30" t="s">
        <v>305</v>
      </c>
      <c r="F647" s="30" t="s">
        <v>1714</v>
      </c>
      <c r="G647" s="30" t="s">
        <v>1851</v>
      </c>
      <c r="H647" s="46" t="s">
        <v>15</v>
      </c>
      <c r="I647" s="30" t="s">
        <v>1852</v>
      </c>
      <c r="J647" s="34" t="s">
        <v>2158</v>
      </c>
      <c r="K647" s="34">
        <v>26</v>
      </c>
    </row>
    <row r="648" spans="1:79" ht="18" customHeight="1" x14ac:dyDescent="0.4">
      <c r="A648" s="6">
        <f t="shared" si="21"/>
        <v>647</v>
      </c>
      <c r="B648" s="30" t="s">
        <v>1767</v>
      </c>
      <c r="C648" s="30"/>
      <c r="D648" s="31" t="s">
        <v>821</v>
      </c>
      <c r="E648" s="30" t="s">
        <v>1854</v>
      </c>
      <c r="F648" s="30" t="s">
        <v>1855</v>
      </c>
      <c r="G648" s="30" t="s">
        <v>1507</v>
      </c>
      <c r="H648" s="46" t="s">
        <v>15</v>
      </c>
      <c r="I648" s="30" t="s">
        <v>1856</v>
      </c>
      <c r="J648" s="34" t="s">
        <v>2158</v>
      </c>
      <c r="K648" s="34">
        <v>27</v>
      </c>
    </row>
    <row r="649" spans="1:79" s="5" customFormat="1" ht="18" customHeight="1" x14ac:dyDescent="0.4">
      <c r="A649" s="9">
        <f t="shared" si="21"/>
        <v>648</v>
      </c>
      <c r="B649" s="30" t="s">
        <v>1767</v>
      </c>
      <c r="C649" s="30"/>
      <c r="D649" s="31" t="s">
        <v>821</v>
      </c>
      <c r="E649" s="30" t="s">
        <v>1913</v>
      </c>
      <c r="F649" s="30" t="s">
        <v>220</v>
      </c>
      <c r="G649" s="30" t="s">
        <v>1914</v>
      </c>
      <c r="H649" s="46" t="s">
        <v>15</v>
      </c>
      <c r="I649" s="30" t="s">
        <v>1915</v>
      </c>
      <c r="J649" s="34" t="s">
        <v>2161</v>
      </c>
      <c r="K649" s="34">
        <v>22</v>
      </c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</row>
    <row r="650" spans="1:79" ht="18" customHeight="1" x14ac:dyDescent="0.4">
      <c r="A650" s="6">
        <f t="shared" si="21"/>
        <v>649</v>
      </c>
      <c r="B650" s="10" t="s">
        <v>1767</v>
      </c>
      <c r="C650" s="10"/>
      <c r="D650" s="11" t="s">
        <v>821</v>
      </c>
      <c r="E650" s="10" t="s">
        <v>222</v>
      </c>
      <c r="F650" s="10" t="s">
        <v>1896</v>
      </c>
      <c r="G650" s="10" t="s">
        <v>1897</v>
      </c>
      <c r="H650" s="46" t="s">
        <v>15</v>
      </c>
      <c r="I650" s="10" t="s">
        <v>1898</v>
      </c>
      <c r="J650" s="34" t="s">
        <v>2161</v>
      </c>
      <c r="K650" s="34">
        <v>23</v>
      </c>
    </row>
    <row r="651" spans="1:79" ht="18" customHeight="1" x14ac:dyDescent="0.4">
      <c r="A651" s="9">
        <f t="shared" si="21"/>
        <v>650</v>
      </c>
      <c r="B651" s="30" t="s">
        <v>1675</v>
      </c>
      <c r="C651" s="30" t="s">
        <v>594</v>
      </c>
      <c r="D651" s="31" t="s">
        <v>17</v>
      </c>
      <c r="E651" s="30" t="s">
        <v>339</v>
      </c>
      <c r="F651" s="30" t="s">
        <v>1687</v>
      </c>
      <c r="G651" s="30" t="s">
        <v>1688</v>
      </c>
      <c r="H651" s="46" t="s">
        <v>15</v>
      </c>
      <c r="I651" s="30" t="s">
        <v>1689</v>
      </c>
      <c r="J651" s="34" t="s">
        <v>2157</v>
      </c>
      <c r="K651" s="34">
        <v>4</v>
      </c>
    </row>
    <row r="652" spans="1:79" ht="18" customHeight="1" x14ac:dyDescent="0.4">
      <c r="A652" s="9">
        <f t="shared" si="21"/>
        <v>651</v>
      </c>
      <c r="B652" s="10" t="s">
        <v>1767</v>
      </c>
      <c r="C652" s="10"/>
      <c r="D652" s="11" t="s">
        <v>821</v>
      </c>
      <c r="E652" s="10" t="s">
        <v>1872</v>
      </c>
      <c r="F652" s="10" t="s">
        <v>1873</v>
      </c>
      <c r="G652" s="10"/>
      <c r="H652" s="46" t="s">
        <v>15</v>
      </c>
      <c r="I652" s="10" t="s">
        <v>1874</v>
      </c>
      <c r="J652" s="34" t="s">
        <v>2158</v>
      </c>
      <c r="K652" s="34">
        <v>28</v>
      </c>
    </row>
    <row r="653" spans="1:79" ht="18" customHeight="1" x14ac:dyDescent="0.4">
      <c r="A653" s="6">
        <f t="shared" si="21"/>
        <v>652</v>
      </c>
      <c r="B653" s="30" t="s">
        <v>1767</v>
      </c>
      <c r="C653" s="30"/>
      <c r="D653" s="31" t="s">
        <v>821</v>
      </c>
      <c r="E653" s="30" t="s">
        <v>1875</v>
      </c>
      <c r="F653" s="30" t="s">
        <v>1715</v>
      </c>
      <c r="G653" s="30" t="s">
        <v>682</v>
      </c>
      <c r="H653" s="46" t="s">
        <v>15</v>
      </c>
      <c r="I653" s="30" t="s">
        <v>1876</v>
      </c>
      <c r="J653" s="34" t="s">
        <v>2158</v>
      </c>
      <c r="K653" s="34">
        <v>29</v>
      </c>
    </row>
    <row r="654" spans="1:79" ht="18" customHeight="1" x14ac:dyDescent="0.4">
      <c r="A654" s="9">
        <f t="shared" si="21"/>
        <v>653</v>
      </c>
      <c r="B654" s="10" t="s">
        <v>1767</v>
      </c>
      <c r="C654" s="10"/>
      <c r="D654" s="11" t="s">
        <v>821</v>
      </c>
      <c r="E654" s="10" t="s">
        <v>1887</v>
      </c>
      <c r="F654" s="10" t="s">
        <v>465</v>
      </c>
      <c r="G654" s="10" t="s">
        <v>358</v>
      </c>
      <c r="H654" s="46" t="s">
        <v>15</v>
      </c>
      <c r="I654" s="10" t="s">
        <v>1888</v>
      </c>
      <c r="J654" s="34" t="s">
        <v>2161</v>
      </c>
      <c r="K654" s="34">
        <v>24</v>
      </c>
    </row>
    <row r="655" spans="1:79" ht="18" customHeight="1" x14ac:dyDescent="0.4">
      <c r="A655" s="6">
        <f t="shared" si="21"/>
        <v>654</v>
      </c>
      <c r="B655" s="30" t="s">
        <v>1767</v>
      </c>
      <c r="C655" s="30"/>
      <c r="D655" s="31" t="s">
        <v>821</v>
      </c>
      <c r="E655" s="30" t="s">
        <v>1885</v>
      </c>
      <c r="F655" s="30" t="s">
        <v>358</v>
      </c>
      <c r="G655" s="30"/>
      <c r="H655" s="46" t="s">
        <v>15</v>
      </c>
      <c r="I655" s="30" t="s">
        <v>1886</v>
      </c>
      <c r="J655" s="34" t="s">
        <v>2161</v>
      </c>
      <c r="K655" s="34">
        <v>25</v>
      </c>
    </row>
    <row r="656" spans="1:79" ht="18" customHeight="1" x14ac:dyDescent="0.4">
      <c r="A656" s="9">
        <f t="shared" si="21"/>
        <v>655</v>
      </c>
      <c r="B656" s="10" t="s">
        <v>1767</v>
      </c>
      <c r="C656" s="10"/>
      <c r="D656" s="11" t="s">
        <v>821</v>
      </c>
      <c r="E656" s="10" t="s">
        <v>1877</v>
      </c>
      <c r="F656" s="10" t="s">
        <v>956</v>
      </c>
      <c r="G656" s="10" t="s">
        <v>1878</v>
      </c>
      <c r="H656" s="46" t="s">
        <v>15</v>
      </c>
      <c r="I656" s="10" t="s">
        <v>1879</v>
      </c>
      <c r="J656" s="34" t="s">
        <v>2158</v>
      </c>
      <c r="K656" s="34">
        <v>30</v>
      </c>
    </row>
    <row r="657" spans="1:11" ht="18" customHeight="1" x14ac:dyDescent="0.4">
      <c r="A657" s="9">
        <f t="shared" si="21"/>
        <v>656</v>
      </c>
      <c r="B657" s="10" t="s">
        <v>1767</v>
      </c>
      <c r="C657" s="10"/>
      <c r="D657" s="11" t="s">
        <v>821</v>
      </c>
      <c r="E657" s="10" t="s">
        <v>1857</v>
      </c>
      <c r="F657" s="10" t="s">
        <v>335</v>
      </c>
      <c r="G657" s="10" t="s">
        <v>342</v>
      </c>
      <c r="H657" s="46" t="s">
        <v>15</v>
      </c>
      <c r="I657" s="10" t="s">
        <v>1858</v>
      </c>
      <c r="J657" s="34" t="s">
        <v>2161</v>
      </c>
      <c r="K657" s="34">
        <v>26</v>
      </c>
    </row>
    <row r="658" spans="1:11" ht="18" customHeight="1" x14ac:dyDescent="0.4">
      <c r="A658" s="9">
        <f t="shared" si="21"/>
        <v>657</v>
      </c>
      <c r="B658" s="10" t="s">
        <v>1767</v>
      </c>
      <c r="C658" s="10"/>
      <c r="D658" s="11" t="s">
        <v>821</v>
      </c>
      <c r="E658" s="10" t="s">
        <v>1813</v>
      </c>
      <c r="F658" s="10" t="s">
        <v>1814</v>
      </c>
      <c r="G658" s="10" t="s">
        <v>1308</v>
      </c>
      <c r="H658" s="46" t="s">
        <v>15</v>
      </c>
      <c r="I658" s="10" t="s">
        <v>1815</v>
      </c>
      <c r="J658" s="34" t="s">
        <v>2161</v>
      </c>
      <c r="K658" s="34">
        <v>27</v>
      </c>
    </row>
    <row r="659" spans="1:11" ht="18" customHeight="1" x14ac:dyDescent="0.4">
      <c r="A659" s="6">
        <f t="shared" si="21"/>
        <v>658</v>
      </c>
      <c r="B659" s="10" t="s">
        <v>1741</v>
      </c>
      <c r="C659" s="10"/>
      <c r="D659" s="11" t="s">
        <v>821</v>
      </c>
      <c r="E659" s="10" t="s">
        <v>1760</v>
      </c>
      <c r="F659" s="10" t="s">
        <v>1761</v>
      </c>
      <c r="G659" s="10" t="s">
        <v>1762</v>
      </c>
      <c r="H659" s="46" t="s">
        <v>15</v>
      </c>
      <c r="I659" s="10"/>
      <c r="J659" s="34" t="s">
        <v>2161</v>
      </c>
      <c r="K659" s="34">
        <v>28</v>
      </c>
    </row>
    <row r="660" spans="1:11" ht="18" customHeight="1" x14ac:dyDescent="0.4">
      <c r="A660" s="6">
        <f t="shared" si="21"/>
        <v>659</v>
      </c>
      <c r="B660" s="30" t="s">
        <v>1767</v>
      </c>
      <c r="C660" s="30"/>
      <c r="D660" s="31" t="s">
        <v>821</v>
      </c>
      <c r="E660" s="30" t="s">
        <v>497</v>
      </c>
      <c r="F660" s="30" t="s">
        <v>1868</v>
      </c>
      <c r="G660" s="30" t="s">
        <v>1788</v>
      </c>
      <c r="H660" s="46" t="s">
        <v>15</v>
      </c>
      <c r="I660" s="30" t="s">
        <v>1880</v>
      </c>
      <c r="J660" s="34" t="s">
        <v>2158</v>
      </c>
      <c r="K660" s="34">
        <v>31</v>
      </c>
    </row>
    <row r="661" spans="1:11" ht="18" customHeight="1" x14ac:dyDescent="0.4">
      <c r="A661" s="9">
        <f t="shared" si="21"/>
        <v>660</v>
      </c>
      <c r="B661" s="10" t="s">
        <v>1767</v>
      </c>
      <c r="C661" s="10"/>
      <c r="D661" s="11" t="s">
        <v>821</v>
      </c>
      <c r="E661" s="10" t="s">
        <v>1464</v>
      </c>
      <c r="F661" s="10" t="s">
        <v>244</v>
      </c>
      <c r="G661" s="10"/>
      <c r="H661" s="46" t="s">
        <v>15</v>
      </c>
      <c r="I661" s="10" t="s">
        <v>1881</v>
      </c>
      <c r="J661" s="34" t="s">
        <v>2158</v>
      </c>
      <c r="K661" s="34">
        <v>32</v>
      </c>
    </row>
    <row r="662" spans="1:11" ht="18" customHeight="1" x14ac:dyDescent="0.4">
      <c r="A662" s="6">
        <f t="shared" si="21"/>
        <v>661</v>
      </c>
      <c r="B662" s="30" t="s">
        <v>1767</v>
      </c>
      <c r="C662" s="30"/>
      <c r="D662" s="31" t="s">
        <v>821</v>
      </c>
      <c r="E662" s="30" t="s">
        <v>1757</v>
      </c>
      <c r="F662" s="30" t="s">
        <v>620</v>
      </c>
      <c r="G662" s="30" t="s">
        <v>1444</v>
      </c>
      <c r="H662" s="46" t="s">
        <v>15</v>
      </c>
      <c r="I662" s="30" t="s">
        <v>1882</v>
      </c>
      <c r="J662" s="34" t="s">
        <v>2158</v>
      </c>
      <c r="K662" s="34">
        <v>33</v>
      </c>
    </row>
    <row r="663" spans="1:11" ht="18" customHeight="1" x14ac:dyDescent="0.4">
      <c r="A663" s="9">
        <f t="shared" si="21"/>
        <v>662</v>
      </c>
      <c r="B663" s="10" t="s">
        <v>1767</v>
      </c>
      <c r="C663" s="10"/>
      <c r="D663" s="11" t="s">
        <v>821</v>
      </c>
      <c r="E663" s="10" t="s">
        <v>494</v>
      </c>
      <c r="F663" s="10" t="s">
        <v>29</v>
      </c>
      <c r="G663" s="10" t="s">
        <v>1883</v>
      </c>
      <c r="H663" s="46" t="s">
        <v>15</v>
      </c>
      <c r="I663" s="10" t="s">
        <v>1884</v>
      </c>
      <c r="J663" s="34" t="s">
        <v>2158</v>
      </c>
      <c r="K663" s="34">
        <v>34</v>
      </c>
    </row>
    <row r="664" spans="1:11" ht="18" customHeight="1" x14ac:dyDescent="0.4">
      <c r="A664" s="6">
        <f t="shared" si="21"/>
        <v>663</v>
      </c>
      <c r="B664" s="30" t="s">
        <v>1767</v>
      </c>
      <c r="C664" s="30" t="s">
        <v>532</v>
      </c>
      <c r="D664" s="15" t="s">
        <v>17</v>
      </c>
      <c r="E664" s="30" t="s">
        <v>1776</v>
      </c>
      <c r="F664" s="30" t="s">
        <v>1777</v>
      </c>
      <c r="G664" s="30" t="s">
        <v>1778</v>
      </c>
      <c r="H664" s="46" t="s">
        <v>15</v>
      </c>
      <c r="I664" s="30" t="s">
        <v>1779</v>
      </c>
      <c r="J664" s="34" t="s">
        <v>2157</v>
      </c>
      <c r="K664" s="34">
        <v>1</v>
      </c>
    </row>
    <row r="665" spans="1:11" ht="18" hidden="1" customHeight="1" x14ac:dyDescent="0.4">
      <c r="A665" s="9">
        <f t="shared" si="21"/>
        <v>664</v>
      </c>
      <c r="B665" s="10" t="s">
        <v>1767</v>
      </c>
      <c r="C665" s="10"/>
      <c r="D665" s="11" t="s">
        <v>2229</v>
      </c>
      <c r="E665" s="10" t="s">
        <v>1080</v>
      </c>
      <c r="F665" s="10" t="s">
        <v>1780</v>
      </c>
      <c r="G665" s="10" t="s">
        <v>1781</v>
      </c>
      <c r="H665" s="48" t="s">
        <v>49</v>
      </c>
      <c r="I665" s="10" t="s">
        <v>1782</v>
      </c>
      <c r="J665" s="34"/>
      <c r="K665" s="34"/>
    </row>
    <row r="666" spans="1:11" ht="18" customHeight="1" x14ac:dyDescent="0.4">
      <c r="A666" s="9"/>
      <c r="B666" s="26"/>
      <c r="C666" s="26"/>
      <c r="D666" s="15" t="s">
        <v>821</v>
      </c>
      <c r="E666" s="26" t="s">
        <v>497</v>
      </c>
      <c r="F666" s="26" t="s">
        <v>701</v>
      </c>
      <c r="G666" s="26" t="s">
        <v>250</v>
      </c>
      <c r="H666" s="46" t="s">
        <v>15</v>
      </c>
      <c r="I666" s="26" t="s">
        <v>2164</v>
      </c>
      <c r="J666" s="34" t="s">
        <v>2157</v>
      </c>
      <c r="K666" s="34">
        <v>63</v>
      </c>
    </row>
    <row r="667" spans="1:11" ht="18" customHeight="1" x14ac:dyDescent="0.4">
      <c r="A667" s="6">
        <f t="shared" ref="A667:A698" si="22">IF(COUNTA(B667:I667)=0,"",ROW()-1)</f>
        <v>666</v>
      </c>
      <c r="B667" s="26" t="s">
        <v>1207</v>
      </c>
      <c r="C667" s="26"/>
      <c r="D667" s="15" t="s">
        <v>821</v>
      </c>
      <c r="E667" s="26" t="s">
        <v>1407</v>
      </c>
      <c r="F667" s="26" t="s">
        <v>1408</v>
      </c>
      <c r="G667" s="26"/>
      <c r="H667" s="46" t="s">
        <v>15</v>
      </c>
      <c r="I667" s="26" t="s">
        <v>1409</v>
      </c>
      <c r="J667" s="34" t="s">
        <v>2156</v>
      </c>
      <c r="K667" s="34">
        <v>64</v>
      </c>
    </row>
    <row r="668" spans="1:11" ht="18" customHeight="1" x14ac:dyDescent="0.4">
      <c r="A668" s="6">
        <f t="shared" si="22"/>
        <v>667</v>
      </c>
      <c r="B668" s="14" t="s">
        <v>1675</v>
      </c>
      <c r="C668" s="14" t="s">
        <v>427</v>
      </c>
      <c r="D668" s="11" t="s">
        <v>17</v>
      </c>
      <c r="E668" s="14" t="s">
        <v>360</v>
      </c>
      <c r="F668" s="14" t="s">
        <v>642</v>
      </c>
      <c r="G668" s="14" t="s">
        <v>1690</v>
      </c>
      <c r="H668" s="46" t="s">
        <v>15</v>
      </c>
      <c r="I668" s="14" t="s">
        <v>1691</v>
      </c>
      <c r="J668" s="34" t="s">
        <v>2157</v>
      </c>
      <c r="K668" s="34">
        <v>7</v>
      </c>
    </row>
    <row r="669" spans="1:11" ht="18" customHeight="1" x14ac:dyDescent="0.4">
      <c r="A669" s="6">
        <f t="shared" si="22"/>
        <v>668</v>
      </c>
      <c r="B669" s="30" t="s">
        <v>1767</v>
      </c>
      <c r="C669" s="30" t="s">
        <v>923</v>
      </c>
      <c r="D669" s="15" t="s">
        <v>821</v>
      </c>
      <c r="E669" s="30" t="s">
        <v>357</v>
      </c>
      <c r="F669" s="30" t="s">
        <v>1788</v>
      </c>
      <c r="G669" s="30" t="s">
        <v>1789</v>
      </c>
      <c r="H669" s="46" t="s">
        <v>15</v>
      </c>
      <c r="I669" s="30" t="s">
        <v>1790</v>
      </c>
      <c r="J669" s="34" t="s">
        <v>2157</v>
      </c>
      <c r="K669" s="34">
        <v>64</v>
      </c>
    </row>
    <row r="670" spans="1:11" ht="18" customHeight="1" x14ac:dyDescent="0.4">
      <c r="A670" s="6">
        <f t="shared" si="22"/>
        <v>669</v>
      </c>
      <c r="B670" s="30" t="s">
        <v>1767</v>
      </c>
      <c r="C670" s="30"/>
      <c r="D670" s="31" t="s">
        <v>821</v>
      </c>
      <c r="E670" s="30" t="s">
        <v>229</v>
      </c>
      <c r="F670" s="30" t="s">
        <v>273</v>
      </c>
      <c r="G670" s="30" t="s">
        <v>654</v>
      </c>
      <c r="H670" s="46" t="s">
        <v>15</v>
      </c>
      <c r="I670" s="30" t="s">
        <v>1889</v>
      </c>
      <c r="J670" s="34" t="s">
        <v>2158</v>
      </c>
      <c r="K670" s="34">
        <v>35</v>
      </c>
    </row>
    <row r="671" spans="1:11" ht="18" customHeight="1" x14ac:dyDescent="0.4">
      <c r="A671" s="9">
        <f t="shared" si="22"/>
        <v>670</v>
      </c>
      <c r="B671" s="30" t="s">
        <v>1741</v>
      </c>
      <c r="C671" s="30"/>
      <c r="D671" s="31" t="s">
        <v>821</v>
      </c>
      <c r="E671" s="30" t="s">
        <v>1757</v>
      </c>
      <c r="F671" s="30" t="s">
        <v>1758</v>
      </c>
      <c r="G671" s="30" t="s">
        <v>894</v>
      </c>
      <c r="H671" s="46" t="s">
        <v>15</v>
      </c>
      <c r="I671" s="30" t="s">
        <v>1759</v>
      </c>
      <c r="J671" s="34" t="s">
        <v>2161</v>
      </c>
      <c r="K671" s="34">
        <v>29</v>
      </c>
    </row>
    <row r="672" spans="1:11" ht="18" customHeight="1" x14ac:dyDescent="0.4">
      <c r="A672" s="6">
        <f t="shared" si="22"/>
        <v>671</v>
      </c>
      <c r="B672" s="10" t="s">
        <v>1741</v>
      </c>
      <c r="C672" s="10"/>
      <c r="D672" s="11" t="s">
        <v>821</v>
      </c>
      <c r="E672" s="10" t="s">
        <v>1753</v>
      </c>
      <c r="F672" s="10" t="s">
        <v>1754</v>
      </c>
      <c r="G672" s="10" t="s">
        <v>1755</v>
      </c>
      <c r="H672" s="46" t="s">
        <v>15</v>
      </c>
      <c r="I672" s="10" t="s">
        <v>1756</v>
      </c>
      <c r="J672" s="34" t="s">
        <v>2161</v>
      </c>
      <c r="K672" s="34">
        <v>30</v>
      </c>
    </row>
    <row r="673" spans="1:11" ht="18" customHeight="1" x14ac:dyDescent="0.4">
      <c r="A673" s="6">
        <f t="shared" si="22"/>
        <v>672</v>
      </c>
      <c r="B673" s="10" t="s">
        <v>1741</v>
      </c>
      <c r="C673" s="10"/>
      <c r="D673" s="11" t="s">
        <v>821</v>
      </c>
      <c r="E673" s="10" t="s">
        <v>357</v>
      </c>
      <c r="F673" s="10" t="s">
        <v>537</v>
      </c>
      <c r="G673" s="10" t="s">
        <v>411</v>
      </c>
      <c r="H673" s="46" t="s">
        <v>15</v>
      </c>
      <c r="I673" s="10" t="s">
        <v>1751</v>
      </c>
      <c r="J673" s="34" t="s">
        <v>2161</v>
      </c>
      <c r="K673" s="34">
        <v>31</v>
      </c>
    </row>
    <row r="674" spans="1:11" ht="18" customHeight="1" x14ac:dyDescent="0.4">
      <c r="A674" s="9">
        <f t="shared" si="22"/>
        <v>673</v>
      </c>
      <c r="B674" s="30" t="s">
        <v>1741</v>
      </c>
      <c r="C674" s="30"/>
      <c r="D674" s="31" t="s">
        <v>821</v>
      </c>
      <c r="E674" s="30" t="s">
        <v>1443</v>
      </c>
      <c r="F674" s="30" t="s">
        <v>1749</v>
      </c>
      <c r="G674" s="30" t="s">
        <v>342</v>
      </c>
      <c r="H674" s="46" t="s">
        <v>15</v>
      </c>
      <c r="I674" s="30" t="s">
        <v>1750</v>
      </c>
      <c r="J674" s="34" t="s">
        <v>2161</v>
      </c>
      <c r="K674" s="34">
        <v>32</v>
      </c>
    </row>
    <row r="675" spans="1:11" ht="18" customHeight="1" x14ac:dyDescent="0.4">
      <c r="A675" s="9">
        <f t="shared" si="22"/>
        <v>674</v>
      </c>
      <c r="B675" s="10" t="s">
        <v>1767</v>
      </c>
      <c r="C675" s="10"/>
      <c r="D675" s="11" t="s">
        <v>821</v>
      </c>
      <c r="E675" s="10" t="s">
        <v>252</v>
      </c>
      <c r="F675" s="10" t="s">
        <v>68</v>
      </c>
      <c r="G675" s="10" t="s">
        <v>450</v>
      </c>
      <c r="H675" s="46" t="s">
        <v>15</v>
      </c>
      <c r="I675" s="10" t="s">
        <v>1890</v>
      </c>
      <c r="J675" s="34" t="s">
        <v>2158</v>
      </c>
      <c r="K675" s="34">
        <v>36</v>
      </c>
    </row>
    <row r="676" spans="1:11" ht="18" customHeight="1" x14ac:dyDescent="0.4">
      <c r="A676" s="6">
        <f t="shared" si="22"/>
        <v>675</v>
      </c>
      <c r="B676" s="14" t="s">
        <v>1675</v>
      </c>
      <c r="C676" s="14" t="s">
        <v>427</v>
      </c>
      <c r="D676" s="11" t="s">
        <v>17</v>
      </c>
      <c r="E676" s="14" t="s">
        <v>1693</v>
      </c>
      <c r="F676" s="14" t="s">
        <v>1694</v>
      </c>
      <c r="G676" s="14" t="s">
        <v>1695</v>
      </c>
      <c r="H676" s="46" t="s">
        <v>15</v>
      </c>
      <c r="I676" s="14" t="s">
        <v>1696</v>
      </c>
      <c r="J676" s="34" t="s">
        <v>2157</v>
      </c>
      <c r="K676" s="34">
        <v>8</v>
      </c>
    </row>
    <row r="677" spans="1:11" ht="18" customHeight="1" x14ac:dyDescent="0.4">
      <c r="A677" s="6">
        <f t="shared" si="22"/>
        <v>676</v>
      </c>
      <c r="B677" s="14" t="s">
        <v>1675</v>
      </c>
      <c r="C677" s="10"/>
      <c r="D677" s="15" t="s">
        <v>821</v>
      </c>
      <c r="E677" s="10" t="s">
        <v>1717</v>
      </c>
      <c r="F677" s="10" t="s">
        <v>1718</v>
      </c>
      <c r="G677" s="10" t="s">
        <v>1719</v>
      </c>
      <c r="H677" s="46" t="s">
        <v>15</v>
      </c>
      <c r="I677" s="10" t="s">
        <v>1720</v>
      </c>
      <c r="J677" s="34" t="s">
        <v>2161</v>
      </c>
      <c r="K677" s="34">
        <v>33</v>
      </c>
    </row>
    <row r="678" spans="1:11" ht="18" customHeight="1" x14ac:dyDescent="0.4">
      <c r="A678" s="6">
        <f t="shared" si="22"/>
        <v>677</v>
      </c>
      <c r="B678" s="30" t="s">
        <v>1767</v>
      </c>
      <c r="C678" s="30"/>
      <c r="D678" s="31" t="s">
        <v>821</v>
      </c>
      <c r="E678" s="30" t="s">
        <v>1891</v>
      </c>
      <c r="F678" s="30" t="s">
        <v>1368</v>
      </c>
      <c r="G678" s="30" t="s">
        <v>270</v>
      </c>
      <c r="H678" s="46" t="s">
        <v>15</v>
      </c>
      <c r="I678" s="30" t="s">
        <v>1892</v>
      </c>
      <c r="J678" s="34" t="s">
        <v>2158</v>
      </c>
      <c r="K678" s="34">
        <v>37</v>
      </c>
    </row>
    <row r="679" spans="1:11" ht="18" customHeight="1" x14ac:dyDescent="0.4">
      <c r="A679" s="9">
        <f t="shared" si="22"/>
        <v>678</v>
      </c>
      <c r="B679" s="10" t="s">
        <v>1767</v>
      </c>
      <c r="C679" s="10"/>
      <c r="D679" s="11" t="s">
        <v>821</v>
      </c>
      <c r="E679" s="10" t="s">
        <v>497</v>
      </c>
      <c r="F679" s="10" t="s">
        <v>1893</v>
      </c>
      <c r="G679" s="10" t="s">
        <v>1894</v>
      </c>
      <c r="H679" s="46" t="s">
        <v>15</v>
      </c>
      <c r="I679" s="10" t="s">
        <v>1895</v>
      </c>
      <c r="J679" s="34" t="s">
        <v>2158</v>
      </c>
      <c r="K679" s="34">
        <v>38</v>
      </c>
    </row>
    <row r="680" spans="1:11" ht="18" customHeight="1" x14ac:dyDescent="0.4">
      <c r="A680" s="6">
        <f t="shared" si="22"/>
        <v>679</v>
      </c>
      <c r="B680" s="10" t="s">
        <v>1767</v>
      </c>
      <c r="C680" s="10"/>
      <c r="D680" s="11" t="s">
        <v>821</v>
      </c>
      <c r="E680" s="10" t="s">
        <v>1916</v>
      </c>
      <c r="F680" s="10" t="s">
        <v>1917</v>
      </c>
      <c r="G680" s="10" t="s">
        <v>636</v>
      </c>
      <c r="H680" s="46" t="s">
        <v>15</v>
      </c>
      <c r="I680" s="10" t="s">
        <v>1918</v>
      </c>
      <c r="J680" s="34" t="s">
        <v>2158</v>
      </c>
      <c r="K680" s="34">
        <v>39</v>
      </c>
    </row>
    <row r="681" spans="1:11" ht="18" customHeight="1" x14ac:dyDescent="0.4">
      <c r="A681" s="6">
        <f t="shared" si="22"/>
        <v>680</v>
      </c>
      <c r="B681" s="14" t="s">
        <v>1675</v>
      </c>
      <c r="C681" s="10"/>
      <c r="D681" s="15" t="s">
        <v>821</v>
      </c>
      <c r="E681" s="10" t="s">
        <v>1291</v>
      </c>
      <c r="F681" s="10" t="s">
        <v>1736</v>
      </c>
      <c r="G681" s="10" t="s">
        <v>1737</v>
      </c>
      <c r="H681" s="46" t="s">
        <v>15</v>
      </c>
      <c r="I681" s="10" t="s">
        <v>1738</v>
      </c>
      <c r="J681" s="34" t="s">
        <v>2158</v>
      </c>
      <c r="K681" s="34">
        <v>40</v>
      </c>
    </row>
    <row r="682" spans="1:11" ht="18" customHeight="1" x14ac:dyDescent="0.4">
      <c r="A682" s="9">
        <f t="shared" si="22"/>
        <v>681</v>
      </c>
      <c r="B682" s="30" t="s">
        <v>1675</v>
      </c>
      <c r="C682" s="30"/>
      <c r="D682" s="15" t="s">
        <v>821</v>
      </c>
      <c r="E682" s="30" t="s">
        <v>1189</v>
      </c>
      <c r="F682" s="30" t="s">
        <v>273</v>
      </c>
      <c r="G682" s="30" t="s">
        <v>1739</v>
      </c>
      <c r="H682" s="46" t="s">
        <v>15</v>
      </c>
      <c r="I682" s="30" t="s">
        <v>1740</v>
      </c>
      <c r="J682" s="34" t="s">
        <v>2158</v>
      </c>
      <c r="K682" s="34">
        <v>41</v>
      </c>
    </row>
    <row r="683" spans="1:11" ht="18" customHeight="1" x14ac:dyDescent="0.4">
      <c r="A683" s="9">
        <f t="shared" si="22"/>
        <v>682</v>
      </c>
      <c r="B683" s="10" t="s">
        <v>1767</v>
      </c>
      <c r="C683" s="10" t="s">
        <v>961</v>
      </c>
      <c r="D683" s="11" t="s">
        <v>821</v>
      </c>
      <c r="E683" s="10" t="s">
        <v>464</v>
      </c>
      <c r="F683" s="10" t="s">
        <v>1828</v>
      </c>
      <c r="G683" s="10" t="s">
        <v>796</v>
      </c>
      <c r="H683" s="46" t="s">
        <v>15</v>
      </c>
      <c r="I683" s="10" t="s">
        <v>1829</v>
      </c>
      <c r="J683" s="34"/>
      <c r="K683" s="34"/>
    </row>
    <row r="684" spans="1:11" ht="18" customHeight="1" x14ac:dyDescent="0.4">
      <c r="A684" s="6">
        <f t="shared" si="22"/>
        <v>683</v>
      </c>
      <c r="B684" s="10" t="s">
        <v>1928</v>
      </c>
      <c r="C684" s="10"/>
      <c r="D684" s="11" t="s">
        <v>821</v>
      </c>
      <c r="E684" s="10" t="s">
        <v>818</v>
      </c>
      <c r="F684" s="10" t="s">
        <v>1932</v>
      </c>
      <c r="G684" s="10"/>
      <c r="H684" s="46" t="s">
        <v>15</v>
      </c>
      <c r="I684" s="10" t="s">
        <v>1933</v>
      </c>
      <c r="J684" s="34" t="s">
        <v>2158</v>
      </c>
      <c r="K684" s="34">
        <v>42</v>
      </c>
    </row>
    <row r="685" spans="1:11" ht="18" customHeight="1" x14ac:dyDescent="0.4">
      <c r="A685" s="9">
        <f t="shared" si="22"/>
        <v>684</v>
      </c>
      <c r="B685" s="30" t="s">
        <v>1928</v>
      </c>
      <c r="C685" s="30"/>
      <c r="D685" s="31" t="s">
        <v>821</v>
      </c>
      <c r="E685" s="30" t="s">
        <v>372</v>
      </c>
      <c r="F685" s="30" t="s">
        <v>1789</v>
      </c>
      <c r="G685" s="30"/>
      <c r="H685" s="46" t="s">
        <v>15</v>
      </c>
      <c r="I685" s="30" t="s">
        <v>1934</v>
      </c>
      <c r="J685" s="34" t="s">
        <v>2158</v>
      </c>
      <c r="K685" s="34">
        <v>43</v>
      </c>
    </row>
    <row r="686" spans="1:11" ht="18" customHeight="1" x14ac:dyDescent="0.4">
      <c r="A686" s="6">
        <f t="shared" si="22"/>
        <v>685</v>
      </c>
      <c r="B686" s="10" t="s">
        <v>1928</v>
      </c>
      <c r="C686" s="10"/>
      <c r="D686" s="11" t="s">
        <v>821</v>
      </c>
      <c r="E686" s="10" t="s">
        <v>1935</v>
      </c>
      <c r="F686" s="10" t="s">
        <v>1936</v>
      </c>
      <c r="G686" s="10" t="s">
        <v>1937</v>
      </c>
      <c r="H686" s="46" t="s">
        <v>15</v>
      </c>
      <c r="I686" s="10" t="s">
        <v>1846</v>
      </c>
      <c r="J686" s="34" t="s">
        <v>2158</v>
      </c>
      <c r="K686" s="34">
        <v>44</v>
      </c>
    </row>
    <row r="687" spans="1:11" ht="18" hidden="1" customHeight="1" x14ac:dyDescent="0.4">
      <c r="A687" s="9">
        <f t="shared" si="22"/>
        <v>686</v>
      </c>
      <c r="B687" s="10" t="s">
        <v>1767</v>
      </c>
      <c r="C687" s="10"/>
      <c r="D687" s="11" t="s">
        <v>2229</v>
      </c>
      <c r="E687" s="10" t="s">
        <v>1032</v>
      </c>
      <c r="F687" s="10" t="s">
        <v>453</v>
      </c>
      <c r="G687" s="10" t="s">
        <v>1840</v>
      </c>
      <c r="H687" s="48" t="s">
        <v>49</v>
      </c>
      <c r="I687" s="10" t="s">
        <v>1841</v>
      </c>
      <c r="J687" s="34"/>
      <c r="K687" s="34"/>
    </row>
    <row r="688" spans="1:11" ht="18" customHeight="1" x14ac:dyDescent="0.4">
      <c r="A688" s="9">
        <f t="shared" si="22"/>
        <v>687</v>
      </c>
      <c r="B688" s="30" t="s">
        <v>1928</v>
      </c>
      <c r="C688" s="30"/>
      <c r="D688" s="31" t="s">
        <v>821</v>
      </c>
      <c r="E688" s="30" t="s">
        <v>339</v>
      </c>
      <c r="F688" s="30" t="s">
        <v>1938</v>
      </c>
      <c r="G688" s="30" t="s">
        <v>431</v>
      </c>
      <c r="H688" s="46" t="s">
        <v>15</v>
      </c>
      <c r="I688" s="30" t="s">
        <v>1939</v>
      </c>
      <c r="J688" s="34" t="s">
        <v>2158</v>
      </c>
      <c r="K688" s="34">
        <v>45</v>
      </c>
    </row>
    <row r="689" spans="1:11" ht="18" customHeight="1" x14ac:dyDescent="0.4">
      <c r="A689" s="9">
        <f t="shared" si="22"/>
        <v>688</v>
      </c>
      <c r="B689" s="22" t="s">
        <v>1051</v>
      </c>
      <c r="C689" s="22" t="s">
        <v>1116</v>
      </c>
      <c r="D689" s="15" t="s">
        <v>821</v>
      </c>
      <c r="E689" s="22" t="s">
        <v>670</v>
      </c>
      <c r="F689" s="22" t="s">
        <v>1155</v>
      </c>
      <c r="G689" s="22" t="s">
        <v>1156</v>
      </c>
      <c r="H689" s="46" t="s">
        <v>15</v>
      </c>
      <c r="I689" s="22" t="s">
        <v>1157</v>
      </c>
      <c r="J689" s="34" t="s">
        <v>2158</v>
      </c>
      <c r="K689" s="34">
        <v>46</v>
      </c>
    </row>
    <row r="690" spans="1:11" ht="18" customHeight="1" x14ac:dyDescent="0.4">
      <c r="A690" s="6">
        <f t="shared" si="22"/>
        <v>689</v>
      </c>
      <c r="B690" s="14" t="s">
        <v>1051</v>
      </c>
      <c r="C690" s="14" t="s">
        <v>1146</v>
      </c>
      <c r="D690" s="15" t="s">
        <v>821</v>
      </c>
      <c r="E690" s="14" t="s">
        <v>1152</v>
      </c>
      <c r="F690" s="14" t="s">
        <v>1153</v>
      </c>
      <c r="G690" s="14" t="s">
        <v>883</v>
      </c>
      <c r="H690" s="46" t="s">
        <v>15</v>
      </c>
      <c r="I690" s="14" t="s">
        <v>1154</v>
      </c>
      <c r="J690" s="34" t="s">
        <v>2158</v>
      </c>
      <c r="K690" s="34">
        <v>47</v>
      </c>
    </row>
    <row r="691" spans="1:11" ht="18" customHeight="1" x14ac:dyDescent="0.4">
      <c r="A691" s="9">
        <f t="shared" si="22"/>
        <v>690</v>
      </c>
      <c r="B691" s="22" t="s">
        <v>1051</v>
      </c>
      <c r="C691" s="22" t="s">
        <v>532</v>
      </c>
      <c r="D691" s="15" t="s">
        <v>821</v>
      </c>
      <c r="E691" s="22" t="s">
        <v>2141</v>
      </c>
      <c r="F691" s="22" t="s">
        <v>1144</v>
      </c>
      <c r="G691" s="22" t="s">
        <v>551</v>
      </c>
      <c r="H691" s="47" t="s">
        <v>15</v>
      </c>
      <c r="I691" s="22" t="s">
        <v>1145</v>
      </c>
      <c r="J691" s="34" t="s">
        <v>2158</v>
      </c>
      <c r="K691" s="34">
        <v>48</v>
      </c>
    </row>
    <row r="692" spans="1:11" ht="18" customHeight="1" x14ac:dyDescent="0.4">
      <c r="A692" s="6">
        <f t="shared" si="22"/>
        <v>691</v>
      </c>
      <c r="B692" s="14" t="s">
        <v>1051</v>
      </c>
      <c r="C692" s="14" t="s">
        <v>1124</v>
      </c>
      <c r="D692" s="15" t="s">
        <v>821</v>
      </c>
      <c r="E692" s="14" t="s">
        <v>1125</v>
      </c>
      <c r="F692" s="14" t="s">
        <v>1126</v>
      </c>
      <c r="G692" s="14" t="s">
        <v>1127</v>
      </c>
      <c r="H692" s="47" t="s">
        <v>15</v>
      </c>
      <c r="I692" s="14" t="s">
        <v>1128</v>
      </c>
      <c r="J692" s="34" t="s">
        <v>2158</v>
      </c>
      <c r="K692" s="34">
        <v>49</v>
      </c>
    </row>
    <row r="693" spans="1:11" ht="18" customHeight="1" x14ac:dyDescent="0.4">
      <c r="A693" s="9">
        <f t="shared" si="22"/>
        <v>692</v>
      </c>
      <c r="B693" s="10" t="s">
        <v>1767</v>
      </c>
      <c r="C693" s="10"/>
      <c r="D693" s="11" t="s">
        <v>821</v>
      </c>
      <c r="E693" s="10" t="s">
        <v>51</v>
      </c>
      <c r="F693" s="10" t="s">
        <v>173</v>
      </c>
      <c r="G693" s="10" t="s">
        <v>385</v>
      </c>
      <c r="H693" s="46" t="s">
        <v>15</v>
      </c>
      <c r="I693" s="10" t="s">
        <v>1853</v>
      </c>
      <c r="J693" s="34"/>
      <c r="K693" s="34"/>
    </row>
    <row r="694" spans="1:11" ht="18" customHeight="1" x14ac:dyDescent="0.4">
      <c r="A694" s="6">
        <f t="shared" si="22"/>
        <v>693</v>
      </c>
      <c r="B694" s="14" t="s">
        <v>1051</v>
      </c>
      <c r="C694" s="14" t="s">
        <v>1116</v>
      </c>
      <c r="D694" s="15" t="s">
        <v>821</v>
      </c>
      <c r="E694" s="14" t="s">
        <v>1060</v>
      </c>
      <c r="F694" s="14" t="s">
        <v>1117</v>
      </c>
      <c r="G694" s="14" t="s">
        <v>1118</v>
      </c>
      <c r="H694" s="46" t="s">
        <v>15</v>
      </c>
      <c r="I694" s="14" t="s">
        <v>1119</v>
      </c>
      <c r="J694" s="34" t="s">
        <v>2158</v>
      </c>
      <c r="K694" s="34">
        <v>50</v>
      </c>
    </row>
    <row r="695" spans="1:11" ht="18" customHeight="1" x14ac:dyDescent="0.4">
      <c r="A695" s="9">
        <f t="shared" si="22"/>
        <v>694</v>
      </c>
      <c r="B695" s="30" t="s">
        <v>1675</v>
      </c>
      <c r="C695" s="30"/>
      <c r="D695" s="15" t="s">
        <v>821</v>
      </c>
      <c r="E695" s="30" t="s">
        <v>1713</v>
      </c>
      <c r="F695" s="30" t="s">
        <v>1714</v>
      </c>
      <c r="G695" s="30" t="s">
        <v>1715</v>
      </c>
      <c r="H695" s="46" t="s">
        <v>15</v>
      </c>
      <c r="I695" s="30" t="s">
        <v>1716</v>
      </c>
      <c r="J695" s="34" t="s">
        <v>2161</v>
      </c>
      <c r="K695" s="34">
        <v>34</v>
      </c>
    </row>
    <row r="696" spans="1:11" ht="18" customHeight="1" x14ac:dyDescent="0.4">
      <c r="A696" s="6">
        <f t="shared" si="22"/>
        <v>695</v>
      </c>
      <c r="B696" s="30" t="s">
        <v>1767</v>
      </c>
      <c r="C696" s="30" t="s">
        <v>936</v>
      </c>
      <c r="D696" s="15" t="s">
        <v>2173</v>
      </c>
      <c r="E696" s="30" t="s">
        <v>171</v>
      </c>
      <c r="F696" s="30" t="s">
        <v>474</v>
      </c>
      <c r="G696" s="30" t="s">
        <v>343</v>
      </c>
      <c r="H696" s="46" t="s">
        <v>15</v>
      </c>
      <c r="I696" s="30" t="s">
        <v>1859</v>
      </c>
      <c r="J696" s="34"/>
      <c r="K696" s="34"/>
    </row>
    <row r="697" spans="1:11" ht="18" customHeight="1" x14ac:dyDescent="0.4">
      <c r="A697" s="6">
        <f t="shared" si="22"/>
        <v>696</v>
      </c>
      <c r="B697" s="14" t="s">
        <v>1675</v>
      </c>
      <c r="C697" s="10"/>
      <c r="D697" s="15" t="s">
        <v>821</v>
      </c>
      <c r="E697" s="10" t="s">
        <v>1704</v>
      </c>
      <c r="F697" s="10" t="s">
        <v>1705</v>
      </c>
      <c r="G697" s="10" t="s">
        <v>1706</v>
      </c>
      <c r="H697" s="46" t="s">
        <v>15</v>
      </c>
      <c r="I697" s="10" t="s">
        <v>1707</v>
      </c>
      <c r="J697" s="34" t="s">
        <v>2161</v>
      </c>
      <c r="K697" s="34">
        <v>35</v>
      </c>
    </row>
    <row r="698" spans="1:11" ht="18" customHeight="1" x14ac:dyDescent="0.4">
      <c r="A698" s="9">
        <f t="shared" si="22"/>
        <v>697</v>
      </c>
      <c r="B698" s="30" t="s">
        <v>1675</v>
      </c>
      <c r="C698" s="30"/>
      <c r="D698" s="15" t="s">
        <v>821</v>
      </c>
      <c r="E698" s="30" t="s">
        <v>1721</v>
      </c>
      <c r="F698" s="30" t="s">
        <v>1722</v>
      </c>
      <c r="G698" s="30" t="s">
        <v>1723</v>
      </c>
      <c r="H698" s="46" t="s">
        <v>15</v>
      </c>
      <c r="I698" s="30" t="s">
        <v>1724</v>
      </c>
      <c r="J698" s="34" t="s">
        <v>2161</v>
      </c>
      <c r="K698" s="34">
        <v>36</v>
      </c>
    </row>
    <row r="699" spans="1:11" ht="18" customHeight="1" x14ac:dyDescent="0.4">
      <c r="A699" s="6">
        <f t="shared" ref="A699:A730" si="23">IF(COUNTA(B699:I699)=0,"",ROW()-1)</f>
        <v>698</v>
      </c>
      <c r="B699" s="14" t="s">
        <v>1675</v>
      </c>
      <c r="C699" s="10"/>
      <c r="D699" s="15" t="s">
        <v>821</v>
      </c>
      <c r="E699" s="10" t="s">
        <v>1725</v>
      </c>
      <c r="F699" s="10" t="s">
        <v>1726</v>
      </c>
      <c r="G699" s="10" t="s">
        <v>1727</v>
      </c>
      <c r="H699" s="46" t="s">
        <v>15</v>
      </c>
      <c r="I699" s="10" t="s">
        <v>1728</v>
      </c>
      <c r="J699" s="34" t="s">
        <v>2161</v>
      </c>
      <c r="K699" s="34">
        <v>37</v>
      </c>
    </row>
    <row r="700" spans="1:11" ht="18" customHeight="1" x14ac:dyDescent="0.4">
      <c r="A700" s="9">
        <f t="shared" si="23"/>
        <v>699</v>
      </c>
      <c r="B700" s="30" t="s">
        <v>1675</v>
      </c>
      <c r="C700" s="30" t="s">
        <v>2180</v>
      </c>
      <c r="D700" s="15" t="s">
        <v>821</v>
      </c>
      <c r="E700" s="30" t="s">
        <v>62</v>
      </c>
      <c r="F700" s="30" t="s">
        <v>343</v>
      </c>
      <c r="G700" s="30"/>
      <c r="H700" s="46" t="s">
        <v>15</v>
      </c>
      <c r="I700" s="30" t="s">
        <v>1729</v>
      </c>
      <c r="J700" s="34" t="s">
        <v>2161</v>
      </c>
      <c r="K700" s="34">
        <v>38</v>
      </c>
    </row>
    <row r="701" spans="1:11" ht="18" customHeight="1" x14ac:dyDescent="0.4">
      <c r="A701" s="6">
        <f t="shared" si="23"/>
        <v>700</v>
      </c>
      <c r="B701" s="14" t="s">
        <v>1675</v>
      </c>
      <c r="C701" s="10" t="s">
        <v>2179</v>
      </c>
      <c r="D701" s="15" t="s">
        <v>821</v>
      </c>
      <c r="E701" s="10" t="s">
        <v>1730</v>
      </c>
      <c r="F701" s="10" t="s">
        <v>1731</v>
      </c>
      <c r="G701" s="10" t="s">
        <v>96</v>
      </c>
      <c r="H701" s="46" t="s">
        <v>15</v>
      </c>
      <c r="I701" s="10" t="s">
        <v>1732</v>
      </c>
      <c r="J701" s="34" t="s">
        <v>2161</v>
      </c>
      <c r="K701" s="34">
        <v>39</v>
      </c>
    </row>
    <row r="702" spans="1:11" ht="18" customHeight="1" x14ac:dyDescent="0.4">
      <c r="A702" s="6">
        <f t="shared" si="23"/>
        <v>701</v>
      </c>
      <c r="B702" s="30" t="s">
        <v>1767</v>
      </c>
      <c r="C702" s="30"/>
      <c r="D702" s="31" t="s">
        <v>821</v>
      </c>
      <c r="E702" s="30" t="s">
        <v>571</v>
      </c>
      <c r="F702" s="30" t="s">
        <v>1862</v>
      </c>
      <c r="G702" s="30" t="s">
        <v>680</v>
      </c>
      <c r="H702" s="46" t="s">
        <v>15</v>
      </c>
      <c r="I702" s="30" t="s">
        <v>1863</v>
      </c>
      <c r="J702" s="34" t="s">
        <v>2161</v>
      </c>
      <c r="K702" s="34">
        <v>40</v>
      </c>
    </row>
    <row r="703" spans="1:11" ht="18" customHeight="1" x14ac:dyDescent="0.4">
      <c r="A703" s="6">
        <f t="shared" si="23"/>
        <v>702</v>
      </c>
      <c r="B703" s="30" t="s">
        <v>1767</v>
      </c>
      <c r="C703" s="30"/>
      <c r="D703" s="31" t="s">
        <v>821</v>
      </c>
      <c r="E703" s="30" t="s">
        <v>90</v>
      </c>
      <c r="F703" s="30" t="s">
        <v>72</v>
      </c>
      <c r="G703" s="30" t="s">
        <v>61</v>
      </c>
      <c r="H703" s="46" t="s">
        <v>15</v>
      </c>
      <c r="I703" s="30" t="s">
        <v>1871</v>
      </c>
      <c r="J703" s="34" t="s">
        <v>2161</v>
      </c>
      <c r="K703" s="34">
        <v>41</v>
      </c>
    </row>
    <row r="704" spans="1:11" ht="18" customHeight="1" x14ac:dyDescent="0.4">
      <c r="A704" s="6">
        <f t="shared" si="23"/>
        <v>703</v>
      </c>
      <c r="B704" s="14" t="s">
        <v>1051</v>
      </c>
      <c r="C704" s="14" t="s">
        <v>1146</v>
      </c>
      <c r="D704" s="11" t="s">
        <v>821</v>
      </c>
      <c r="E704" s="14" t="s">
        <v>1147</v>
      </c>
      <c r="F704" s="14" t="s">
        <v>1148</v>
      </c>
      <c r="G704" s="14" t="s">
        <v>620</v>
      </c>
      <c r="H704" s="47" t="s">
        <v>15</v>
      </c>
      <c r="I704" s="14" t="s">
        <v>1149</v>
      </c>
      <c r="J704" s="34" t="s">
        <v>2158</v>
      </c>
      <c r="K704" s="34">
        <v>51</v>
      </c>
    </row>
    <row r="705" spans="1:11" ht="18" customHeight="1" x14ac:dyDescent="0.4">
      <c r="A705" s="6">
        <f t="shared" si="23"/>
        <v>704</v>
      </c>
      <c r="B705" s="14" t="s">
        <v>1051</v>
      </c>
      <c r="C705" s="14" t="s">
        <v>532</v>
      </c>
      <c r="D705" s="15" t="s">
        <v>821</v>
      </c>
      <c r="E705" s="14" t="s">
        <v>1158</v>
      </c>
      <c r="F705" s="14" t="s">
        <v>1159</v>
      </c>
      <c r="G705" s="14" t="s">
        <v>1160</v>
      </c>
      <c r="H705" s="46" t="s">
        <v>15</v>
      </c>
      <c r="I705" s="14" t="s">
        <v>1161</v>
      </c>
      <c r="J705" s="34" t="s">
        <v>2158</v>
      </c>
      <c r="K705" s="34">
        <v>52</v>
      </c>
    </row>
    <row r="706" spans="1:11" ht="18" customHeight="1" x14ac:dyDescent="0.4">
      <c r="A706" s="9">
        <f t="shared" si="23"/>
        <v>705</v>
      </c>
      <c r="B706" s="22" t="s">
        <v>1051</v>
      </c>
      <c r="C706" s="22" t="s">
        <v>532</v>
      </c>
      <c r="D706" s="15" t="s">
        <v>821</v>
      </c>
      <c r="E706" s="22" t="s">
        <v>1162</v>
      </c>
      <c r="F706" s="22" t="s">
        <v>1163</v>
      </c>
      <c r="G706" s="22" t="s">
        <v>1164</v>
      </c>
      <c r="H706" s="46" t="s">
        <v>15</v>
      </c>
      <c r="I706" s="22" t="s">
        <v>1165</v>
      </c>
      <c r="J706" s="34" t="s">
        <v>2158</v>
      </c>
      <c r="K706" s="34">
        <v>53</v>
      </c>
    </row>
    <row r="707" spans="1:11" ht="18" customHeight="1" x14ac:dyDescent="0.4">
      <c r="A707" s="6">
        <f t="shared" si="23"/>
        <v>706</v>
      </c>
      <c r="B707" s="14" t="s">
        <v>1051</v>
      </c>
      <c r="C707" s="14" t="s">
        <v>532</v>
      </c>
      <c r="D707" s="15" t="s">
        <v>821</v>
      </c>
      <c r="E707" s="14" t="s">
        <v>1166</v>
      </c>
      <c r="F707" s="14" t="s">
        <v>1167</v>
      </c>
      <c r="G707" s="14" t="s">
        <v>1168</v>
      </c>
      <c r="H707" s="46" t="s">
        <v>15</v>
      </c>
      <c r="I707" s="14" t="s">
        <v>1169</v>
      </c>
      <c r="J707" s="34" t="s">
        <v>2158</v>
      </c>
      <c r="K707" s="34">
        <v>54</v>
      </c>
    </row>
    <row r="708" spans="1:11" ht="18" customHeight="1" x14ac:dyDescent="0.4">
      <c r="A708" s="9">
        <f t="shared" si="23"/>
        <v>707</v>
      </c>
      <c r="B708" s="22" t="s">
        <v>1051</v>
      </c>
      <c r="C708" s="22" t="s">
        <v>936</v>
      </c>
      <c r="D708" s="15" t="s">
        <v>821</v>
      </c>
      <c r="E708" s="22" t="s">
        <v>1176</v>
      </c>
      <c r="F708" s="22" t="s">
        <v>1177</v>
      </c>
      <c r="G708" s="22" t="s">
        <v>342</v>
      </c>
      <c r="H708" s="49" t="s">
        <v>15</v>
      </c>
      <c r="I708" s="22" t="s">
        <v>1178</v>
      </c>
      <c r="J708" s="34" t="s">
        <v>2158</v>
      </c>
      <c r="K708" s="34">
        <v>55</v>
      </c>
    </row>
    <row r="709" spans="1:11" ht="18" customHeight="1" x14ac:dyDescent="0.4">
      <c r="A709" s="6">
        <f t="shared" si="23"/>
        <v>708</v>
      </c>
      <c r="B709" s="22" t="s">
        <v>1051</v>
      </c>
      <c r="C709" s="22" t="s">
        <v>1179</v>
      </c>
      <c r="D709" s="15" t="s">
        <v>821</v>
      </c>
      <c r="E709" s="22" t="s">
        <v>272</v>
      </c>
      <c r="F709" s="22" t="s">
        <v>1180</v>
      </c>
      <c r="G709" s="22" t="s">
        <v>60</v>
      </c>
      <c r="H709" s="46" t="s">
        <v>15</v>
      </c>
      <c r="I709" s="22" t="s">
        <v>1181</v>
      </c>
      <c r="J709" s="34" t="s">
        <v>2158</v>
      </c>
      <c r="K709" s="34">
        <v>56</v>
      </c>
    </row>
    <row r="710" spans="1:11" ht="18" customHeight="1" x14ac:dyDescent="0.4">
      <c r="A710" s="9">
        <f t="shared" si="23"/>
        <v>709</v>
      </c>
      <c r="B710" s="10" t="s">
        <v>1767</v>
      </c>
      <c r="C710" s="10"/>
      <c r="D710" s="11" t="s">
        <v>821</v>
      </c>
      <c r="E710" s="10" t="s">
        <v>1032</v>
      </c>
      <c r="F710" s="10" t="s">
        <v>702</v>
      </c>
      <c r="G710" s="10" t="s">
        <v>1849</v>
      </c>
      <c r="H710" s="46" t="s">
        <v>15</v>
      </c>
      <c r="I710" s="10" t="s">
        <v>1870</v>
      </c>
      <c r="J710" s="34" t="s">
        <v>2161</v>
      </c>
      <c r="K710" s="34">
        <v>42</v>
      </c>
    </row>
    <row r="711" spans="1:11" ht="18" customHeight="1" x14ac:dyDescent="0.4">
      <c r="A711" s="6">
        <f t="shared" si="23"/>
        <v>710</v>
      </c>
      <c r="B711" s="30" t="s">
        <v>1767</v>
      </c>
      <c r="C711" s="30"/>
      <c r="D711" s="31" t="s">
        <v>821</v>
      </c>
      <c r="E711" s="30" t="s">
        <v>878</v>
      </c>
      <c r="F711" s="30" t="s">
        <v>1868</v>
      </c>
      <c r="G711" s="30" t="s">
        <v>452</v>
      </c>
      <c r="H711" s="46" t="s">
        <v>15</v>
      </c>
      <c r="I711" s="30" t="s">
        <v>1869</v>
      </c>
      <c r="J711" s="34" t="s">
        <v>2161</v>
      </c>
      <c r="K711" s="34">
        <v>43</v>
      </c>
    </row>
    <row r="712" spans="1:11" ht="18" customHeight="1" x14ac:dyDescent="0.4">
      <c r="A712" s="6">
        <f t="shared" si="23"/>
        <v>711</v>
      </c>
      <c r="B712" s="30" t="s">
        <v>1767</v>
      </c>
      <c r="C712" s="30" t="s">
        <v>532</v>
      </c>
      <c r="D712" s="31" t="s">
        <v>821</v>
      </c>
      <c r="E712" s="30" t="s">
        <v>365</v>
      </c>
      <c r="F712" s="30" t="s">
        <v>120</v>
      </c>
      <c r="G712" s="30" t="s">
        <v>465</v>
      </c>
      <c r="H712" s="46" t="s">
        <v>15</v>
      </c>
      <c r="I712" s="30" t="s">
        <v>1772</v>
      </c>
      <c r="J712" s="34" t="s">
        <v>2158</v>
      </c>
      <c r="K712" s="34">
        <v>57</v>
      </c>
    </row>
    <row r="713" spans="1:11" ht="18" customHeight="1" x14ac:dyDescent="0.4">
      <c r="A713" s="9">
        <f t="shared" si="23"/>
        <v>712</v>
      </c>
      <c r="B713" s="10" t="s">
        <v>1767</v>
      </c>
      <c r="C713" s="10" t="s">
        <v>532</v>
      </c>
      <c r="D713" s="11" t="s">
        <v>821</v>
      </c>
      <c r="E713" s="10" t="s">
        <v>1080</v>
      </c>
      <c r="F713" s="10" t="s">
        <v>1786</v>
      </c>
      <c r="G713" s="10" t="s">
        <v>440</v>
      </c>
      <c r="H713" s="46" t="s">
        <v>15</v>
      </c>
      <c r="I713" s="10" t="s">
        <v>1787</v>
      </c>
      <c r="J713" s="34" t="s">
        <v>2158</v>
      </c>
      <c r="K713" s="34">
        <v>58</v>
      </c>
    </row>
    <row r="714" spans="1:11" ht="18" customHeight="1" x14ac:dyDescent="0.4">
      <c r="A714" s="9">
        <f t="shared" si="23"/>
        <v>713</v>
      </c>
      <c r="B714" s="30" t="s">
        <v>1767</v>
      </c>
      <c r="C714" s="30"/>
      <c r="D714" s="31" t="s">
        <v>821</v>
      </c>
      <c r="E714" s="30" t="s">
        <v>405</v>
      </c>
      <c r="F714" s="30" t="s">
        <v>1921</v>
      </c>
      <c r="G714" s="30"/>
      <c r="H714" s="46" t="s">
        <v>15</v>
      </c>
      <c r="I714" s="30" t="s">
        <v>1922</v>
      </c>
      <c r="J714" s="34" t="s">
        <v>2161</v>
      </c>
      <c r="K714" s="34">
        <v>44</v>
      </c>
    </row>
    <row r="715" spans="1:11" ht="18" customHeight="1" x14ac:dyDescent="0.4">
      <c r="A715" s="6">
        <f t="shared" si="23"/>
        <v>714</v>
      </c>
      <c r="B715" s="30" t="s">
        <v>1767</v>
      </c>
      <c r="C715" s="30"/>
      <c r="D715" s="31" t="s">
        <v>821</v>
      </c>
      <c r="E715" s="30" t="s">
        <v>1793</v>
      </c>
      <c r="F715" s="30" t="s">
        <v>636</v>
      </c>
      <c r="G715" s="30" t="s">
        <v>1794</v>
      </c>
      <c r="H715" s="46" t="s">
        <v>15</v>
      </c>
      <c r="I715" s="30" t="s">
        <v>1795</v>
      </c>
      <c r="J715" s="34" t="s">
        <v>2158</v>
      </c>
      <c r="K715" s="34">
        <v>59</v>
      </c>
    </row>
    <row r="716" spans="1:11" ht="18" customHeight="1" x14ac:dyDescent="0.4">
      <c r="A716" s="6">
        <f t="shared" si="23"/>
        <v>715</v>
      </c>
      <c r="B716" s="10" t="s">
        <v>1767</v>
      </c>
      <c r="C716" s="10"/>
      <c r="D716" s="11" t="s">
        <v>821</v>
      </c>
      <c r="E716" s="10" t="s">
        <v>80</v>
      </c>
      <c r="F716" s="10" t="s">
        <v>68</v>
      </c>
      <c r="G716" s="10"/>
      <c r="H716" s="46" t="s">
        <v>15</v>
      </c>
      <c r="I716" s="10" t="s">
        <v>1923</v>
      </c>
      <c r="J716" s="34" t="s">
        <v>2161</v>
      </c>
      <c r="K716" s="34">
        <v>45</v>
      </c>
    </row>
    <row r="717" spans="1:11" ht="18" customHeight="1" x14ac:dyDescent="0.4">
      <c r="A717" s="6">
        <f t="shared" si="23"/>
        <v>716</v>
      </c>
      <c r="B717" s="10" t="s">
        <v>1767</v>
      </c>
      <c r="C717" s="10"/>
      <c r="D717" s="11" t="s">
        <v>821</v>
      </c>
      <c r="E717" s="10" t="s">
        <v>1032</v>
      </c>
      <c r="F717" s="10" t="s">
        <v>657</v>
      </c>
      <c r="G717" s="10" t="s">
        <v>1444</v>
      </c>
      <c r="H717" s="46" t="s">
        <v>15</v>
      </c>
      <c r="I717" s="10" t="s">
        <v>1927</v>
      </c>
      <c r="J717" s="34" t="s">
        <v>2161</v>
      </c>
      <c r="K717" s="34">
        <v>46</v>
      </c>
    </row>
    <row r="718" spans="1:11" ht="18" customHeight="1" x14ac:dyDescent="0.4">
      <c r="A718" s="9">
        <f t="shared" si="23"/>
        <v>717</v>
      </c>
      <c r="B718" s="10" t="s">
        <v>1767</v>
      </c>
      <c r="C718" s="10"/>
      <c r="D718" s="11" t="s">
        <v>821</v>
      </c>
      <c r="E718" s="10" t="s">
        <v>1864</v>
      </c>
      <c r="F718" s="10" t="s">
        <v>1865</v>
      </c>
      <c r="G718" s="10" t="s">
        <v>1866</v>
      </c>
      <c r="H718" s="46" t="s">
        <v>15</v>
      </c>
      <c r="I718" s="10" t="s">
        <v>1867</v>
      </c>
      <c r="J718" s="34" t="s">
        <v>2161</v>
      </c>
      <c r="K718" s="34">
        <v>47</v>
      </c>
    </row>
    <row r="719" spans="1:11" ht="18" customHeight="1" x14ac:dyDescent="0.4">
      <c r="A719" s="9">
        <f t="shared" si="23"/>
        <v>718</v>
      </c>
      <c r="B719" s="30" t="s">
        <v>1767</v>
      </c>
      <c r="C719" s="30"/>
      <c r="D719" s="31" t="s">
        <v>821</v>
      </c>
      <c r="E719" s="30" t="s">
        <v>225</v>
      </c>
      <c r="F719" s="30" t="s">
        <v>1899</v>
      </c>
      <c r="G719" s="30"/>
      <c r="H719" s="46" t="s">
        <v>15</v>
      </c>
      <c r="I719" s="30" t="s">
        <v>1900</v>
      </c>
      <c r="J719" s="34" t="s">
        <v>2161</v>
      </c>
      <c r="K719" s="34">
        <v>48</v>
      </c>
    </row>
    <row r="720" spans="1:11" ht="18" customHeight="1" x14ac:dyDescent="0.4">
      <c r="A720" s="9">
        <f t="shared" si="23"/>
        <v>719</v>
      </c>
      <c r="B720" s="30" t="s">
        <v>1741</v>
      </c>
      <c r="C720" s="30"/>
      <c r="D720" s="31" t="s">
        <v>821</v>
      </c>
      <c r="E720" s="30" t="s">
        <v>324</v>
      </c>
      <c r="F720" s="30" t="s">
        <v>72</v>
      </c>
      <c r="G720" s="30" t="s">
        <v>173</v>
      </c>
      <c r="H720" s="46" t="s">
        <v>15</v>
      </c>
      <c r="I720" s="30" t="s">
        <v>1752</v>
      </c>
      <c r="J720" s="34" t="s">
        <v>2161</v>
      </c>
      <c r="K720" s="34">
        <v>49</v>
      </c>
    </row>
    <row r="721" spans="1:11" ht="18" customHeight="1" x14ac:dyDescent="0.4">
      <c r="A721" s="6">
        <f t="shared" si="23"/>
        <v>720</v>
      </c>
      <c r="B721" s="10" t="s">
        <v>1767</v>
      </c>
      <c r="C721" s="10"/>
      <c r="D721" s="11" t="s">
        <v>821</v>
      </c>
      <c r="E721" s="10" t="s">
        <v>46</v>
      </c>
      <c r="F721" s="10" t="s">
        <v>1883</v>
      </c>
      <c r="G721" s="10" t="s">
        <v>1920</v>
      </c>
      <c r="H721" s="46" t="s">
        <v>15</v>
      </c>
      <c r="I721" s="10" t="s">
        <v>842</v>
      </c>
      <c r="J721" s="34" t="s">
        <v>2161</v>
      </c>
      <c r="K721" s="34">
        <v>50</v>
      </c>
    </row>
    <row r="722" spans="1:11" ht="18" customHeight="1" x14ac:dyDescent="0.4">
      <c r="A722" s="9">
        <f t="shared" si="23"/>
        <v>721</v>
      </c>
      <c r="B722" s="30" t="s">
        <v>1767</v>
      </c>
      <c r="C722" s="30"/>
      <c r="D722" s="31" t="s">
        <v>821</v>
      </c>
      <c r="E722" s="30" t="s">
        <v>1803</v>
      </c>
      <c r="F722" s="30" t="s">
        <v>1919</v>
      </c>
      <c r="G722" s="30" t="s">
        <v>230</v>
      </c>
      <c r="H722" s="46" t="s">
        <v>15</v>
      </c>
      <c r="I722" s="30" t="s">
        <v>842</v>
      </c>
      <c r="J722" s="34" t="s">
        <v>2161</v>
      </c>
      <c r="K722" s="34">
        <v>51</v>
      </c>
    </row>
    <row r="723" spans="1:11" ht="18" hidden="1" customHeight="1" x14ac:dyDescent="0.4">
      <c r="A723" s="9">
        <f t="shared" si="23"/>
        <v>722</v>
      </c>
      <c r="B723" s="30" t="s">
        <v>1767</v>
      </c>
      <c r="C723" s="30"/>
      <c r="D723" s="31" t="s">
        <v>2229</v>
      </c>
      <c r="E723" s="30" t="s">
        <v>1910</v>
      </c>
      <c r="F723" s="30" t="s">
        <v>283</v>
      </c>
      <c r="G723" s="30" t="s">
        <v>68</v>
      </c>
      <c r="H723" s="48" t="s">
        <v>49</v>
      </c>
      <c r="I723" s="30" t="s">
        <v>1909</v>
      </c>
      <c r="J723" s="34"/>
      <c r="K723" s="34"/>
    </row>
    <row r="724" spans="1:11" ht="18" hidden="1" customHeight="1" x14ac:dyDescent="0.4">
      <c r="A724" s="6">
        <f t="shared" si="23"/>
        <v>723</v>
      </c>
      <c r="B724" s="10" t="s">
        <v>1767</v>
      </c>
      <c r="C724" s="10"/>
      <c r="D724" s="11" t="s">
        <v>2229</v>
      </c>
      <c r="E724" s="10" t="s">
        <v>1887</v>
      </c>
      <c r="F724" s="10" t="s">
        <v>1911</v>
      </c>
      <c r="G724" s="10"/>
      <c r="H724" s="47" t="s">
        <v>49</v>
      </c>
      <c r="I724" s="10" t="s">
        <v>1912</v>
      </c>
      <c r="J724" s="34"/>
      <c r="K724" s="34"/>
    </row>
    <row r="725" spans="1:11" ht="18" customHeight="1" x14ac:dyDescent="0.4">
      <c r="A725" s="6">
        <f t="shared" si="23"/>
        <v>724</v>
      </c>
      <c r="B725" s="10" t="s">
        <v>1767</v>
      </c>
      <c r="C725" s="10"/>
      <c r="D725" s="11" t="s">
        <v>821</v>
      </c>
      <c r="E725" s="10" t="s">
        <v>319</v>
      </c>
      <c r="F725" s="10" t="s">
        <v>657</v>
      </c>
      <c r="G725" s="10" t="s">
        <v>1444</v>
      </c>
      <c r="H725" s="46" t="s">
        <v>15</v>
      </c>
      <c r="I725" s="10" t="s">
        <v>1909</v>
      </c>
      <c r="J725" s="34" t="s">
        <v>2161</v>
      </c>
      <c r="K725" s="34">
        <v>52</v>
      </c>
    </row>
    <row r="726" spans="1:11" ht="18" customHeight="1" x14ac:dyDescent="0.4">
      <c r="A726" s="6">
        <f t="shared" si="23"/>
        <v>725</v>
      </c>
      <c r="B726" s="14" t="s">
        <v>1207</v>
      </c>
      <c r="C726" s="14" t="s">
        <v>578</v>
      </c>
      <c r="D726" s="15" t="s">
        <v>821</v>
      </c>
      <c r="E726" s="14" t="s">
        <v>896</v>
      </c>
      <c r="F726" s="14" t="s">
        <v>1264</v>
      </c>
      <c r="G726" s="14" t="s">
        <v>1264</v>
      </c>
      <c r="H726" s="46" t="s">
        <v>15</v>
      </c>
      <c r="I726" s="14" t="s">
        <v>1265</v>
      </c>
      <c r="J726" s="34" t="s">
        <v>2158</v>
      </c>
      <c r="K726" s="34">
        <v>60</v>
      </c>
    </row>
    <row r="727" spans="1:11" ht="18" customHeight="1" x14ac:dyDescent="0.4">
      <c r="A727" s="9">
        <f t="shared" si="23"/>
        <v>726</v>
      </c>
      <c r="B727" s="10" t="s">
        <v>1767</v>
      </c>
      <c r="C727" s="10" t="s">
        <v>532</v>
      </c>
      <c r="D727" s="11" t="s">
        <v>821</v>
      </c>
      <c r="E727" s="10" t="s">
        <v>218</v>
      </c>
      <c r="F727" s="10" t="s">
        <v>519</v>
      </c>
      <c r="G727" s="10" t="s">
        <v>1791</v>
      </c>
      <c r="H727" s="46" t="s">
        <v>15</v>
      </c>
      <c r="I727" s="10" t="s">
        <v>1792</v>
      </c>
      <c r="J727" s="34" t="s">
        <v>2161</v>
      </c>
      <c r="K727" s="34">
        <v>53</v>
      </c>
    </row>
    <row r="728" spans="1:11" ht="18" customHeight="1" x14ac:dyDescent="0.4">
      <c r="A728" s="9">
        <f t="shared" si="23"/>
        <v>727</v>
      </c>
      <c r="B728" s="30" t="s">
        <v>1767</v>
      </c>
      <c r="C728" s="30"/>
      <c r="D728" s="31" t="s">
        <v>821</v>
      </c>
      <c r="E728" s="30" t="s">
        <v>360</v>
      </c>
      <c r="F728" s="30" t="s">
        <v>1908</v>
      </c>
      <c r="G728" s="30"/>
      <c r="H728" s="46" t="s">
        <v>15</v>
      </c>
      <c r="I728" s="30" t="s">
        <v>1903</v>
      </c>
      <c r="J728" s="34" t="s">
        <v>2161</v>
      </c>
      <c r="K728" s="34">
        <v>54</v>
      </c>
    </row>
    <row r="729" spans="1:11" ht="18" customHeight="1" x14ac:dyDescent="0.4">
      <c r="A729" s="6">
        <f t="shared" si="23"/>
        <v>728</v>
      </c>
      <c r="B729" s="10" t="s">
        <v>1767</v>
      </c>
      <c r="C729" s="10"/>
      <c r="D729" s="11" t="s">
        <v>821</v>
      </c>
      <c r="E729" s="10" t="s">
        <v>1906</v>
      </c>
      <c r="F729" s="10" t="s">
        <v>1907</v>
      </c>
      <c r="G729" s="10"/>
      <c r="H729" s="46" t="s">
        <v>15</v>
      </c>
      <c r="I729" s="10" t="s">
        <v>1903</v>
      </c>
      <c r="J729" s="34" t="s">
        <v>2161</v>
      </c>
      <c r="K729" s="34">
        <v>55</v>
      </c>
    </row>
    <row r="730" spans="1:11" ht="18" customHeight="1" x14ac:dyDescent="0.4">
      <c r="A730" s="9">
        <f t="shared" si="23"/>
        <v>729</v>
      </c>
      <c r="B730" s="30" t="s">
        <v>1767</v>
      </c>
      <c r="C730" s="30"/>
      <c r="D730" s="31" t="s">
        <v>821</v>
      </c>
      <c r="E730" s="30" t="s">
        <v>1904</v>
      </c>
      <c r="F730" s="30" t="s">
        <v>1905</v>
      </c>
      <c r="G730" s="30"/>
      <c r="H730" s="46" t="s">
        <v>15</v>
      </c>
      <c r="I730" s="30" t="s">
        <v>1903</v>
      </c>
      <c r="J730" s="34" t="s">
        <v>2161</v>
      </c>
      <c r="K730" s="34">
        <v>56</v>
      </c>
    </row>
    <row r="731" spans="1:11" ht="18" customHeight="1" x14ac:dyDescent="0.4">
      <c r="A731" s="6">
        <f t="shared" ref="A731:A762" si="24">IF(COUNTA(B731:I731)=0,"",ROW()-1)</f>
        <v>730</v>
      </c>
      <c r="B731" s="10" t="s">
        <v>1928</v>
      </c>
      <c r="C731" s="10" t="s">
        <v>65</v>
      </c>
      <c r="D731" s="15" t="s">
        <v>821</v>
      </c>
      <c r="E731" s="10" t="s">
        <v>324</v>
      </c>
      <c r="F731" s="10" t="s">
        <v>1929</v>
      </c>
      <c r="G731" s="10"/>
      <c r="H731" s="46" t="s">
        <v>15</v>
      </c>
      <c r="I731" s="10" t="s">
        <v>1930</v>
      </c>
      <c r="J731" s="34" t="s">
        <v>2158</v>
      </c>
      <c r="K731" s="34">
        <v>61</v>
      </c>
    </row>
    <row r="732" spans="1:11" ht="18" customHeight="1" x14ac:dyDescent="0.4">
      <c r="A732" s="9">
        <f t="shared" si="24"/>
        <v>731</v>
      </c>
      <c r="B732" s="10" t="s">
        <v>1767</v>
      </c>
      <c r="C732" s="10"/>
      <c r="D732" s="11" t="s">
        <v>821</v>
      </c>
      <c r="E732" s="10" t="s">
        <v>1684</v>
      </c>
      <c r="F732" s="10" t="s">
        <v>1860</v>
      </c>
      <c r="G732" s="10" t="s">
        <v>239</v>
      </c>
      <c r="H732" s="46" t="s">
        <v>15</v>
      </c>
      <c r="I732" s="10" t="s">
        <v>1861</v>
      </c>
      <c r="J732" s="34"/>
      <c r="K732" s="34"/>
    </row>
    <row r="733" spans="1:11" ht="18" customHeight="1" x14ac:dyDescent="0.4">
      <c r="A733" s="6">
        <f t="shared" si="24"/>
        <v>732</v>
      </c>
      <c r="B733" s="14" t="s">
        <v>1207</v>
      </c>
      <c r="C733" s="14" t="s">
        <v>961</v>
      </c>
      <c r="D733" s="15" t="s">
        <v>821</v>
      </c>
      <c r="E733" s="14" t="s">
        <v>109</v>
      </c>
      <c r="F733" s="14" t="s">
        <v>1333</v>
      </c>
      <c r="G733" s="14" t="s">
        <v>537</v>
      </c>
      <c r="H733" s="46" t="s">
        <v>15</v>
      </c>
      <c r="I733" s="26" t="s">
        <v>1334</v>
      </c>
      <c r="J733" s="34" t="s">
        <v>2161</v>
      </c>
      <c r="K733" s="34">
        <v>57</v>
      </c>
    </row>
    <row r="734" spans="1:11" ht="18" customHeight="1" x14ac:dyDescent="0.4">
      <c r="A734" s="9">
        <f t="shared" si="24"/>
        <v>733</v>
      </c>
      <c r="B734" s="10" t="s">
        <v>1767</v>
      </c>
      <c r="C734" s="10"/>
      <c r="D734" s="15" t="s">
        <v>821</v>
      </c>
      <c r="E734" s="10" t="s">
        <v>347</v>
      </c>
      <c r="F734" s="10" t="s">
        <v>956</v>
      </c>
      <c r="G734" s="10" t="s">
        <v>1809</v>
      </c>
      <c r="H734" s="46" t="s">
        <v>15</v>
      </c>
      <c r="I734" s="10" t="s">
        <v>1810</v>
      </c>
      <c r="J734" s="34" t="s">
        <v>2158</v>
      </c>
      <c r="K734" s="34">
        <v>62</v>
      </c>
    </row>
    <row r="735" spans="1:11" ht="18" customHeight="1" x14ac:dyDescent="0.4">
      <c r="A735" s="9">
        <f t="shared" si="24"/>
        <v>734</v>
      </c>
      <c r="B735" s="30" t="s">
        <v>1928</v>
      </c>
      <c r="C735" s="30" t="s">
        <v>65</v>
      </c>
      <c r="D735" s="15" t="s">
        <v>821</v>
      </c>
      <c r="E735" s="30" t="s">
        <v>319</v>
      </c>
      <c r="F735" s="30" t="s">
        <v>1801</v>
      </c>
      <c r="G735" s="30"/>
      <c r="H735" s="46" t="s">
        <v>15</v>
      </c>
      <c r="I735" s="30" t="s">
        <v>1931</v>
      </c>
      <c r="J735" s="34" t="s">
        <v>2158</v>
      </c>
      <c r="K735" s="34">
        <v>63</v>
      </c>
    </row>
    <row r="736" spans="1:11" ht="18" customHeight="1" x14ac:dyDescent="0.4">
      <c r="A736" s="9">
        <f t="shared" si="24"/>
        <v>735</v>
      </c>
      <c r="B736" s="30" t="s">
        <v>1928</v>
      </c>
      <c r="C736" s="30" t="s">
        <v>961</v>
      </c>
      <c r="D736" s="31" t="s">
        <v>821</v>
      </c>
      <c r="E736" s="30" t="s">
        <v>80</v>
      </c>
      <c r="F736" s="30" t="s">
        <v>1681</v>
      </c>
      <c r="G736" s="30"/>
      <c r="H736" s="46" t="s">
        <v>15</v>
      </c>
      <c r="I736" s="30"/>
      <c r="J736" s="34" t="s">
        <v>2161</v>
      </c>
      <c r="K736" s="34">
        <v>58</v>
      </c>
    </row>
    <row r="737" spans="1:11" ht="18" customHeight="1" x14ac:dyDescent="0.4">
      <c r="A737" s="9">
        <f t="shared" si="24"/>
        <v>736</v>
      </c>
      <c r="B737" s="30" t="s">
        <v>1767</v>
      </c>
      <c r="C737" s="30" t="s">
        <v>961</v>
      </c>
      <c r="D737" s="31" t="s">
        <v>821</v>
      </c>
      <c r="E737" s="30" t="s">
        <v>1924</v>
      </c>
      <c r="F737" s="30" t="s">
        <v>1925</v>
      </c>
      <c r="G737" s="30"/>
      <c r="H737" s="46" t="s">
        <v>15</v>
      </c>
      <c r="I737" s="30" t="s">
        <v>1926</v>
      </c>
      <c r="J737" s="34" t="s">
        <v>2161</v>
      </c>
      <c r="K737" s="34">
        <v>59</v>
      </c>
    </row>
    <row r="738" spans="1:11" ht="18" customHeight="1" x14ac:dyDescent="0.4">
      <c r="A738" s="6">
        <f t="shared" si="24"/>
        <v>737</v>
      </c>
      <c r="B738" s="10" t="s">
        <v>1767</v>
      </c>
      <c r="C738" s="10"/>
      <c r="D738" s="11" t="s">
        <v>821</v>
      </c>
      <c r="E738" s="10" t="s">
        <v>357</v>
      </c>
      <c r="F738" s="10" t="s">
        <v>1901</v>
      </c>
      <c r="G738" s="10" t="s">
        <v>1902</v>
      </c>
      <c r="H738" s="46" t="s">
        <v>15</v>
      </c>
      <c r="I738" s="10" t="s">
        <v>1903</v>
      </c>
      <c r="J738" s="34" t="s">
        <v>2161</v>
      </c>
      <c r="K738" s="34">
        <v>60</v>
      </c>
    </row>
    <row r="739" spans="1:11" ht="18" customHeight="1" x14ac:dyDescent="0.4">
      <c r="A739" s="6">
        <f t="shared" si="24"/>
        <v>738</v>
      </c>
      <c r="B739" s="26" t="s">
        <v>1207</v>
      </c>
      <c r="C739" s="26"/>
      <c r="D739" s="15" t="s">
        <v>821</v>
      </c>
      <c r="E739" s="26" t="s">
        <v>1474</v>
      </c>
      <c r="F739" s="26" t="s">
        <v>39</v>
      </c>
      <c r="G739" s="26" t="s">
        <v>364</v>
      </c>
      <c r="H739" s="46" t="s">
        <v>15</v>
      </c>
      <c r="I739" s="26" t="s">
        <v>1475</v>
      </c>
      <c r="J739" s="34" t="s">
        <v>2158</v>
      </c>
      <c r="K739" s="34">
        <v>64</v>
      </c>
    </row>
    <row r="740" spans="1:11" ht="19.75" customHeight="1" x14ac:dyDescent="0.4">
      <c r="A740" s="6">
        <f t="shared" si="24"/>
        <v>739</v>
      </c>
      <c r="B740" s="26" t="s">
        <v>1207</v>
      </c>
      <c r="C740" s="26"/>
      <c r="D740" s="15" t="s">
        <v>821</v>
      </c>
      <c r="E740" s="26" t="s">
        <v>1189</v>
      </c>
      <c r="F740" s="26" t="s">
        <v>1458</v>
      </c>
      <c r="G740" s="26" t="s">
        <v>1459</v>
      </c>
      <c r="H740" s="46" t="s">
        <v>15</v>
      </c>
      <c r="I740" s="26" t="s">
        <v>1460</v>
      </c>
      <c r="J740" s="34" t="s">
        <v>2161</v>
      </c>
      <c r="K740" s="34">
        <v>61</v>
      </c>
    </row>
    <row r="741" spans="1:11" ht="18" customHeight="1" x14ac:dyDescent="0.4">
      <c r="A741" s="58">
        <f t="shared" si="24"/>
        <v>740</v>
      </c>
      <c r="B741" s="63" t="s">
        <v>1207</v>
      </c>
      <c r="C741" s="63"/>
      <c r="D741" s="59" t="s">
        <v>821</v>
      </c>
      <c r="E741" s="63" t="s">
        <v>1472</v>
      </c>
      <c r="F741" s="63" t="s">
        <v>790</v>
      </c>
      <c r="G741" s="63" t="s">
        <v>658</v>
      </c>
      <c r="H741" s="62" t="s">
        <v>15</v>
      </c>
      <c r="I741" s="26" t="s">
        <v>1473</v>
      </c>
      <c r="J741" s="34" t="s">
        <v>2161</v>
      </c>
      <c r="K741" s="34">
        <v>62</v>
      </c>
    </row>
    <row r="742" spans="1:11" ht="18" customHeight="1" x14ac:dyDescent="0.4">
      <c r="A742" s="34">
        <f t="shared" si="24"/>
        <v>741</v>
      </c>
      <c r="B742" s="34"/>
      <c r="C742" s="34"/>
      <c r="D742" s="34" t="s">
        <v>17</v>
      </c>
      <c r="E742" s="34"/>
      <c r="F742" s="34"/>
      <c r="G742" s="34"/>
      <c r="H742" s="35" t="s">
        <v>15</v>
      </c>
      <c r="I742" s="57" t="s">
        <v>2220</v>
      </c>
      <c r="J742" s="34" t="s">
        <v>2156</v>
      </c>
      <c r="K742" s="34">
        <v>34</v>
      </c>
    </row>
    <row r="743" spans="1:11" ht="18" customHeight="1" x14ac:dyDescent="0.4">
      <c r="A743" s="34">
        <f t="shared" si="24"/>
        <v>742</v>
      </c>
      <c r="B743" s="34"/>
      <c r="C743" s="34"/>
      <c r="D743" s="34" t="s">
        <v>17</v>
      </c>
      <c r="E743" s="57" t="s">
        <v>2222</v>
      </c>
      <c r="F743" s="57" t="s">
        <v>2223</v>
      </c>
      <c r="G743" s="34"/>
      <c r="H743" s="35" t="s">
        <v>15</v>
      </c>
      <c r="I743" s="57" t="s">
        <v>2221</v>
      </c>
      <c r="J743" s="34" t="s">
        <v>2158</v>
      </c>
      <c r="K743" s="34">
        <v>1</v>
      </c>
    </row>
    <row r="744" spans="1:11" ht="18" customHeight="1" x14ac:dyDescent="0.4">
      <c r="A744" s="34">
        <f t="shared" si="24"/>
        <v>743</v>
      </c>
      <c r="B744" s="34"/>
      <c r="C744" s="34"/>
      <c r="D744" s="34" t="s">
        <v>17</v>
      </c>
      <c r="E744" s="57" t="s">
        <v>171</v>
      </c>
      <c r="F744" s="57" t="s">
        <v>702</v>
      </c>
      <c r="G744" s="34"/>
      <c r="H744" s="35" t="s">
        <v>15</v>
      </c>
      <c r="I744" s="57" t="s">
        <v>2226</v>
      </c>
      <c r="J744" s="34" t="s">
        <v>2156</v>
      </c>
      <c r="K744" s="34">
        <v>25</v>
      </c>
    </row>
    <row r="745" spans="1:11" ht="18" customHeight="1" x14ac:dyDescent="0.4">
      <c r="A745" s="34">
        <f t="shared" si="24"/>
        <v>744</v>
      </c>
      <c r="B745" s="64" t="s">
        <v>2230</v>
      </c>
      <c r="C745" s="64" t="s">
        <v>2231</v>
      </c>
      <c r="D745" s="65" t="s">
        <v>1767</v>
      </c>
      <c r="E745" s="64" t="s">
        <v>2236</v>
      </c>
      <c r="F745" s="64" t="s">
        <v>2237</v>
      </c>
      <c r="G745" s="64" t="s">
        <v>2238</v>
      </c>
      <c r="H745" s="35" t="s">
        <v>15</v>
      </c>
      <c r="I745" s="66" t="s">
        <v>2239</v>
      </c>
      <c r="J745" s="34" t="s">
        <v>2155</v>
      </c>
      <c r="K745" s="34">
        <v>4</v>
      </c>
    </row>
    <row r="746" spans="1:11" ht="18" customHeight="1" x14ac:dyDescent="0.4">
      <c r="A746" s="34">
        <f t="shared" si="24"/>
        <v>745</v>
      </c>
      <c r="B746" s="66" t="s">
        <v>2230</v>
      </c>
      <c r="C746" s="66" t="s">
        <v>2231</v>
      </c>
      <c r="D746" s="67" t="s">
        <v>1767</v>
      </c>
      <c r="E746" s="66" t="s">
        <v>2240</v>
      </c>
      <c r="F746" s="66" t="s">
        <v>2241</v>
      </c>
      <c r="G746" s="64" t="s">
        <v>2242</v>
      </c>
      <c r="H746" s="35" t="s">
        <v>15</v>
      </c>
      <c r="I746" s="66" t="s">
        <v>2239</v>
      </c>
      <c r="J746" s="34" t="s">
        <v>2156</v>
      </c>
      <c r="K746" s="34">
        <v>4</v>
      </c>
    </row>
    <row r="747" spans="1:11" ht="18" customHeight="1" x14ac:dyDescent="0.4">
      <c r="A747" s="34">
        <f t="shared" si="24"/>
        <v>746</v>
      </c>
      <c r="B747" s="66" t="s">
        <v>2230</v>
      </c>
      <c r="C747" s="66" t="s">
        <v>2231</v>
      </c>
      <c r="D747" s="67" t="s">
        <v>1767</v>
      </c>
      <c r="E747" s="66" t="s">
        <v>2243</v>
      </c>
      <c r="F747" s="66" t="s">
        <v>2244</v>
      </c>
      <c r="G747" s="64" t="s">
        <v>2245</v>
      </c>
      <c r="H747" s="35" t="s">
        <v>15</v>
      </c>
      <c r="I747" s="66" t="s">
        <v>2239</v>
      </c>
      <c r="J747" s="34" t="s">
        <v>2157</v>
      </c>
      <c r="K747" s="34">
        <v>4</v>
      </c>
    </row>
    <row r="748" spans="1:11" ht="18" customHeight="1" x14ac:dyDescent="0.4">
      <c r="A748" s="34">
        <f t="shared" si="24"/>
        <v>747</v>
      </c>
      <c r="B748" s="66" t="s">
        <v>2230</v>
      </c>
      <c r="C748" s="66" t="s">
        <v>2231</v>
      </c>
      <c r="D748" s="67" t="s">
        <v>1767</v>
      </c>
      <c r="E748" s="66" t="s">
        <v>2246</v>
      </c>
      <c r="F748" s="66" t="s">
        <v>2247</v>
      </c>
      <c r="G748" s="64" t="s">
        <v>2248</v>
      </c>
      <c r="H748" s="35" t="s">
        <v>15</v>
      </c>
      <c r="I748" s="66" t="s">
        <v>2239</v>
      </c>
      <c r="J748" s="34" t="s">
        <v>2158</v>
      </c>
      <c r="K748" s="34">
        <v>4</v>
      </c>
    </row>
    <row r="749" spans="1:11" ht="18" customHeight="1" x14ac:dyDescent="0.4">
      <c r="A749" s="34">
        <f t="shared" si="24"/>
        <v>748</v>
      </c>
      <c r="B749" s="66" t="s">
        <v>2230</v>
      </c>
      <c r="C749" s="66" t="s">
        <v>2232</v>
      </c>
      <c r="D749" s="67" t="s">
        <v>1767</v>
      </c>
      <c r="E749" s="66" t="s">
        <v>2249</v>
      </c>
      <c r="F749" s="66" t="s">
        <v>2250</v>
      </c>
      <c r="G749" s="64" t="s">
        <v>2251</v>
      </c>
      <c r="H749" s="35" t="s">
        <v>15</v>
      </c>
      <c r="I749" s="66" t="s">
        <v>2252</v>
      </c>
      <c r="J749" s="34" t="s">
        <v>2155</v>
      </c>
      <c r="K749" s="34">
        <v>5</v>
      </c>
    </row>
    <row r="750" spans="1:11" ht="18" customHeight="1" x14ac:dyDescent="0.4">
      <c r="A750" s="34">
        <f t="shared" si="24"/>
        <v>749</v>
      </c>
      <c r="B750" s="66" t="s">
        <v>2230</v>
      </c>
      <c r="C750" s="66" t="s">
        <v>2231</v>
      </c>
      <c r="D750" s="67" t="s">
        <v>1767</v>
      </c>
      <c r="E750" s="66" t="s">
        <v>2253</v>
      </c>
      <c r="F750" s="66" t="s">
        <v>2254</v>
      </c>
      <c r="G750" s="64" t="s">
        <v>2248</v>
      </c>
      <c r="H750" s="35" t="s">
        <v>15</v>
      </c>
      <c r="I750" s="66" t="s">
        <v>2252</v>
      </c>
      <c r="J750" s="34" t="s">
        <v>2156</v>
      </c>
      <c r="K750" s="34">
        <v>5</v>
      </c>
    </row>
    <row r="751" spans="1:11" ht="18" customHeight="1" x14ac:dyDescent="0.4">
      <c r="A751" s="34">
        <f t="shared" si="24"/>
        <v>750</v>
      </c>
      <c r="B751" s="66" t="s">
        <v>2230</v>
      </c>
      <c r="C751" s="66" t="s">
        <v>2231</v>
      </c>
      <c r="D751" s="67" t="s">
        <v>1767</v>
      </c>
      <c r="E751" s="66" t="s">
        <v>2255</v>
      </c>
      <c r="F751" s="66" t="s">
        <v>2256</v>
      </c>
      <c r="G751" s="64" t="s">
        <v>2257</v>
      </c>
      <c r="H751" s="35" t="s">
        <v>15</v>
      </c>
      <c r="I751" s="66" t="s">
        <v>2252</v>
      </c>
      <c r="J751" s="34" t="s">
        <v>2157</v>
      </c>
      <c r="K751" s="34">
        <v>5</v>
      </c>
    </row>
    <row r="752" spans="1:11" ht="18" customHeight="1" x14ac:dyDescent="0.4">
      <c r="A752" s="34">
        <f t="shared" si="24"/>
        <v>751</v>
      </c>
      <c r="B752" s="66" t="s">
        <v>2230</v>
      </c>
      <c r="C752" s="66" t="s">
        <v>2231</v>
      </c>
      <c r="D752" s="67" t="s">
        <v>1767</v>
      </c>
      <c r="E752" s="66" t="s">
        <v>2258</v>
      </c>
      <c r="F752" s="66" t="s">
        <v>2259</v>
      </c>
      <c r="G752" s="64" t="s">
        <v>2260</v>
      </c>
      <c r="H752" s="35" t="s">
        <v>15</v>
      </c>
      <c r="I752" s="66" t="s">
        <v>2252</v>
      </c>
      <c r="J752" s="34" t="s">
        <v>2158</v>
      </c>
      <c r="K752" s="34">
        <v>5</v>
      </c>
    </row>
    <row r="753" spans="1:11" ht="18" customHeight="1" x14ac:dyDescent="0.4">
      <c r="A753" s="34">
        <f t="shared" si="24"/>
        <v>752</v>
      </c>
      <c r="B753" s="66" t="s">
        <v>2230</v>
      </c>
      <c r="C753" s="66" t="s">
        <v>2231</v>
      </c>
      <c r="D753" s="67" t="s">
        <v>1767</v>
      </c>
      <c r="E753" s="66" t="s">
        <v>2255</v>
      </c>
      <c r="F753" s="66" t="s">
        <v>2261</v>
      </c>
      <c r="G753" s="64" t="s">
        <v>2262</v>
      </c>
      <c r="H753" s="35" t="s">
        <v>15</v>
      </c>
      <c r="I753" s="66" t="s">
        <v>2263</v>
      </c>
      <c r="J753" s="34" t="s">
        <v>2155</v>
      </c>
      <c r="K753" s="34">
        <v>6</v>
      </c>
    </row>
    <row r="754" spans="1:11" ht="18" customHeight="1" x14ac:dyDescent="0.4">
      <c r="A754" s="34">
        <f t="shared" si="24"/>
        <v>753</v>
      </c>
      <c r="B754" s="66" t="s">
        <v>2230</v>
      </c>
      <c r="C754" s="66" t="s">
        <v>2231</v>
      </c>
      <c r="D754" s="67" t="s">
        <v>1767</v>
      </c>
      <c r="E754" s="66" t="s">
        <v>2264</v>
      </c>
      <c r="F754" s="66" t="s">
        <v>2265</v>
      </c>
      <c r="G754" s="64" t="s">
        <v>2266</v>
      </c>
      <c r="H754" s="35" t="s">
        <v>15</v>
      </c>
      <c r="I754" s="66" t="s">
        <v>2263</v>
      </c>
      <c r="J754" s="34" t="s">
        <v>2156</v>
      </c>
      <c r="K754" s="34">
        <v>6</v>
      </c>
    </row>
    <row r="755" spans="1:11" ht="18" customHeight="1" x14ac:dyDescent="0.4">
      <c r="A755" s="34">
        <f t="shared" si="24"/>
        <v>754</v>
      </c>
      <c r="B755" s="66" t="s">
        <v>2230</v>
      </c>
      <c r="C755" s="66" t="s">
        <v>2231</v>
      </c>
      <c r="D755" s="67" t="s">
        <v>1767</v>
      </c>
      <c r="E755" s="66" t="s">
        <v>2267</v>
      </c>
      <c r="F755" s="66" t="s">
        <v>2268</v>
      </c>
      <c r="G755" s="64" t="s">
        <v>2269</v>
      </c>
      <c r="H755" s="35" t="s">
        <v>15</v>
      </c>
      <c r="I755" s="66" t="s">
        <v>2263</v>
      </c>
      <c r="J755" s="34" t="s">
        <v>2157</v>
      </c>
      <c r="K755" s="34">
        <v>6</v>
      </c>
    </row>
    <row r="756" spans="1:11" ht="18" customHeight="1" x14ac:dyDescent="0.4">
      <c r="A756" s="34">
        <f t="shared" si="24"/>
        <v>755</v>
      </c>
      <c r="B756" s="66" t="s">
        <v>2230</v>
      </c>
      <c r="C756" s="66" t="s">
        <v>2231</v>
      </c>
      <c r="D756" s="67" t="s">
        <v>1767</v>
      </c>
      <c r="E756" s="66" t="s">
        <v>2270</v>
      </c>
      <c r="F756" s="66" t="s">
        <v>2271</v>
      </c>
      <c r="G756" s="64" t="s">
        <v>2272</v>
      </c>
      <c r="H756" s="35" t="s">
        <v>15</v>
      </c>
      <c r="I756" s="66" t="s">
        <v>2263</v>
      </c>
      <c r="J756" s="34" t="s">
        <v>2158</v>
      </c>
      <c r="K756" s="34">
        <v>6</v>
      </c>
    </row>
    <row r="757" spans="1:11" ht="18" customHeight="1" x14ac:dyDescent="0.4">
      <c r="A757" s="34">
        <f t="shared" si="24"/>
        <v>756</v>
      </c>
      <c r="B757" s="64" t="s">
        <v>2230</v>
      </c>
      <c r="C757" s="64" t="s">
        <v>2232</v>
      </c>
      <c r="D757" s="65" t="s">
        <v>1767</v>
      </c>
      <c r="E757" s="64" t="s">
        <v>2273</v>
      </c>
      <c r="F757" s="64" t="s">
        <v>2274</v>
      </c>
      <c r="G757" s="64" t="s">
        <v>2275</v>
      </c>
      <c r="H757" s="35" t="s">
        <v>15</v>
      </c>
      <c r="I757" s="66" t="s">
        <v>2276</v>
      </c>
      <c r="J757" s="34" t="s">
        <v>2155</v>
      </c>
      <c r="K757" s="34">
        <v>7</v>
      </c>
    </row>
    <row r="758" spans="1:11" ht="18" customHeight="1" x14ac:dyDescent="0.4">
      <c r="A758" s="34">
        <f t="shared" si="24"/>
        <v>757</v>
      </c>
      <c r="B758" s="64" t="s">
        <v>2230</v>
      </c>
      <c r="C758" s="64" t="s">
        <v>2231</v>
      </c>
      <c r="D758" s="65" t="s">
        <v>1767</v>
      </c>
      <c r="E758" s="64" t="s">
        <v>2277</v>
      </c>
      <c r="F758" s="64" t="s">
        <v>2278</v>
      </c>
      <c r="G758" s="64" t="s">
        <v>2279</v>
      </c>
      <c r="H758" s="35" t="s">
        <v>15</v>
      </c>
      <c r="I758" s="66" t="s">
        <v>2276</v>
      </c>
      <c r="J758" s="34" t="s">
        <v>2156</v>
      </c>
      <c r="K758" s="34">
        <v>7</v>
      </c>
    </row>
    <row r="759" spans="1:11" ht="18" customHeight="1" x14ac:dyDescent="0.4">
      <c r="A759" s="34">
        <f t="shared" si="24"/>
        <v>758</v>
      </c>
      <c r="B759" s="64" t="s">
        <v>2230</v>
      </c>
      <c r="C759" s="64" t="s">
        <v>2231</v>
      </c>
      <c r="D759" s="65" t="s">
        <v>1767</v>
      </c>
      <c r="E759" s="64" t="s">
        <v>2280</v>
      </c>
      <c r="F759" s="64" t="s">
        <v>2281</v>
      </c>
      <c r="G759" s="64" t="s">
        <v>2282</v>
      </c>
      <c r="H759" s="35" t="s">
        <v>15</v>
      </c>
      <c r="I759" s="66" t="s">
        <v>2276</v>
      </c>
      <c r="J759" s="34" t="s">
        <v>2157</v>
      </c>
      <c r="K759" s="34">
        <v>7</v>
      </c>
    </row>
    <row r="760" spans="1:11" ht="18" customHeight="1" x14ac:dyDescent="0.4">
      <c r="A760" s="34">
        <f t="shared" si="24"/>
        <v>759</v>
      </c>
      <c r="B760" s="64" t="s">
        <v>2230</v>
      </c>
      <c r="C760" s="64" t="s">
        <v>2231</v>
      </c>
      <c r="D760" s="65" t="s">
        <v>1767</v>
      </c>
      <c r="E760" s="64" t="s">
        <v>2283</v>
      </c>
      <c r="F760" s="64" t="s">
        <v>2254</v>
      </c>
      <c r="G760" s="64" t="s">
        <v>2284</v>
      </c>
      <c r="H760" s="35" t="s">
        <v>15</v>
      </c>
      <c r="I760" s="66" t="s">
        <v>2276</v>
      </c>
      <c r="J760" s="34" t="s">
        <v>2158</v>
      </c>
      <c r="K760" s="34">
        <v>7</v>
      </c>
    </row>
    <row r="761" spans="1:11" ht="18" customHeight="1" x14ac:dyDescent="0.4">
      <c r="A761" s="34">
        <f t="shared" si="24"/>
        <v>760</v>
      </c>
      <c r="B761" s="66" t="s">
        <v>2230</v>
      </c>
      <c r="C761" s="66" t="s">
        <v>2231</v>
      </c>
      <c r="D761" s="67" t="s">
        <v>1767</v>
      </c>
      <c r="E761" s="66" t="s">
        <v>2285</v>
      </c>
      <c r="F761" s="66" t="s">
        <v>2286</v>
      </c>
      <c r="G761" s="64" t="s">
        <v>2287</v>
      </c>
      <c r="H761" s="35" t="s">
        <v>15</v>
      </c>
      <c r="I761" s="66" t="s">
        <v>2288</v>
      </c>
      <c r="J761" s="34" t="s">
        <v>2155</v>
      </c>
      <c r="K761" s="34">
        <v>8</v>
      </c>
    </row>
    <row r="762" spans="1:11" ht="18" customHeight="1" x14ac:dyDescent="0.4">
      <c r="A762" s="34">
        <f t="shared" si="24"/>
        <v>761</v>
      </c>
      <c r="B762" s="64" t="s">
        <v>2230</v>
      </c>
      <c r="C762" s="64" t="s">
        <v>2231</v>
      </c>
      <c r="D762" s="65" t="s">
        <v>1767</v>
      </c>
      <c r="E762" s="64" t="s">
        <v>2270</v>
      </c>
      <c r="F762" s="66" t="s">
        <v>2289</v>
      </c>
      <c r="G762" s="64" t="s">
        <v>2290</v>
      </c>
      <c r="H762" s="35" t="s">
        <v>15</v>
      </c>
      <c r="I762" s="66" t="s">
        <v>2288</v>
      </c>
      <c r="J762" s="34" t="s">
        <v>2156</v>
      </c>
      <c r="K762" s="34">
        <v>8</v>
      </c>
    </row>
    <row r="763" spans="1:11" ht="18" customHeight="1" x14ac:dyDescent="0.4">
      <c r="A763" s="34">
        <f t="shared" ref="A763:A794" si="25">IF(COUNTA(B763:I763)=0,"",ROW()-1)</f>
        <v>762</v>
      </c>
      <c r="B763" s="66" t="s">
        <v>2230</v>
      </c>
      <c r="C763" s="66" t="s">
        <v>2231</v>
      </c>
      <c r="D763" s="67" t="s">
        <v>1767</v>
      </c>
      <c r="E763" s="66" t="s">
        <v>2291</v>
      </c>
      <c r="F763" s="66" t="s">
        <v>2292</v>
      </c>
      <c r="G763" s="64" t="s">
        <v>2293</v>
      </c>
      <c r="H763" s="35" t="s">
        <v>15</v>
      </c>
      <c r="I763" s="66" t="s">
        <v>2294</v>
      </c>
      <c r="J763" s="34" t="s">
        <v>2157</v>
      </c>
      <c r="K763" s="34">
        <v>8</v>
      </c>
    </row>
    <row r="764" spans="1:11" ht="18" customHeight="1" x14ac:dyDescent="0.4">
      <c r="A764" s="34">
        <f t="shared" si="25"/>
        <v>763</v>
      </c>
      <c r="B764" s="66" t="s">
        <v>2230</v>
      </c>
      <c r="C764" s="66" t="s">
        <v>2231</v>
      </c>
      <c r="D764" s="67" t="s">
        <v>1767</v>
      </c>
      <c r="E764" s="66" t="s">
        <v>2295</v>
      </c>
      <c r="F764" s="66" t="s">
        <v>2296</v>
      </c>
      <c r="G764" s="64" t="s">
        <v>2297</v>
      </c>
      <c r="H764" s="35" t="s">
        <v>15</v>
      </c>
      <c r="I764" s="66" t="s">
        <v>2288</v>
      </c>
      <c r="J764" s="34" t="s">
        <v>2158</v>
      </c>
      <c r="K764" s="34">
        <v>8</v>
      </c>
    </row>
    <row r="765" spans="1:11" ht="18" customHeight="1" x14ac:dyDescent="0.4">
      <c r="A765" s="34">
        <f t="shared" si="25"/>
        <v>764</v>
      </c>
      <c r="B765" s="68" t="s">
        <v>2230</v>
      </c>
      <c r="C765" s="68" t="s">
        <v>2232</v>
      </c>
      <c r="D765" s="69" t="s">
        <v>1767</v>
      </c>
      <c r="E765" s="68" t="s">
        <v>2298</v>
      </c>
      <c r="F765" s="68" t="s">
        <v>2274</v>
      </c>
      <c r="G765" s="68" t="s">
        <v>2299</v>
      </c>
      <c r="H765" s="35" t="s">
        <v>15</v>
      </c>
      <c r="I765" s="68" t="s">
        <v>2300</v>
      </c>
      <c r="J765" s="34" t="s">
        <v>2155</v>
      </c>
      <c r="K765" s="34">
        <v>9</v>
      </c>
    </row>
    <row r="766" spans="1:11" ht="18" customHeight="1" x14ac:dyDescent="0.4">
      <c r="A766" s="34">
        <f t="shared" si="25"/>
        <v>765</v>
      </c>
      <c r="B766" s="68" t="s">
        <v>2230</v>
      </c>
      <c r="C766" s="68" t="s">
        <v>2232</v>
      </c>
      <c r="D766" s="69" t="s">
        <v>1767</v>
      </c>
      <c r="E766" s="68" t="s">
        <v>2301</v>
      </c>
      <c r="F766" s="68" t="s">
        <v>2302</v>
      </c>
      <c r="G766" s="68" t="s">
        <v>2303</v>
      </c>
      <c r="H766" s="35" t="s">
        <v>15</v>
      </c>
      <c r="I766" s="68" t="s">
        <v>2304</v>
      </c>
      <c r="J766" s="34" t="s">
        <v>2156</v>
      </c>
      <c r="K766" s="34">
        <v>9</v>
      </c>
    </row>
    <row r="767" spans="1:11" ht="18" customHeight="1" x14ac:dyDescent="0.4">
      <c r="A767" s="34">
        <f t="shared" si="25"/>
        <v>766</v>
      </c>
      <c r="B767" s="68" t="s">
        <v>2230</v>
      </c>
      <c r="C767" s="68" t="s">
        <v>2232</v>
      </c>
      <c r="D767" s="69" t="s">
        <v>1767</v>
      </c>
      <c r="E767" s="68" t="s">
        <v>2305</v>
      </c>
      <c r="F767" s="68" t="s">
        <v>2306</v>
      </c>
      <c r="G767" s="68" t="s">
        <v>2307</v>
      </c>
      <c r="H767" s="35" t="s">
        <v>15</v>
      </c>
      <c r="I767" s="68" t="s">
        <v>2308</v>
      </c>
      <c r="J767" s="34" t="s">
        <v>2155</v>
      </c>
      <c r="K767" s="34">
        <v>11</v>
      </c>
    </row>
    <row r="768" spans="1:11" ht="18" customHeight="1" x14ac:dyDescent="0.4">
      <c r="A768" s="34">
        <f t="shared" si="25"/>
        <v>767</v>
      </c>
      <c r="B768" s="68" t="s">
        <v>2230</v>
      </c>
      <c r="C768" s="68" t="s">
        <v>2232</v>
      </c>
      <c r="D768" s="69" t="s">
        <v>1767</v>
      </c>
      <c r="E768" s="68" t="s">
        <v>2309</v>
      </c>
      <c r="F768" s="68" t="s">
        <v>2310</v>
      </c>
      <c r="G768" s="68" t="s">
        <v>2311</v>
      </c>
      <c r="H768" s="35" t="s">
        <v>15</v>
      </c>
      <c r="I768" s="68" t="s">
        <v>2312</v>
      </c>
      <c r="J768" s="34" t="s">
        <v>2156</v>
      </c>
      <c r="K768" s="34">
        <v>10</v>
      </c>
    </row>
    <row r="769" spans="1:11" ht="18" customHeight="1" x14ac:dyDescent="0.4">
      <c r="A769" s="34">
        <f t="shared" si="25"/>
        <v>768</v>
      </c>
      <c r="B769" s="68" t="s">
        <v>2230</v>
      </c>
      <c r="C769" s="68" t="s">
        <v>2232</v>
      </c>
      <c r="D769" s="69" t="s">
        <v>1767</v>
      </c>
      <c r="E769" s="68" t="s">
        <v>2313</v>
      </c>
      <c r="F769" s="68" t="s">
        <v>2314</v>
      </c>
      <c r="G769" s="68" t="s">
        <v>2315</v>
      </c>
      <c r="H769" s="35" t="s">
        <v>15</v>
      </c>
      <c r="I769" s="68" t="s">
        <v>2316</v>
      </c>
      <c r="J769" s="34" t="s">
        <v>2156</v>
      </c>
      <c r="K769" s="34">
        <v>11</v>
      </c>
    </row>
    <row r="770" spans="1:11" ht="18" customHeight="1" x14ac:dyDescent="0.4">
      <c r="A770" s="34">
        <f t="shared" si="25"/>
        <v>769</v>
      </c>
      <c r="B770" s="68" t="s">
        <v>2230</v>
      </c>
      <c r="C770" s="68" t="s">
        <v>2233</v>
      </c>
      <c r="D770" s="69" t="s">
        <v>1767</v>
      </c>
      <c r="E770" s="68" t="s">
        <v>2317</v>
      </c>
      <c r="F770" s="68" t="s">
        <v>2318</v>
      </c>
      <c r="G770" s="68"/>
      <c r="H770" s="35" t="s">
        <v>15</v>
      </c>
      <c r="I770" s="68" t="s">
        <v>2319</v>
      </c>
      <c r="J770" s="34" t="s">
        <v>2157</v>
      </c>
      <c r="K770" s="34">
        <v>11</v>
      </c>
    </row>
    <row r="771" spans="1:11" ht="18" customHeight="1" x14ac:dyDescent="0.4">
      <c r="A771" s="34">
        <f t="shared" si="25"/>
        <v>770</v>
      </c>
      <c r="B771" s="68" t="s">
        <v>2230</v>
      </c>
      <c r="C771" s="68" t="s">
        <v>2232</v>
      </c>
      <c r="D771" s="69" t="s">
        <v>1767</v>
      </c>
      <c r="E771" s="68" t="s">
        <v>2320</v>
      </c>
      <c r="F771" s="68" t="s">
        <v>2321</v>
      </c>
      <c r="G771" s="68" t="s">
        <v>2311</v>
      </c>
      <c r="H771" s="35" t="s">
        <v>15</v>
      </c>
      <c r="I771" s="68" t="s">
        <v>2322</v>
      </c>
      <c r="J771" s="34" t="s">
        <v>2156</v>
      </c>
      <c r="K771" s="34">
        <v>12</v>
      </c>
    </row>
    <row r="772" spans="1:11" ht="18" customHeight="1" x14ac:dyDescent="0.4">
      <c r="A772" s="34">
        <f t="shared" si="25"/>
        <v>771</v>
      </c>
      <c r="B772" s="68" t="s">
        <v>2230</v>
      </c>
      <c r="C772" s="68" t="s">
        <v>2232</v>
      </c>
      <c r="D772" s="69" t="s">
        <v>1767</v>
      </c>
      <c r="E772" s="68" t="s">
        <v>2323</v>
      </c>
      <c r="F772" s="68" t="s">
        <v>2324</v>
      </c>
      <c r="G772" s="68" t="s">
        <v>2325</v>
      </c>
      <c r="H772" s="35" t="s">
        <v>15</v>
      </c>
      <c r="I772" s="68" t="s">
        <v>2326</v>
      </c>
      <c r="J772" s="34" t="s">
        <v>2157</v>
      </c>
      <c r="K772" s="34">
        <v>9</v>
      </c>
    </row>
    <row r="773" spans="1:11" ht="18" customHeight="1" x14ac:dyDescent="0.4">
      <c r="A773" s="34">
        <f t="shared" si="25"/>
        <v>772</v>
      </c>
      <c r="B773" s="68" t="s">
        <v>2230</v>
      </c>
      <c r="C773" s="68" t="s">
        <v>2232</v>
      </c>
      <c r="D773" s="69" t="s">
        <v>1767</v>
      </c>
      <c r="E773" s="68" t="s">
        <v>2309</v>
      </c>
      <c r="F773" s="68" t="s">
        <v>2327</v>
      </c>
      <c r="G773" s="68" t="s">
        <v>2328</v>
      </c>
      <c r="H773" s="35" t="s">
        <v>15</v>
      </c>
      <c r="I773" s="68" t="s">
        <v>2329</v>
      </c>
      <c r="J773" s="34" t="s">
        <v>2157</v>
      </c>
      <c r="K773" s="34">
        <v>10</v>
      </c>
    </row>
    <row r="774" spans="1:11" ht="18" customHeight="1" x14ac:dyDescent="0.4">
      <c r="A774" s="34">
        <f t="shared" si="25"/>
        <v>773</v>
      </c>
      <c r="B774" s="68" t="s">
        <v>2230</v>
      </c>
      <c r="C774" s="68" t="s">
        <v>2232</v>
      </c>
      <c r="D774" s="69" t="s">
        <v>1767</v>
      </c>
      <c r="E774" s="68" t="s">
        <v>2330</v>
      </c>
      <c r="F774" s="68" t="s">
        <v>2331</v>
      </c>
      <c r="G774" s="68" t="s">
        <v>2332</v>
      </c>
      <c r="H774" s="35" t="s">
        <v>15</v>
      </c>
      <c r="I774" s="68" t="s">
        <v>2333</v>
      </c>
      <c r="J774" s="34" t="s">
        <v>2157</v>
      </c>
      <c r="K774" s="34">
        <v>12</v>
      </c>
    </row>
    <row r="775" spans="1:11" ht="18" customHeight="1" x14ac:dyDescent="0.4">
      <c r="A775" s="34">
        <f t="shared" si="25"/>
        <v>774</v>
      </c>
      <c r="B775" s="68" t="s">
        <v>2230</v>
      </c>
      <c r="C775" s="68" t="s">
        <v>2233</v>
      </c>
      <c r="D775" s="69" t="s">
        <v>1767</v>
      </c>
      <c r="E775" s="68" t="s">
        <v>2334</v>
      </c>
      <c r="F775" s="68" t="s">
        <v>2335</v>
      </c>
      <c r="G775" s="68" t="s">
        <v>2336</v>
      </c>
      <c r="H775" s="35" t="s">
        <v>15</v>
      </c>
      <c r="I775" s="68" t="s">
        <v>2337</v>
      </c>
      <c r="J775" s="34" t="s">
        <v>2155</v>
      </c>
      <c r="K775" s="34">
        <v>10</v>
      </c>
    </row>
    <row r="776" spans="1:11" ht="18" customHeight="1" x14ac:dyDescent="0.4">
      <c r="A776" s="34">
        <f t="shared" si="25"/>
        <v>775</v>
      </c>
      <c r="B776" s="70" t="s">
        <v>2230</v>
      </c>
      <c r="C776" s="70" t="s">
        <v>2232</v>
      </c>
      <c r="D776" s="71" t="s">
        <v>1767</v>
      </c>
      <c r="E776" s="70" t="s">
        <v>2338</v>
      </c>
      <c r="F776" s="70" t="s">
        <v>2281</v>
      </c>
      <c r="G776" s="70" t="s">
        <v>2339</v>
      </c>
      <c r="H776" s="35" t="s">
        <v>15</v>
      </c>
      <c r="I776" s="70" t="s">
        <v>2340</v>
      </c>
      <c r="J776" s="34" t="s">
        <v>2155</v>
      </c>
      <c r="K776" s="34">
        <v>2</v>
      </c>
    </row>
    <row r="777" spans="1:11" ht="18" customHeight="1" x14ac:dyDescent="0.4">
      <c r="A777" s="34">
        <f t="shared" si="25"/>
        <v>776</v>
      </c>
      <c r="B777" s="70" t="s">
        <v>2230</v>
      </c>
      <c r="C777" s="70" t="s">
        <v>2232</v>
      </c>
      <c r="D777" s="71" t="s">
        <v>1767</v>
      </c>
      <c r="E777" s="70" t="s">
        <v>2341</v>
      </c>
      <c r="F777" s="70" t="s">
        <v>2342</v>
      </c>
      <c r="G777" s="70" t="s">
        <v>2342</v>
      </c>
      <c r="H777" s="35" t="s">
        <v>15</v>
      </c>
      <c r="I777" s="70" t="s">
        <v>2343</v>
      </c>
      <c r="J777" s="34" t="s">
        <v>2155</v>
      </c>
      <c r="K777" s="34">
        <v>1</v>
      </c>
    </row>
    <row r="778" spans="1:11" ht="18" customHeight="1" x14ac:dyDescent="0.4">
      <c r="A778" s="34">
        <f t="shared" si="25"/>
        <v>777</v>
      </c>
      <c r="B778" s="70" t="s">
        <v>2230</v>
      </c>
      <c r="C778" s="70" t="s">
        <v>2232</v>
      </c>
      <c r="D778" s="71" t="s">
        <v>1767</v>
      </c>
      <c r="E778" s="70" t="s">
        <v>2344</v>
      </c>
      <c r="F778" s="70" t="s">
        <v>2345</v>
      </c>
      <c r="G778" s="70" t="s">
        <v>2274</v>
      </c>
      <c r="H778" s="35" t="s">
        <v>15</v>
      </c>
      <c r="I778" s="70" t="s">
        <v>2346</v>
      </c>
      <c r="J778" s="34" t="s">
        <v>2156</v>
      </c>
      <c r="K778" s="34">
        <v>1</v>
      </c>
    </row>
    <row r="779" spans="1:11" ht="18" customHeight="1" x14ac:dyDescent="0.4">
      <c r="A779" s="34">
        <f t="shared" si="25"/>
        <v>778</v>
      </c>
      <c r="B779" s="70" t="s">
        <v>2230</v>
      </c>
      <c r="C779" s="70" t="s">
        <v>2232</v>
      </c>
      <c r="D779" s="71" t="s">
        <v>1767</v>
      </c>
      <c r="E779" s="70" t="s">
        <v>2347</v>
      </c>
      <c r="F779" s="70" t="s">
        <v>2348</v>
      </c>
      <c r="G779" s="70" t="s">
        <v>2349</v>
      </c>
      <c r="H779" s="35" t="s">
        <v>15</v>
      </c>
      <c r="I779" s="70" t="s">
        <v>2350</v>
      </c>
      <c r="J779" s="34" t="s">
        <v>2157</v>
      </c>
      <c r="K779" s="34">
        <v>1</v>
      </c>
    </row>
    <row r="780" spans="1:11" ht="18" customHeight="1" x14ac:dyDescent="0.4">
      <c r="A780" s="34">
        <f t="shared" si="25"/>
        <v>779</v>
      </c>
      <c r="B780" s="70" t="s">
        <v>2230</v>
      </c>
      <c r="C780" s="70" t="s">
        <v>2232</v>
      </c>
      <c r="D780" s="71" t="s">
        <v>1767</v>
      </c>
      <c r="E780" s="70" t="s">
        <v>2253</v>
      </c>
      <c r="F780" s="70" t="s">
        <v>2254</v>
      </c>
      <c r="G780" s="70" t="s">
        <v>2351</v>
      </c>
      <c r="H780" s="35" t="s">
        <v>15</v>
      </c>
      <c r="I780" s="70" t="s">
        <v>2352</v>
      </c>
      <c r="J780" s="34" t="s">
        <v>2156</v>
      </c>
      <c r="K780" s="34">
        <v>3</v>
      </c>
    </row>
    <row r="781" spans="1:11" ht="18" customHeight="1" x14ac:dyDescent="0.4">
      <c r="A781" s="34">
        <f t="shared" si="25"/>
        <v>780</v>
      </c>
      <c r="B781" s="70" t="s">
        <v>2230</v>
      </c>
      <c r="C781" s="70" t="s">
        <v>2232</v>
      </c>
      <c r="D781" s="71" t="s">
        <v>1767</v>
      </c>
      <c r="E781" s="70" t="s">
        <v>2353</v>
      </c>
      <c r="F781" s="70" t="s">
        <v>2354</v>
      </c>
      <c r="G781" s="70" t="s">
        <v>2355</v>
      </c>
      <c r="H781" s="35" t="s">
        <v>15</v>
      </c>
      <c r="I781" s="70" t="s">
        <v>2356</v>
      </c>
      <c r="J781" s="34" t="s">
        <v>2156</v>
      </c>
      <c r="K781" s="34">
        <v>2</v>
      </c>
    </row>
    <row r="782" spans="1:11" ht="18" customHeight="1" x14ac:dyDescent="0.4">
      <c r="A782" s="34">
        <f t="shared" si="25"/>
        <v>781</v>
      </c>
      <c r="B782" s="70" t="s">
        <v>2230</v>
      </c>
      <c r="C782" s="70" t="s">
        <v>2233</v>
      </c>
      <c r="D782" s="71" t="s">
        <v>1767</v>
      </c>
      <c r="E782" s="70" t="s">
        <v>2357</v>
      </c>
      <c r="F782" s="70" t="s">
        <v>2358</v>
      </c>
      <c r="G782" s="70" t="s">
        <v>2359</v>
      </c>
      <c r="H782" s="35" t="s">
        <v>15</v>
      </c>
      <c r="I782" s="70" t="s">
        <v>2360</v>
      </c>
      <c r="J782" s="34" t="s">
        <v>2155</v>
      </c>
      <c r="K782" s="34">
        <v>3</v>
      </c>
    </row>
    <row r="783" spans="1:11" ht="18" customHeight="1" x14ac:dyDescent="0.4">
      <c r="A783" s="34">
        <f t="shared" si="25"/>
        <v>782</v>
      </c>
      <c r="B783" s="70" t="s">
        <v>2230</v>
      </c>
      <c r="C783" s="70" t="s">
        <v>2231</v>
      </c>
      <c r="D783" s="71" t="s">
        <v>1767</v>
      </c>
      <c r="E783" s="70" t="s">
        <v>2264</v>
      </c>
      <c r="F783" s="70" t="s">
        <v>2274</v>
      </c>
      <c r="G783" s="70" t="s">
        <v>2361</v>
      </c>
      <c r="H783" s="35" t="s">
        <v>15</v>
      </c>
      <c r="I783" s="70" t="s">
        <v>2362</v>
      </c>
      <c r="J783" s="34" t="s">
        <v>2157</v>
      </c>
      <c r="K783" s="34">
        <v>2</v>
      </c>
    </row>
    <row r="784" spans="1:11" ht="18" customHeight="1" x14ac:dyDescent="0.4">
      <c r="A784" s="34">
        <f t="shared" si="25"/>
        <v>783</v>
      </c>
      <c r="B784" s="72" t="s">
        <v>2230</v>
      </c>
      <c r="C784" s="72" t="s">
        <v>2231</v>
      </c>
      <c r="D784" s="73" t="s">
        <v>1767</v>
      </c>
      <c r="E784" s="72" t="s">
        <v>2363</v>
      </c>
      <c r="F784" s="72" t="s">
        <v>2364</v>
      </c>
      <c r="G784" s="72" t="s">
        <v>2361</v>
      </c>
      <c r="H784" s="35" t="s">
        <v>15</v>
      </c>
      <c r="I784" s="72" t="s">
        <v>2365</v>
      </c>
      <c r="J784" s="34" t="s">
        <v>2155</v>
      </c>
      <c r="K784" s="34">
        <v>12</v>
      </c>
    </row>
    <row r="785" spans="1:11" ht="18" customHeight="1" x14ac:dyDescent="0.4">
      <c r="A785" s="34">
        <f t="shared" si="25"/>
        <v>784</v>
      </c>
      <c r="B785" s="72" t="s">
        <v>2230</v>
      </c>
      <c r="C785" s="72" t="s">
        <v>2232</v>
      </c>
      <c r="D785" s="73" t="s">
        <v>1767</v>
      </c>
      <c r="E785" s="72" t="s">
        <v>2323</v>
      </c>
      <c r="F785" s="72" t="s">
        <v>2366</v>
      </c>
      <c r="G785" s="72" t="s">
        <v>2367</v>
      </c>
      <c r="H785" s="35" t="s">
        <v>15</v>
      </c>
      <c r="I785" s="72" t="s">
        <v>2368</v>
      </c>
      <c r="J785" s="34" t="s">
        <v>2157</v>
      </c>
      <c r="K785" s="34">
        <v>13</v>
      </c>
    </row>
    <row r="786" spans="1:11" ht="18" customHeight="1" x14ac:dyDescent="0.4">
      <c r="A786" s="34">
        <f t="shared" si="25"/>
        <v>785</v>
      </c>
      <c r="B786" s="72" t="s">
        <v>2230</v>
      </c>
      <c r="C786" s="72" t="s">
        <v>2231</v>
      </c>
      <c r="D786" s="73" t="s">
        <v>1767</v>
      </c>
      <c r="E786" s="72" t="s">
        <v>2369</v>
      </c>
      <c r="F786" s="72" t="s">
        <v>2370</v>
      </c>
      <c r="G786" s="72" t="s">
        <v>2371</v>
      </c>
      <c r="H786" s="35" t="s">
        <v>15</v>
      </c>
      <c r="I786" s="72" t="s">
        <v>2372</v>
      </c>
      <c r="J786" s="34" t="s">
        <v>2156</v>
      </c>
      <c r="K786" s="34">
        <v>13</v>
      </c>
    </row>
    <row r="787" spans="1:11" ht="18" customHeight="1" x14ac:dyDescent="0.4">
      <c r="A787" s="34">
        <f t="shared" si="25"/>
        <v>786</v>
      </c>
      <c r="B787" s="72" t="s">
        <v>2230</v>
      </c>
      <c r="C787" s="72" t="s">
        <v>2231</v>
      </c>
      <c r="D787" s="73" t="s">
        <v>1767</v>
      </c>
      <c r="E787" s="72" t="s">
        <v>2291</v>
      </c>
      <c r="F787" s="72" t="s">
        <v>2373</v>
      </c>
      <c r="G787" s="72"/>
      <c r="H787" s="35" t="s">
        <v>15</v>
      </c>
      <c r="I787" s="72" t="s">
        <v>2374</v>
      </c>
      <c r="J787" s="34" t="s">
        <v>2156</v>
      </c>
      <c r="K787" s="34">
        <v>14</v>
      </c>
    </row>
    <row r="788" spans="1:11" ht="18" customHeight="1" x14ac:dyDescent="0.4">
      <c r="A788" s="34">
        <f t="shared" si="25"/>
        <v>787</v>
      </c>
      <c r="B788" s="72" t="s">
        <v>2230</v>
      </c>
      <c r="C788" s="72" t="s">
        <v>2232</v>
      </c>
      <c r="D788" s="73" t="s">
        <v>1767</v>
      </c>
      <c r="E788" s="72" t="s">
        <v>2375</v>
      </c>
      <c r="F788" s="72" t="s">
        <v>2376</v>
      </c>
      <c r="G788" s="72" t="s">
        <v>2377</v>
      </c>
      <c r="H788" s="35" t="s">
        <v>15</v>
      </c>
      <c r="I788" s="72" t="s">
        <v>2378</v>
      </c>
      <c r="J788" s="34" t="s">
        <v>2155</v>
      </c>
      <c r="K788" s="34">
        <v>13</v>
      </c>
    </row>
    <row r="789" spans="1:11" ht="18" customHeight="1" x14ac:dyDescent="0.4">
      <c r="A789" s="34">
        <f t="shared" si="25"/>
        <v>788</v>
      </c>
      <c r="B789" s="72" t="s">
        <v>2230</v>
      </c>
      <c r="C789" s="72" t="s">
        <v>2234</v>
      </c>
      <c r="D789" s="73" t="s">
        <v>1767</v>
      </c>
      <c r="E789" s="72" t="s">
        <v>2277</v>
      </c>
      <c r="F789" s="72" t="s">
        <v>2379</v>
      </c>
      <c r="G789" s="72" t="s">
        <v>2380</v>
      </c>
      <c r="H789" s="35" t="s">
        <v>15</v>
      </c>
      <c r="I789" s="72" t="s">
        <v>2381</v>
      </c>
      <c r="J789" s="34" t="s">
        <v>2157</v>
      </c>
      <c r="K789" s="34">
        <v>14</v>
      </c>
    </row>
    <row r="790" spans="1:11" ht="18" customHeight="1" x14ac:dyDescent="0.4">
      <c r="A790" s="34">
        <f t="shared" si="25"/>
        <v>789</v>
      </c>
      <c r="B790" s="72" t="s">
        <v>2230</v>
      </c>
      <c r="C790" s="72" t="s">
        <v>2235</v>
      </c>
      <c r="D790" s="73" t="s">
        <v>1767</v>
      </c>
      <c r="E790" s="72" t="s">
        <v>2382</v>
      </c>
      <c r="F790" s="72" t="s">
        <v>2383</v>
      </c>
      <c r="G790" s="72" t="s">
        <v>2384</v>
      </c>
      <c r="H790" s="35" t="s">
        <v>15</v>
      </c>
      <c r="I790" s="72" t="s">
        <v>2385</v>
      </c>
      <c r="J790" s="34" t="s">
        <v>2155</v>
      </c>
      <c r="K790" s="34">
        <v>14</v>
      </c>
    </row>
    <row r="791" spans="1:11" ht="18" customHeight="1" x14ac:dyDescent="0.4">
      <c r="A791" s="34">
        <f t="shared" si="25"/>
        <v>790</v>
      </c>
      <c r="B791" s="72" t="s">
        <v>2230</v>
      </c>
      <c r="C791" s="72" t="s">
        <v>2231</v>
      </c>
      <c r="D791" s="73" t="s">
        <v>1767</v>
      </c>
      <c r="E791" s="72" t="s">
        <v>2386</v>
      </c>
      <c r="F791" s="72" t="s">
        <v>2387</v>
      </c>
      <c r="G791" s="72" t="s">
        <v>2388</v>
      </c>
      <c r="H791" s="35" t="s">
        <v>15</v>
      </c>
      <c r="I791" s="72" t="s">
        <v>2389</v>
      </c>
      <c r="J791" s="34" t="s">
        <v>2157</v>
      </c>
      <c r="K791" s="34">
        <v>3</v>
      </c>
    </row>
    <row r="792" spans="1:11" ht="18" customHeight="1" x14ac:dyDescent="0.4">
      <c r="A792" s="34">
        <f t="shared" si="25"/>
        <v>791</v>
      </c>
      <c r="B792" s="74" t="s">
        <v>2230</v>
      </c>
      <c r="C792" s="74"/>
      <c r="D792" s="75" t="s">
        <v>1767</v>
      </c>
      <c r="E792" s="74" t="s">
        <v>2390</v>
      </c>
      <c r="H792"/>
      <c r="I792"/>
      <c r="J792" s="34" t="s">
        <v>2155</v>
      </c>
      <c r="K792" s="34">
        <v>15</v>
      </c>
    </row>
    <row r="793" spans="1:11" ht="18" customHeight="1" x14ac:dyDescent="0.4">
      <c r="A793" s="34">
        <f t="shared" si="25"/>
        <v>792</v>
      </c>
      <c r="B793" s="74" t="s">
        <v>2230</v>
      </c>
      <c r="C793" s="74"/>
      <c r="D793" s="75" t="s">
        <v>1767</v>
      </c>
      <c r="E793" s="74" t="s">
        <v>2390</v>
      </c>
      <c r="H793"/>
      <c r="I793"/>
      <c r="J793" s="34" t="s">
        <v>2155</v>
      </c>
      <c r="K793" s="34">
        <v>16</v>
      </c>
    </row>
    <row r="794" spans="1:11" ht="18" customHeight="1" x14ac:dyDescent="0.4">
      <c r="A794" s="34">
        <f t="shared" si="25"/>
        <v>793</v>
      </c>
      <c r="B794" s="74" t="s">
        <v>2230</v>
      </c>
      <c r="C794" s="74"/>
      <c r="D794" s="75" t="s">
        <v>1767</v>
      </c>
      <c r="E794" s="74" t="s">
        <v>2390</v>
      </c>
      <c r="H794"/>
      <c r="I794"/>
      <c r="J794" s="34" t="s">
        <v>2156</v>
      </c>
      <c r="K794" s="34">
        <v>15</v>
      </c>
    </row>
    <row r="795" spans="1:11" ht="18" customHeight="1" x14ac:dyDescent="0.4">
      <c r="A795" s="34">
        <f t="shared" ref="A795:A823" si="26">IF(COUNTA(B795:I795)=0,"",ROW()-1)</f>
        <v>794</v>
      </c>
      <c r="B795" s="74" t="s">
        <v>2230</v>
      </c>
      <c r="C795" s="74"/>
      <c r="D795" s="75" t="s">
        <v>1767</v>
      </c>
      <c r="E795" s="74" t="s">
        <v>2390</v>
      </c>
      <c r="H795"/>
      <c r="I795"/>
      <c r="J795" s="34" t="s">
        <v>2156</v>
      </c>
      <c r="K795" s="34">
        <v>16</v>
      </c>
    </row>
    <row r="796" spans="1:11" ht="18" customHeight="1" x14ac:dyDescent="0.4">
      <c r="A796" s="34">
        <f t="shared" si="26"/>
        <v>795</v>
      </c>
      <c r="B796" s="74" t="s">
        <v>2230</v>
      </c>
      <c r="C796" s="74"/>
      <c r="D796" s="75" t="s">
        <v>1767</v>
      </c>
      <c r="E796" s="74" t="s">
        <v>2390</v>
      </c>
      <c r="H796"/>
      <c r="I796"/>
      <c r="J796" s="34" t="s">
        <v>2157</v>
      </c>
      <c r="K796" s="34">
        <v>15</v>
      </c>
    </row>
    <row r="797" spans="1:11" ht="18" customHeight="1" x14ac:dyDescent="0.4">
      <c r="A797" s="34">
        <f t="shared" si="26"/>
        <v>796</v>
      </c>
      <c r="B797" s="74" t="s">
        <v>2230</v>
      </c>
      <c r="C797" s="74"/>
      <c r="D797" s="75" t="s">
        <v>1767</v>
      </c>
      <c r="E797" s="74" t="s">
        <v>2390</v>
      </c>
      <c r="H797"/>
      <c r="I797"/>
      <c r="J797" s="34" t="s">
        <v>2157</v>
      </c>
      <c r="K797" s="34">
        <v>16</v>
      </c>
    </row>
    <row r="798" spans="1:11" ht="18" customHeight="1" x14ac:dyDescent="0.4">
      <c r="A798" s="34">
        <f t="shared" si="26"/>
        <v>797</v>
      </c>
      <c r="B798" s="74" t="s">
        <v>2230</v>
      </c>
      <c r="C798" s="74"/>
      <c r="D798" s="75" t="s">
        <v>1767</v>
      </c>
      <c r="E798" s="74" t="s">
        <v>2390</v>
      </c>
      <c r="H798"/>
      <c r="I798"/>
      <c r="J798" s="34" t="s">
        <v>2158</v>
      </c>
      <c r="K798" s="34">
        <v>1</v>
      </c>
    </row>
    <row r="799" spans="1:11" ht="18" customHeight="1" x14ac:dyDescent="0.4">
      <c r="A799" s="34">
        <f t="shared" si="26"/>
        <v>798</v>
      </c>
      <c r="B799" s="74" t="s">
        <v>2230</v>
      </c>
      <c r="C799" s="74"/>
      <c r="D799" s="75" t="s">
        <v>1767</v>
      </c>
      <c r="E799" s="74" t="s">
        <v>2390</v>
      </c>
      <c r="H799"/>
      <c r="I799"/>
      <c r="J799" s="34" t="s">
        <v>2158</v>
      </c>
      <c r="K799" s="34">
        <v>2</v>
      </c>
    </row>
    <row r="800" spans="1:11" ht="18" customHeight="1" x14ac:dyDescent="0.4">
      <c r="A800" s="34">
        <f t="shared" si="26"/>
        <v>799</v>
      </c>
      <c r="B800" s="74" t="s">
        <v>2230</v>
      </c>
      <c r="C800" s="74"/>
      <c r="D800" s="75" t="s">
        <v>1767</v>
      </c>
      <c r="E800" s="74" t="s">
        <v>2390</v>
      </c>
      <c r="H800"/>
      <c r="I800"/>
      <c r="J800" s="34" t="s">
        <v>2158</v>
      </c>
      <c r="K800" s="34">
        <v>3</v>
      </c>
    </row>
    <row r="801" spans="1:11" ht="18" customHeight="1" x14ac:dyDescent="0.4">
      <c r="A801" s="34">
        <f t="shared" si="26"/>
        <v>800</v>
      </c>
      <c r="B801" s="74" t="s">
        <v>2230</v>
      </c>
      <c r="C801" s="74"/>
      <c r="D801" s="75" t="s">
        <v>1767</v>
      </c>
      <c r="E801" s="74" t="s">
        <v>2390</v>
      </c>
      <c r="H801"/>
      <c r="I801"/>
      <c r="J801" s="34" t="s">
        <v>2158</v>
      </c>
      <c r="K801" s="34">
        <v>9</v>
      </c>
    </row>
    <row r="802" spans="1:11" ht="18" customHeight="1" x14ac:dyDescent="0.4">
      <c r="A802" s="34">
        <f t="shared" si="26"/>
        <v>801</v>
      </c>
      <c r="B802" s="74" t="s">
        <v>2230</v>
      </c>
      <c r="C802" s="74"/>
      <c r="D802" s="75" t="s">
        <v>1767</v>
      </c>
      <c r="E802" s="74" t="s">
        <v>2390</v>
      </c>
      <c r="H802"/>
      <c r="I802"/>
      <c r="J802" s="34" t="s">
        <v>2158</v>
      </c>
      <c r="K802" s="34">
        <v>10</v>
      </c>
    </row>
    <row r="803" spans="1:11" ht="18" customHeight="1" x14ac:dyDescent="0.4">
      <c r="A803" s="34">
        <f t="shared" si="26"/>
        <v>802</v>
      </c>
      <c r="B803" s="74" t="s">
        <v>2230</v>
      </c>
      <c r="C803" s="74"/>
      <c r="D803" s="75" t="s">
        <v>1767</v>
      </c>
      <c r="E803" s="74" t="s">
        <v>2390</v>
      </c>
      <c r="H803"/>
      <c r="I803"/>
      <c r="J803" s="34" t="s">
        <v>2158</v>
      </c>
      <c r="K803" s="34">
        <v>11</v>
      </c>
    </row>
    <row r="804" spans="1:11" ht="18" customHeight="1" x14ac:dyDescent="0.4">
      <c r="A804" s="34">
        <f t="shared" si="26"/>
        <v>803</v>
      </c>
      <c r="B804" s="74" t="s">
        <v>2230</v>
      </c>
      <c r="C804" s="74"/>
      <c r="D804" s="75" t="s">
        <v>1767</v>
      </c>
      <c r="E804" s="74" t="s">
        <v>2390</v>
      </c>
      <c r="H804"/>
      <c r="I804"/>
      <c r="J804" s="34" t="s">
        <v>2158</v>
      </c>
      <c r="K804" s="34">
        <v>12</v>
      </c>
    </row>
    <row r="805" spans="1:11" ht="18" customHeight="1" x14ac:dyDescent="0.4">
      <c r="A805" s="34">
        <f t="shared" si="26"/>
        <v>804</v>
      </c>
      <c r="B805" s="74" t="s">
        <v>2230</v>
      </c>
      <c r="C805" s="74"/>
      <c r="D805" s="75" t="s">
        <v>1767</v>
      </c>
      <c r="E805" s="74" t="s">
        <v>2390</v>
      </c>
      <c r="H805"/>
      <c r="I805"/>
      <c r="J805" s="34" t="s">
        <v>2158</v>
      </c>
      <c r="K805" s="34">
        <v>13</v>
      </c>
    </row>
    <row r="806" spans="1:11" ht="18" customHeight="1" x14ac:dyDescent="0.4">
      <c r="A806" s="34">
        <f t="shared" si="26"/>
        <v>805</v>
      </c>
      <c r="B806" s="74" t="s">
        <v>2230</v>
      </c>
      <c r="C806" s="74"/>
      <c r="D806" s="75" t="s">
        <v>1767</v>
      </c>
      <c r="E806" s="74" t="s">
        <v>2390</v>
      </c>
      <c r="H806"/>
      <c r="I806"/>
      <c r="J806" s="34" t="s">
        <v>2158</v>
      </c>
      <c r="K806" s="34">
        <v>14</v>
      </c>
    </row>
    <row r="807" spans="1:11" ht="18" customHeight="1" x14ac:dyDescent="0.4">
      <c r="A807" s="34">
        <f t="shared" si="26"/>
        <v>806</v>
      </c>
      <c r="B807" s="74" t="s">
        <v>2230</v>
      </c>
      <c r="C807" s="74"/>
      <c r="D807" s="75" t="s">
        <v>1767</v>
      </c>
      <c r="E807" s="74" t="s">
        <v>2390</v>
      </c>
      <c r="H807"/>
      <c r="I807"/>
      <c r="J807" s="34" t="s">
        <v>2158</v>
      </c>
      <c r="K807" s="34">
        <v>15</v>
      </c>
    </row>
    <row r="808" spans="1:11" ht="18" customHeight="1" x14ac:dyDescent="0.4">
      <c r="A808" s="34">
        <f t="shared" si="26"/>
        <v>807</v>
      </c>
      <c r="B808" s="74" t="s">
        <v>2230</v>
      </c>
      <c r="C808" s="74"/>
      <c r="D808" s="75" t="s">
        <v>1767</v>
      </c>
      <c r="E808" s="74" t="s">
        <v>2390</v>
      </c>
      <c r="H808"/>
      <c r="I808"/>
      <c r="J808" s="34" t="s">
        <v>2158</v>
      </c>
      <c r="K808" s="34">
        <v>16</v>
      </c>
    </row>
    <row r="809" spans="1:11" ht="18" customHeight="1" x14ac:dyDescent="0.4">
      <c r="A809" s="34">
        <f t="shared" si="26"/>
        <v>808</v>
      </c>
      <c r="B809" s="74" t="s">
        <v>2230</v>
      </c>
      <c r="C809" s="74"/>
      <c r="D809" s="75" t="s">
        <v>1767</v>
      </c>
      <c r="E809" s="74" t="s">
        <v>2390</v>
      </c>
      <c r="H809"/>
      <c r="I809"/>
      <c r="J809" s="34" t="s">
        <v>2161</v>
      </c>
      <c r="K809" s="34">
        <v>1</v>
      </c>
    </row>
    <row r="810" spans="1:11" ht="18" customHeight="1" x14ac:dyDescent="0.4">
      <c r="A810" s="34">
        <f t="shared" si="26"/>
        <v>809</v>
      </c>
      <c r="B810" s="74" t="s">
        <v>2230</v>
      </c>
      <c r="C810" s="74"/>
      <c r="D810" s="75" t="s">
        <v>1767</v>
      </c>
      <c r="E810" s="74" t="s">
        <v>2390</v>
      </c>
      <c r="H810"/>
      <c r="I810"/>
      <c r="J810" s="34" t="s">
        <v>2161</v>
      </c>
      <c r="K810" s="34">
        <v>2</v>
      </c>
    </row>
    <row r="811" spans="1:11" ht="18" customHeight="1" x14ac:dyDescent="0.4">
      <c r="A811" s="34">
        <f t="shared" si="26"/>
        <v>810</v>
      </c>
      <c r="B811" s="74" t="s">
        <v>2230</v>
      </c>
      <c r="C811" s="74"/>
      <c r="D811" s="75" t="s">
        <v>1767</v>
      </c>
      <c r="E811" s="74" t="s">
        <v>2390</v>
      </c>
      <c r="H811"/>
      <c r="I811"/>
      <c r="J811" s="34" t="s">
        <v>2161</v>
      </c>
      <c r="K811" s="34">
        <v>3</v>
      </c>
    </row>
    <row r="812" spans="1:11" ht="18" customHeight="1" x14ac:dyDescent="0.4">
      <c r="A812" s="34">
        <f t="shared" si="26"/>
        <v>811</v>
      </c>
      <c r="B812" s="74" t="s">
        <v>2230</v>
      </c>
      <c r="C812" s="74"/>
      <c r="D812" s="75" t="s">
        <v>1767</v>
      </c>
      <c r="E812" s="74" t="s">
        <v>2390</v>
      </c>
      <c r="H812"/>
      <c r="I812"/>
      <c r="J812" s="34" t="s">
        <v>2161</v>
      </c>
      <c r="K812" s="34">
        <v>4</v>
      </c>
    </row>
    <row r="813" spans="1:11" ht="18" customHeight="1" x14ac:dyDescent="0.4">
      <c r="A813" s="34">
        <f t="shared" si="26"/>
        <v>812</v>
      </c>
      <c r="B813" s="74" t="s">
        <v>2230</v>
      </c>
      <c r="C813" s="74"/>
      <c r="D813" s="75" t="s">
        <v>1767</v>
      </c>
      <c r="E813" s="74" t="s">
        <v>2390</v>
      </c>
      <c r="H813"/>
      <c r="I813"/>
      <c r="J813" s="34" t="s">
        <v>2161</v>
      </c>
      <c r="K813" s="34">
        <v>5</v>
      </c>
    </row>
    <row r="814" spans="1:11" ht="18" customHeight="1" x14ac:dyDescent="0.4">
      <c r="A814" s="34">
        <f t="shared" si="26"/>
        <v>813</v>
      </c>
      <c r="B814" s="74" t="s">
        <v>2230</v>
      </c>
      <c r="C814" s="74"/>
      <c r="D814" s="75" t="s">
        <v>1767</v>
      </c>
      <c r="E814" s="74" t="s">
        <v>2390</v>
      </c>
      <c r="H814"/>
      <c r="I814"/>
      <c r="J814" s="34" t="s">
        <v>2161</v>
      </c>
      <c r="K814" s="34">
        <v>6</v>
      </c>
    </row>
    <row r="815" spans="1:11" ht="18" customHeight="1" x14ac:dyDescent="0.4">
      <c r="A815" s="34">
        <f t="shared" si="26"/>
        <v>814</v>
      </c>
      <c r="B815" s="74" t="s">
        <v>2230</v>
      </c>
      <c r="C815" s="74"/>
      <c r="D815" s="75" t="s">
        <v>1767</v>
      </c>
      <c r="E815" s="74" t="s">
        <v>2390</v>
      </c>
      <c r="H815"/>
      <c r="I815"/>
      <c r="J815" s="34" t="s">
        <v>2161</v>
      </c>
      <c r="K815" s="34">
        <v>7</v>
      </c>
    </row>
    <row r="816" spans="1:11" ht="18" customHeight="1" x14ac:dyDescent="0.4">
      <c r="A816" s="34">
        <f t="shared" si="26"/>
        <v>815</v>
      </c>
      <c r="B816" s="74" t="s">
        <v>2230</v>
      </c>
      <c r="C816" s="74"/>
      <c r="D816" s="75" t="s">
        <v>1767</v>
      </c>
      <c r="E816" s="74" t="s">
        <v>2390</v>
      </c>
      <c r="H816"/>
      <c r="I816"/>
      <c r="J816" s="34" t="s">
        <v>2161</v>
      </c>
      <c r="K816" s="34">
        <v>8</v>
      </c>
    </row>
    <row r="817" spans="1:11" ht="18" customHeight="1" x14ac:dyDescent="0.4">
      <c r="A817" s="34">
        <f t="shared" si="26"/>
        <v>816</v>
      </c>
      <c r="B817" s="74" t="s">
        <v>2230</v>
      </c>
      <c r="C817" s="74"/>
      <c r="D817" s="75" t="s">
        <v>1767</v>
      </c>
      <c r="E817" s="74" t="s">
        <v>2390</v>
      </c>
      <c r="H817"/>
      <c r="I817"/>
      <c r="J817" s="34" t="s">
        <v>2161</v>
      </c>
      <c r="K817" s="34">
        <v>9</v>
      </c>
    </row>
    <row r="818" spans="1:11" ht="18" customHeight="1" x14ac:dyDescent="0.4">
      <c r="A818" s="34">
        <f t="shared" si="26"/>
        <v>817</v>
      </c>
      <c r="B818" s="74" t="s">
        <v>2230</v>
      </c>
      <c r="C818" s="74"/>
      <c r="D818" s="75" t="s">
        <v>1767</v>
      </c>
      <c r="E818" s="74" t="s">
        <v>2390</v>
      </c>
      <c r="H818"/>
      <c r="I818"/>
      <c r="J818" s="34" t="s">
        <v>2161</v>
      </c>
      <c r="K818" s="34">
        <v>10</v>
      </c>
    </row>
    <row r="819" spans="1:11" ht="18" customHeight="1" x14ac:dyDescent="0.4">
      <c r="A819" s="34">
        <f t="shared" si="26"/>
        <v>818</v>
      </c>
      <c r="B819" s="74" t="s">
        <v>2230</v>
      </c>
      <c r="C819" s="74"/>
      <c r="D819" s="75" t="s">
        <v>1767</v>
      </c>
      <c r="E819" s="74" t="s">
        <v>2390</v>
      </c>
      <c r="H819"/>
      <c r="I819"/>
      <c r="J819" s="34" t="s">
        <v>2161</v>
      </c>
      <c r="K819" s="34">
        <v>11</v>
      </c>
    </row>
    <row r="820" spans="1:11" ht="18" customHeight="1" x14ac:dyDescent="0.4">
      <c r="A820" s="34">
        <f t="shared" si="26"/>
        <v>819</v>
      </c>
      <c r="B820" s="74" t="s">
        <v>2230</v>
      </c>
      <c r="C820" s="74"/>
      <c r="D820" s="75" t="s">
        <v>1767</v>
      </c>
      <c r="E820" s="74" t="s">
        <v>2390</v>
      </c>
      <c r="H820"/>
      <c r="I820"/>
      <c r="J820" s="34" t="s">
        <v>2161</v>
      </c>
      <c r="K820" s="34">
        <v>12</v>
      </c>
    </row>
    <row r="821" spans="1:11" ht="18" customHeight="1" x14ac:dyDescent="0.4">
      <c r="A821" s="34">
        <f t="shared" si="26"/>
        <v>820</v>
      </c>
      <c r="B821" s="74" t="s">
        <v>2230</v>
      </c>
      <c r="C821" s="74"/>
      <c r="D821" s="75" t="s">
        <v>1767</v>
      </c>
      <c r="E821" s="74" t="s">
        <v>2390</v>
      </c>
      <c r="H821"/>
      <c r="I821"/>
      <c r="J821" s="34" t="s">
        <v>2161</v>
      </c>
      <c r="K821" s="34">
        <v>13</v>
      </c>
    </row>
    <row r="822" spans="1:11" ht="18" customHeight="1" x14ac:dyDescent="0.4">
      <c r="A822" s="34">
        <f t="shared" si="26"/>
        <v>821</v>
      </c>
      <c r="B822" s="74" t="s">
        <v>2230</v>
      </c>
      <c r="C822" s="74"/>
      <c r="D822" s="75" t="s">
        <v>1767</v>
      </c>
      <c r="E822" s="74" t="s">
        <v>2390</v>
      </c>
      <c r="H822"/>
      <c r="I822"/>
      <c r="J822" s="34" t="s">
        <v>2161</v>
      </c>
      <c r="K822" s="34">
        <v>15</v>
      </c>
    </row>
    <row r="823" spans="1:11" ht="18" customHeight="1" x14ac:dyDescent="0.4">
      <c r="A823" s="34">
        <f t="shared" si="26"/>
        <v>822</v>
      </c>
      <c r="B823" s="74" t="s">
        <v>2230</v>
      </c>
      <c r="C823" s="74"/>
      <c r="D823" s="75" t="s">
        <v>1767</v>
      </c>
      <c r="E823" s="74" t="s">
        <v>2390</v>
      </c>
      <c r="H823"/>
      <c r="I823"/>
      <c r="J823" s="34" t="s">
        <v>2161</v>
      </c>
      <c r="K823" s="34">
        <v>16</v>
      </c>
    </row>
    <row r="824" spans="1:11" ht="18" customHeight="1" x14ac:dyDescent="0.4">
      <c r="A824" s="34">
        <f t="shared" ref="A824:A837" si="27">IF(COUNTA(B824:I824)=0,"",ROW()-1)</f>
        <v>823</v>
      </c>
      <c r="B824" s="76" t="s">
        <v>1767</v>
      </c>
      <c r="C824" s="77"/>
      <c r="D824" s="77" t="s">
        <v>821</v>
      </c>
      <c r="E824" s="78" t="s">
        <v>2390</v>
      </c>
      <c r="F824" s="34"/>
      <c r="G824" s="34"/>
      <c r="H824" s="35"/>
      <c r="I824" s="34"/>
      <c r="J824" s="34" t="s">
        <v>2161</v>
      </c>
      <c r="K824" s="34">
        <v>2</v>
      </c>
    </row>
    <row r="825" spans="1:11" ht="18" customHeight="1" x14ac:dyDescent="0.4">
      <c r="A825" s="34">
        <f t="shared" si="27"/>
        <v>824</v>
      </c>
      <c r="B825" s="76" t="s">
        <v>1767</v>
      </c>
      <c r="C825" s="77"/>
      <c r="D825" s="77" t="s">
        <v>821</v>
      </c>
      <c r="E825" s="78" t="s">
        <v>2390</v>
      </c>
      <c r="F825" s="34"/>
      <c r="G825" s="34"/>
      <c r="H825" s="35"/>
      <c r="I825" s="34"/>
      <c r="J825" s="34" t="s">
        <v>2161</v>
      </c>
      <c r="K825" s="34">
        <v>3</v>
      </c>
    </row>
    <row r="826" spans="1:11" ht="18" customHeight="1" x14ac:dyDescent="0.4">
      <c r="A826" s="34">
        <f t="shared" si="27"/>
        <v>825</v>
      </c>
      <c r="B826" s="76" t="s">
        <v>1767</v>
      </c>
      <c r="C826" s="77"/>
      <c r="D826" s="77" t="s">
        <v>821</v>
      </c>
      <c r="E826" s="78" t="s">
        <v>2390</v>
      </c>
      <c r="F826" s="34"/>
      <c r="G826" s="34"/>
      <c r="H826" s="35"/>
      <c r="I826" s="34"/>
      <c r="J826" s="34" t="s">
        <v>2161</v>
      </c>
      <c r="K826" s="34">
        <v>4</v>
      </c>
    </row>
    <row r="827" spans="1:11" ht="18" customHeight="1" x14ac:dyDescent="0.4">
      <c r="A827" s="34">
        <f t="shared" si="27"/>
        <v>826</v>
      </c>
      <c r="B827" s="76" t="s">
        <v>1767</v>
      </c>
      <c r="C827" s="77"/>
      <c r="D827" s="77" t="s">
        <v>821</v>
      </c>
      <c r="E827" s="78" t="s">
        <v>2390</v>
      </c>
      <c r="F827" s="34"/>
      <c r="G827" s="34"/>
      <c r="H827" s="35"/>
      <c r="I827" s="34"/>
      <c r="J827" s="34" t="s">
        <v>2161</v>
      </c>
      <c r="K827" s="34">
        <v>5</v>
      </c>
    </row>
    <row r="828" spans="1:11" ht="18" customHeight="1" x14ac:dyDescent="0.4">
      <c r="A828" s="34">
        <f t="shared" si="27"/>
        <v>827</v>
      </c>
      <c r="B828" s="76" t="s">
        <v>1767</v>
      </c>
      <c r="C828" s="77"/>
      <c r="D828" s="77" t="s">
        <v>821</v>
      </c>
      <c r="E828" s="78" t="s">
        <v>2390</v>
      </c>
      <c r="F828" s="34"/>
      <c r="G828" s="34"/>
      <c r="H828" s="35"/>
      <c r="I828" s="34"/>
      <c r="J828" s="34" t="s">
        <v>2161</v>
      </c>
      <c r="K828" s="34">
        <v>6</v>
      </c>
    </row>
    <row r="829" spans="1:11" ht="18" customHeight="1" x14ac:dyDescent="0.4">
      <c r="A829" s="34">
        <f t="shared" si="27"/>
        <v>828</v>
      </c>
      <c r="B829" s="76" t="s">
        <v>1767</v>
      </c>
      <c r="C829" s="77"/>
      <c r="D829" s="77" t="s">
        <v>821</v>
      </c>
      <c r="E829" s="78" t="s">
        <v>2390</v>
      </c>
      <c r="F829" s="34"/>
      <c r="G829" s="34"/>
      <c r="H829" s="35"/>
      <c r="I829" s="34"/>
      <c r="J829" s="34" t="s">
        <v>2161</v>
      </c>
      <c r="K829" s="34">
        <v>7</v>
      </c>
    </row>
    <row r="830" spans="1:11" ht="18" customHeight="1" x14ac:dyDescent="0.4">
      <c r="A830" s="34">
        <f t="shared" si="27"/>
        <v>829</v>
      </c>
      <c r="B830" s="76" t="s">
        <v>1767</v>
      </c>
      <c r="C830" s="77"/>
      <c r="D830" s="77" t="s">
        <v>821</v>
      </c>
      <c r="E830" s="78" t="s">
        <v>2390</v>
      </c>
      <c r="F830" s="34"/>
      <c r="G830" s="34"/>
      <c r="H830" s="35"/>
      <c r="I830" s="34"/>
      <c r="J830" s="34" t="s">
        <v>2161</v>
      </c>
      <c r="K830" s="34">
        <v>8</v>
      </c>
    </row>
    <row r="831" spans="1:11" ht="18" customHeight="1" x14ac:dyDescent="0.4">
      <c r="A831" s="34">
        <f t="shared" si="27"/>
        <v>830</v>
      </c>
      <c r="B831" s="76" t="s">
        <v>1767</v>
      </c>
      <c r="C831" s="77"/>
      <c r="D831" s="77" t="s">
        <v>821</v>
      </c>
      <c r="E831" s="78" t="s">
        <v>2390</v>
      </c>
      <c r="F831" s="34"/>
      <c r="G831" s="34"/>
      <c r="H831" s="35"/>
      <c r="I831" s="34"/>
      <c r="J831" s="34" t="s">
        <v>2161</v>
      </c>
      <c r="K831" s="34">
        <v>9</v>
      </c>
    </row>
    <row r="832" spans="1:11" ht="18" customHeight="1" x14ac:dyDescent="0.4">
      <c r="A832" s="34">
        <f t="shared" si="27"/>
        <v>831</v>
      </c>
      <c r="B832" s="76" t="s">
        <v>1767</v>
      </c>
      <c r="C832" s="77"/>
      <c r="D832" s="77" t="s">
        <v>821</v>
      </c>
      <c r="E832" s="78" t="s">
        <v>2390</v>
      </c>
      <c r="F832" s="34"/>
      <c r="G832" s="34"/>
      <c r="H832" s="35"/>
      <c r="I832" s="34"/>
      <c r="J832" s="34" t="s">
        <v>2161</v>
      </c>
      <c r="K832" s="34">
        <v>10</v>
      </c>
    </row>
    <row r="833" spans="1:11" ht="18" customHeight="1" x14ac:dyDescent="0.4">
      <c r="A833" s="34">
        <f t="shared" si="27"/>
        <v>832</v>
      </c>
      <c r="B833" s="76" t="s">
        <v>1767</v>
      </c>
      <c r="C833" s="77"/>
      <c r="D833" s="77" t="s">
        <v>821</v>
      </c>
      <c r="E833" s="78" t="s">
        <v>2390</v>
      </c>
      <c r="F833" s="34"/>
      <c r="G833" s="34"/>
      <c r="H833" s="35"/>
      <c r="I833" s="34"/>
      <c r="J833" s="34" t="s">
        <v>2161</v>
      </c>
      <c r="K833" s="34">
        <v>11</v>
      </c>
    </row>
    <row r="834" spans="1:11" ht="18" customHeight="1" x14ac:dyDescent="0.4">
      <c r="A834" s="34">
        <f t="shared" si="27"/>
        <v>833</v>
      </c>
      <c r="B834" s="76" t="s">
        <v>1767</v>
      </c>
      <c r="C834" s="77"/>
      <c r="D834" s="77" t="s">
        <v>821</v>
      </c>
      <c r="E834" s="78" t="s">
        <v>2390</v>
      </c>
      <c r="F834" s="34"/>
      <c r="G834" s="34"/>
      <c r="H834" s="35"/>
      <c r="I834" s="34"/>
      <c r="J834" s="34" t="s">
        <v>2161</v>
      </c>
      <c r="K834" s="34">
        <v>12</v>
      </c>
    </row>
    <row r="835" spans="1:11" ht="18" customHeight="1" x14ac:dyDescent="0.4">
      <c r="A835" s="34">
        <f t="shared" si="27"/>
        <v>834</v>
      </c>
      <c r="B835" s="76" t="s">
        <v>1767</v>
      </c>
      <c r="C835" s="77"/>
      <c r="D835" s="77" t="s">
        <v>821</v>
      </c>
      <c r="E835" s="78" t="s">
        <v>2390</v>
      </c>
      <c r="F835" s="34"/>
      <c r="G835" s="34"/>
      <c r="H835" s="35"/>
      <c r="I835" s="34"/>
      <c r="J835" s="34" t="s">
        <v>2161</v>
      </c>
      <c r="K835" s="34">
        <v>13</v>
      </c>
    </row>
    <row r="836" spans="1:11" ht="18" customHeight="1" x14ac:dyDescent="0.4">
      <c r="A836" s="34">
        <f t="shared" si="27"/>
        <v>835</v>
      </c>
      <c r="B836" s="63" t="s">
        <v>1207</v>
      </c>
      <c r="C836" s="63"/>
      <c r="D836" s="59" t="s">
        <v>821</v>
      </c>
      <c r="E836" s="63" t="s">
        <v>1464</v>
      </c>
      <c r="F836" s="63" t="s">
        <v>385</v>
      </c>
      <c r="G836" s="63" t="s">
        <v>96</v>
      </c>
      <c r="H836" s="79" t="s">
        <v>15</v>
      </c>
      <c r="I836" s="63" t="s">
        <v>1465</v>
      </c>
      <c r="J836" s="34" t="s">
        <v>2161</v>
      </c>
      <c r="K836" s="34">
        <v>63</v>
      </c>
    </row>
    <row r="837" spans="1:11" ht="18" customHeight="1" x14ac:dyDescent="0.4">
      <c r="A837" s="34">
        <f t="shared" si="27"/>
        <v>836</v>
      </c>
      <c r="B837" s="60" t="s">
        <v>1207</v>
      </c>
      <c r="C837" s="60"/>
      <c r="D837" s="59" t="s">
        <v>821</v>
      </c>
      <c r="E837" s="61" t="s">
        <v>1461</v>
      </c>
      <c r="F837" s="61" t="s">
        <v>1462</v>
      </c>
      <c r="G837" s="61" t="s">
        <v>72</v>
      </c>
      <c r="H837" s="79" t="s">
        <v>15</v>
      </c>
      <c r="I837" s="60" t="s">
        <v>1463</v>
      </c>
      <c r="J837" s="34" t="s">
        <v>2161</v>
      </c>
      <c r="K837" s="34">
        <v>64</v>
      </c>
    </row>
    <row r="838" spans="1:11" ht="23.25" customHeight="1" x14ac:dyDescent="0.4">
      <c r="A838" s="34">
        <f>IF(COUNTA(#REF!)=0,"",ROW()-1)</f>
        <v>837</v>
      </c>
      <c r="D838" s="59" t="s">
        <v>821</v>
      </c>
      <c r="E838" s="2" t="s">
        <v>646</v>
      </c>
      <c r="F838" t="s">
        <v>705</v>
      </c>
      <c r="H838" s="46" t="s">
        <v>15</v>
      </c>
      <c r="I838" s="4" t="s">
        <v>2227</v>
      </c>
      <c r="J838" s="34" t="s">
        <v>2161</v>
      </c>
      <c r="K838" s="34">
        <v>11</v>
      </c>
    </row>
  </sheetData>
  <autoFilter ref="A1:CA839" xr:uid="{00000000-0001-0000-0000-000000000000}">
    <filterColumn colId="7">
      <filters blank="1">
        <filter val="PENDIENTE"/>
        <filter val="SI"/>
      </filters>
    </filterColumn>
    <sortState xmlns:xlrd2="http://schemas.microsoft.com/office/spreadsheetml/2017/richdata2" ref="A178:CA667">
      <sortCondition ref="K1:K839"/>
    </sortState>
  </autoFilter>
  <conditionalFormatting sqref="H2:H740">
    <cfRule type="expression" dxfId="44" priority="75">
      <formula>$H2="SI"</formula>
    </cfRule>
    <cfRule type="expression" dxfId="43" priority="74">
      <formula>OR($H2="PENDIENTE",$H2="")</formula>
    </cfRule>
    <cfRule type="expression" dxfId="42" priority="72">
      <formula>$H2="SI"</formula>
    </cfRule>
    <cfRule type="cellIs" dxfId="41" priority="79" operator="equal">
      <formula>"PENDIENTE"</formula>
    </cfRule>
    <cfRule type="cellIs" dxfId="40" priority="78" operator="equal">
      <formula>"NO"</formula>
    </cfRule>
    <cfRule type="cellIs" dxfId="39" priority="77" operator="equal">
      <formula>"SI"</formula>
    </cfRule>
    <cfRule type="expression" dxfId="38" priority="73">
      <formula>$H2="NO"</formula>
    </cfRule>
    <cfRule type="expression" dxfId="37" priority="76">
      <formula>$H2="NO"</formula>
    </cfRule>
  </conditionalFormatting>
  <conditionalFormatting sqref="H2:H744">
    <cfRule type="expression" dxfId="36" priority="82">
      <formula>OR(UPPER($H2)="PENDIENTE",$H2="")</formula>
    </cfRule>
    <cfRule type="expression" dxfId="35" priority="81">
      <formula>UPPER($H2)="NO"</formula>
    </cfRule>
    <cfRule type="expression" dxfId="34" priority="80">
      <formula>UPPER($H2)="SI"</formula>
    </cfRule>
  </conditionalFormatting>
  <conditionalFormatting sqref="H745:H791 H824:H835">
    <cfRule type="expression" dxfId="33" priority="25">
      <formula>UPPER($J745)="NO"</formula>
    </cfRule>
  </conditionalFormatting>
  <conditionalFormatting sqref="H745:H791 H824:H836">
    <cfRule type="expression" dxfId="32" priority="26">
      <formula>OR(UPPER($J745)="PENDIENTE",$J745="")</formula>
    </cfRule>
  </conditionalFormatting>
  <conditionalFormatting sqref="H745:H791">
    <cfRule type="expression" dxfId="31" priority="24">
      <formula>UPPER($J745)="SI"</formula>
    </cfRule>
  </conditionalFormatting>
  <conditionalFormatting sqref="H824:H836">
    <cfRule type="expression" dxfId="30" priority="12">
      <formula>UPPER($J824)="SI"</formula>
    </cfRule>
  </conditionalFormatting>
  <conditionalFormatting sqref="H836">
    <cfRule type="cellIs" dxfId="29" priority="83" operator="equal">
      <formula>"SI"</formula>
    </cfRule>
    <cfRule type="cellIs" dxfId="28" priority="83" operator="equal">
      <formula>"PENDIENTE"</formula>
    </cfRule>
    <cfRule type="expression" dxfId="27" priority="83">
      <formula>OR($J836="PENDIENTE",$J836="")</formula>
    </cfRule>
    <cfRule type="expression" dxfId="26" priority="83">
      <formula>$J836="NO"</formula>
    </cfRule>
    <cfRule type="expression" dxfId="25" priority="83">
      <formula>UPPER($J836)="NO"</formula>
    </cfRule>
  </conditionalFormatting>
  <conditionalFormatting sqref="H836:H837">
    <cfRule type="expression" dxfId="24" priority="10">
      <formula>$J836="NO"</formula>
    </cfRule>
    <cfRule type="expression" dxfId="23" priority="10">
      <formula>$J836="SI"</formula>
    </cfRule>
    <cfRule type="expression" dxfId="22" priority="84">
      <formula>$J836="SI"</formula>
    </cfRule>
    <cfRule type="cellIs" dxfId="21" priority="16" operator="equal">
      <formula>"NO"</formula>
    </cfRule>
  </conditionalFormatting>
  <conditionalFormatting sqref="H837">
    <cfRule type="expression" dxfId="20" priority="14">
      <formula>$J837="NO"</formula>
    </cfRule>
    <cfRule type="expression" dxfId="19" priority="20">
      <formula>OR(UPPER($J837)="PENDIENTE",$J837="")</formula>
    </cfRule>
    <cfRule type="expression" dxfId="18" priority="19">
      <formula>UPPER($J837)="NO"</formula>
    </cfRule>
    <cfRule type="expression" dxfId="17" priority="18">
      <formula>UPPER($J837)="SI"</formula>
    </cfRule>
    <cfRule type="cellIs" dxfId="16" priority="17" operator="equal">
      <formula>"PENDIENTE"</formula>
    </cfRule>
    <cfRule type="cellIs" dxfId="15" priority="15" operator="equal">
      <formula>"SI"</formula>
    </cfRule>
    <cfRule type="expression" dxfId="14" priority="85">
      <formula>OR($J837="PENDIENTE",$J837="")</formula>
    </cfRule>
  </conditionalFormatting>
  <conditionalFormatting sqref="H838">
    <cfRule type="expression" dxfId="13" priority="47">
      <formula>UPPER($H838)="NO"</formula>
    </cfRule>
    <cfRule type="expression" dxfId="12" priority="48">
      <formula>OR(UPPER($H838)="PENDIENTE",$H838="")</formula>
    </cfRule>
    <cfRule type="cellIs" dxfId="11" priority="44" operator="equal">
      <formula>"NO"</formula>
    </cfRule>
    <cfRule type="cellIs" dxfId="10" priority="45" operator="equal">
      <formula>"PENDIENTE"</formula>
    </cfRule>
    <cfRule type="cellIs" dxfId="9" priority="43" operator="equal">
      <formula>"SI"</formula>
    </cfRule>
    <cfRule type="expression" dxfId="8" priority="42">
      <formula>$H838="NO"</formula>
    </cfRule>
    <cfRule type="expression" dxfId="7" priority="41">
      <formula>$H838="SI"</formula>
    </cfRule>
    <cfRule type="expression" dxfId="6" priority="31">
      <formula>$H838="NO"</formula>
    </cfRule>
    <cfRule type="expression" dxfId="5" priority="30">
      <formula>$H838="SI"</formula>
    </cfRule>
    <cfRule type="expression" dxfId="4" priority="40">
      <formula>OR($H838="PENDIENTE",$H838="")</formula>
    </cfRule>
    <cfRule type="expression" dxfId="3" priority="46">
      <formula>UPPER($H838)="SI"</formula>
    </cfRule>
  </conditionalFormatting>
  <conditionalFormatting sqref="I745:I823">
    <cfRule type="expression" dxfId="2" priority="23">
      <formula>OR(UPPER($K745)="PENDIENTE",$K745="")</formula>
    </cfRule>
    <cfRule type="expression" dxfId="1" priority="22">
      <formula>UPPER($K745)="NO"</formula>
    </cfRule>
    <cfRule type="expression" dxfId="0" priority="21">
      <formula>UPPER($K745)="SI"</formula>
    </cfRule>
  </conditionalFormatting>
  <dataValidations disablePrompts="1" count="4">
    <dataValidation type="list" showInputMessage="1" promptTitle="Asistencia" prompt="Seleccione SI, NO o Pendiente." sqref="G277 G319 I476 I489:I526" xr:uid="{00000000-0002-0000-0000-000000000000}">
      <formula1>"SI,NO,Pendiente,"</formula1>
      <formula2>0</formula2>
    </dataValidation>
    <dataValidation type="list" sqref="H2:H791 H824:H838 I745:I823" xr:uid="{00000000-0002-0000-0000-000001000000}">
      <formula1>"SI,NO,PENDIENTE"</formula1>
      <formula2>0</formula2>
    </dataValidation>
    <dataValidation type="list" sqref="H2:H791 H824:H838 I745:I823" xr:uid="{00000000-0002-0000-0000-000002000000}">
      <formula1>"SI,NO,PENDIENTE"</formula1>
    </dataValidation>
    <dataValidation type="list" allowBlank="1" sqref="H2:H791 H824:H838 I745:I823" xr:uid="{00000000-0002-0000-0000-000003000000}">
      <formula1>"SI,NO,PENDIENTE"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A01D-DDCC-497D-9428-435045EEEFD6}">
  <dimension ref="A1:BO11"/>
  <sheetViews>
    <sheetView tabSelected="1" workbookViewId="0">
      <selection activeCell="J22" sqref="J22"/>
    </sheetView>
  </sheetViews>
  <sheetFormatPr baseColWidth="10" defaultRowHeight="12.5" x14ac:dyDescent="0.25"/>
  <cols>
    <col min="1" max="1" width="17.81640625" bestFit="1" customWidth="1"/>
    <col min="2" max="2" width="23" bestFit="1" customWidth="1"/>
    <col min="3" max="65" width="3" bestFit="1" customWidth="1"/>
    <col min="66" max="66" width="11.1796875" bestFit="1" customWidth="1"/>
    <col min="67" max="67" width="13.1796875" bestFit="1" customWidth="1"/>
    <col min="68" max="74" width="3" bestFit="1" customWidth="1"/>
    <col min="75" max="75" width="11.1796875" bestFit="1" customWidth="1"/>
    <col min="76" max="76" width="8" bestFit="1" customWidth="1"/>
    <col min="77" max="77" width="13.1796875" bestFit="1" customWidth="1"/>
    <col min="78" max="85" width="2" bestFit="1" customWidth="1"/>
    <col min="86" max="92" width="3" bestFit="1" customWidth="1"/>
    <col min="93" max="93" width="16.453125" bestFit="1" customWidth="1"/>
    <col min="94" max="94" width="13.1796875" bestFit="1" customWidth="1"/>
  </cols>
  <sheetData>
    <row r="1" spans="1:67" x14ac:dyDescent="0.25">
      <c r="A1" s="80" t="s">
        <v>3</v>
      </c>
      <c r="B1" t="s">
        <v>2396</v>
      </c>
    </row>
    <row r="3" spans="1:67" x14ac:dyDescent="0.25">
      <c r="A3" s="80" t="s">
        <v>2395</v>
      </c>
      <c r="B3" s="80" t="s">
        <v>2394</v>
      </c>
    </row>
    <row r="4" spans="1:67" x14ac:dyDescent="0.25">
      <c r="A4" s="80" t="s">
        <v>2391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 t="s">
        <v>2392</v>
      </c>
      <c r="BO4" t="s">
        <v>2393</v>
      </c>
    </row>
    <row r="5" spans="1:67" x14ac:dyDescent="0.25">
      <c r="A5" s="81" t="s">
        <v>2155</v>
      </c>
      <c r="B5">
        <v>3</v>
      </c>
      <c r="C5">
        <v>3</v>
      </c>
      <c r="D5">
        <v>3</v>
      </c>
      <c r="E5">
        <v>3</v>
      </c>
      <c r="F5">
        <v>3</v>
      </c>
      <c r="G5">
        <v>3</v>
      </c>
      <c r="H5">
        <v>3</v>
      </c>
      <c r="I5">
        <v>3</v>
      </c>
      <c r="J5">
        <v>3</v>
      </c>
      <c r="K5">
        <v>3</v>
      </c>
      <c r="L5">
        <v>3</v>
      </c>
      <c r="M5">
        <v>3</v>
      </c>
      <c r="N5">
        <v>3</v>
      </c>
      <c r="O5">
        <v>3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  <c r="W5">
        <v>2</v>
      </c>
      <c r="X5">
        <v>2</v>
      </c>
      <c r="Y5">
        <v>2</v>
      </c>
      <c r="Z5">
        <v>2</v>
      </c>
      <c r="AA5">
        <v>2</v>
      </c>
      <c r="AB5">
        <v>2</v>
      </c>
      <c r="AC5">
        <v>2</v>
      </c>
      <c r="AD5">
        <v>2</v>
      </c>
      <c r="AE5">
        <v>2</v>
      </c>
      <c r="AF5">
        <v>2</v>
      </c>
      <c r="AG5">
        <v>2</v>
      </c>
      <c r="AH5">
        <v>2</v>
      </c>
      <c r="AI5">
        <v>2</v>
      </c>
      <c r="AJ5">
        <v>2</v>
      </c>
      <c r="AK5">
        <v>2</v>
      </c>
      <c r="AL5">
        <v>2</v>
      </c>
      <c r="AM5">
        <v>2</v>
      </c>
      <c r="AN5">
        <v>2</v>
      </c>
      <c r="AO5">
        <v>2</v>
      </c>
      <c r="AP5">
        <v>2</v>
      </c>
      <c r="AQ5">
        <v>2</v>
      </c>
      <c r="AR5">
        <v>2</v>
      </c>
      <c r="AS5">
        <v>2</v>
      </c>
      <c r="AT5">
        <v>2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1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O5">
        <v>123</v>
      </c>
    </row>
    <row r="6" spans="1:67" x14ac:dyDescent="0.25">
      <c r="A6" s="81" t="s">
        <v>2156</v>
      </c>
      <c r="B6">
        <v>3</v>
      </c>
      <c r="C6">
        <v>3</v>
      </c>
      <c r="D6">
        <v>3</v>
      </c>
      <c r="E6">
        <v>3</v>
      </c>
      <c r="F6">
        <v>3</v>
      </c>
      <c r="G6">
        <v>3</v>
      </c>
      <c r="H6">
        <v>3</v>
      </c>
      <c r="I6">
        <v>3</v>
      </c>
      <c r="J6">
        <v>3</v>
      </c>
      <c r="K6">
        <v>3</v>
      </c>
      <c r="L6">
        <v>3</v>
      </c>
      <c r="M6">
        <v>3</v>
      </c>
      <c r="N6">
        <v>3</v>
      </c>
      <c r="O6">
        <v>3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2</v>
      </c>
      <c r="W6">
        <v>2</v>
      </c>
      <c r="X6">
        <v>2</v>
      </c>
      <c r="Y6">
        <v>2</v>
      </c>
      <c r="Z6">
        <v>2</v>
      </c>
      <c r="AA6">
        <v>2</v>
      </c>
      <c r="AB6">
        <v>2</v>
      </c>
      <c r="AC6">
        <v>2</v>
      </c>
      <c r="AD6">
        <v>2</v>
      </c>
      <c r="AE6">
        <v>2</v>
      </c>
      <c r="AF6">
        <v>2</v>
      </c>
      <c r="AG6">
        <v>2</v>
      </c>
      <c r="AH6">
        <v>2</v>
      </c>
      <c r="AI6">
        <v>2</v>
      </c>
      <c r="AJ6">
        <v>2</v>
      </c>
      <c r="AK6">
        <v>2</v>
      </c>
      <c r="AL6">
        <v>2</v>
      </c>
      <c r="AM6">
        <v>2</v>
      </c>
      <c r="AN6">
        <v>2</v>
      </c>
      <c r="AO6">
        <v>2</v>
      </c>
      <c r="AP6">
        <v>2</v>
      </c>
      <c r="AQ6">
        <v>2</v>
      </c>
      <c r="AR6">
        <v>2</v>
      </c>
      <c r="AS6">
        <v>2</v>
      </c>
      <c r="AT6">
        <v>2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1</v>
      </c>
      <c r="BF6">
        <v>1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O6">
        <v>123</v>
      </c>
    </row>
    <row r="7" spans="1:67" x14ac:dyDescent="0.25">
      <c r="A7" s="81" t="s">
        <v>2157</v>
      </c>
      <c r="B7">
        <v>3</v>
      </c>
      <c r="C7">
        <v>3</v>
      </c>
      <c r="D7">
        <v>3</v>
      </c>
      <c r="E7">
        <v>3</v>
      </c>
      <c r="F7">
        <v>3</v>
      </c>
      <c r="G7">
        <v>3</v>
      </c>
      <c r="H7">
        <v>3</v>
      </c>
      <c r="I7">
        <v>3</v>
      </c>
      <c r="J7">
        <v>3</v>
      </c>
      <c r="K7">
        <v>3</v>
      </c>
      <c r="L7">
        <v>3</v>
      </c>
      <c r="M7">
        <v>3</v>
      </c>
      <c r="N7">
        <v>3</v>
      </c>
      <c r="O7">
        <v>3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2</v>
      </c>
      <c r="X7">
        <v>2</v>
      </c>
      <c r="Y7">
        <v>2</v>
      </c>
      <c r="Z7">
        <v>2</v>
      </c>
      <c r="AA7">
        <v>2</v>
      </c>
      <c r="AB7">
        <v>2</v>
      </c>
      <c r="AC7">
        <v>2</v>
      </c>
      <c r="AD7">
        <v>2</v>
      </c>
      <c r="AE7">
        <v>2</v>
      </c>
      <c r="AF7">
        <v>2</v>
      </c>
      <c r="AG7">
        <v>2</v>
      </c>
      <c r="AH7">
        <v>2</v>
      </c>
      <c r="AI7">
        <v>2</v>
      </c>
      <c r="AJ7">
        <v>2</v>
      </c>
      <c r="AK7">
        <v>2</v>
      </c>
      <c r="AL7">
        <v>2</v>
      </c>
      <c r="AM7">
        <v>2</v>
      </c>
      <c r="AN7">
        <v>2</v>
      </c>
      <c r="AO7">
        <v>2</v>
      </c>
      <c r="AP7">
        <v>2</v>
      </c>
      <c r="AQ7">
        <v>2</v>
      </c>
      <c r="AR7">
        <v>2</v>
      </c>
      <c r="AS7">
        <v>2</v>
      </c>
      <c r="AT7">
        <v>2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1</v>
      </c>
      <c r="BF7">
        <v>1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O7">
        <v>123</v>
      </c>
    </row>
    <row r="8" spans="1:67" x14ac:dyDescent="0.25">
      <c r="A8" s="81" t="s">
        <v>2158</v>
      </c>
      <c r="B8" s="82">
        <v>2</v>
      </c>
      <c r="C8" s="82">
        <v>2</v>
      </c>
      <c r="D8" s="82">
        <v>2</v>
      </c>
      <c r="E8" s="82">
        <v>3</v>
      </c>
      <c r="F8" s="82">
        <v>3</v>
      </c>
      <c r="G8" s="82">
        <v>3</v>
      </c>
      <c r="H8" s="82">
        <v>3</v>
      </c>
      <c r="I8" s="82">
        <v>3</v>
      </c>
      <c r="J8" s="82">
        <v>2</v>
      </c>
      <c r="K8" s="82">
        <v>2</v>
      </c>
      <c r="L8" s="82">
        <v>2</v>
      </c>
      <c r="M8" s="82">
        <v>2</v>
      </c>
      <c r="N8" s="82">
        <v>2</v>
      </c>
      <c r="O8" s="82">
        <v>2</v>
      </c>
      <c r="P8">
        <v>2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2</v>
      </c>
      <c r="AG8">
        <v>2</v>
      </c>
      <c r="AH8">
        <v>2</v>
      </c>
      <c r="AI8">
        <v>2</v>
      </c>
      <c r="AJ8">
        <v>2</v>
      </c>
      <c r="AK8">
        <v>2</v>
      </c>
      <c r="AL8">
        <v>2</v>
      </c>
      <c r="AM8">
        <v>2</v>
      </c>
      <c r="AN8">
        <v>2</v>
      </c>
      <c r="AO8">
        <v>2</v>
      </c>
      <c r="AP8">
        <v>2</v>
      </c>
      <c r="AQ8">
        <v>2</v>
      </c>
      <c r="AR8">
        <v>2</v>
      </c>
      <c r="AS8">
        <v>2</v>
      </c>
      <c r="AT8">
        <v>2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1</v>
      </c>
      <c r="BC8">
        <v>1</v>
      </c>
      <c r="BD8">
        <v>1</v>
      </c>
      <c r="BE8">
        <v>1</v>
      </c>
      <c r="BF8">
        <v>1</v>
      </c>
      <c r="BG8">
        <v>1</v>
      </c>
      <c r="BH8">
        <v>1</v>
      </c>
      <c r="BI8">
        <v>1</v>
      </c>
      <c r="BJ8">
        <v>1</v>
      </c>
      <c r="BK8">
        <v>1</v>
      </c>
      <c r="BL8">
        <v>1</v>
      </c>
      <c r="BM8">
        <v>1</v>
      </c>
      <c r="BO8">
        <v>99</v>
      </c>
    </row>
    <row r="9" spans="1:67" x14ac:dyDescent="0.25">
      <c r="A9" s="81" t="s">
        <v>2161</v>
      </c>
      <c r="B9" s="82">
        <v>1</v>
      </c>
      <c r="C9" s="82"/>
      <c r="D9" s="82"/>
      <c r="E9" s="82"/>
      <c r="F9" s="82"/>
      <c r="G9" s="82"/>
      <c r="H9" s="82"/>
      <c r="I9" s="82"/>
      <c r="J9" s="82"/>
      <c r="K9" s="82"/>
      <c r="L9" s="82">
        <v>1</v>
      </c>
      <c r="M9" s="82">
        <v>1</v>
      </c>
      <c r="N9" s="82">
        <v>1</v>
      </c>
      <c r="O9" s="82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1</v>
      </c>
      <c r="BE9">
        <v>1</v>
      </c>
      <c r="BF9">
        <v>1</v>
      </c>
      <c r="BG9">
        <v>1</v>
      </c>
      <c r="BH9">
        <v>1</v>
      </c>
      <c r="BI9">
        <v>1</v>
      </c>
      <c r="BJ9">
        <v>1</v>
      </c>
      <c r="BK9">
        <v>1</v>
      </c>
      <c r="BL9">
        <v>1</v>
      </c>
      <c r="BM9">
        <v>1</v>
      </c>
      <c r="BO9">
        <v>55</v>
      </c>
    </row>
    <row r="10" spans="1:67" x14ac:dyDescent="0.25">
      <c r="A10" s="81" t="s">
        <v>2392</v>
      </c>
      <c r="BN10">
        <v>270</v>
      </c>
      <c r="BO10">
        <v>270</v>
      </c>
    </row>
    <row r="11" spans="1:67" x14ac:dyDescent="0.25">
      <c r="A11" s="81" t="s">
        <v>2393</v>
      </c>
      <c r="B11">
        <v>12</v>
      </c>
      <c r="C11">
        <v>11</v>
      </c>
      <c r="D11">
        <v>11</v>
      </c>
      <c r="E11">
        <v>12</v>
      </c>
      <c r="F11">
        <v>12</v>
      </c>
      <c r="G11">
        <v>12</v>
      </c>
      <c r="H11">
        <v>12</v>
      </c>
      <c r="I11">
        <v>12</v>
      </c>
      <c r="J11">
        <v>11</v>
      </c>
      <c r="K11">
        <v>11</v>
      </c>
      <c r="L11">
        <v>12</v>
      </c>
      <c r="M11">
        <v>12</v>
      </c>
      <c r="N11">
        <v>12</v>
      </c>
      <c r="O11">
        <v>12</v>
      </c>
      <c r="P11">
        <v>9</v>
      </c>
      <c r="Q11">
        <v>8</v>
      </c>
      <c r="R11">
        <v>8</v>
      </c>
      <c r="S11">
        <v>8</v>
      </c>
      <c r="T11">
        <v>8</v>
      </c>
      <c r="U11">
        <v>8</v>
      </c>
      <c r="V11">
        <v>8</v>
      </c>
      <c r="W11">
        <v>8</v>
      </c>
      <c r="X11">
        <v>8</v>
      </c>
      <c r="Y11">
        <v>8</v>
      </c>
      <c r="Z11">
        <v>8</v>
      </c>
      <c r="AA11">
        <v>8</v>
      </c>
      <c r="AB11">
        <v>8</v>
      </c>
      <c r="AC11">
        <v>8</v>
      </c>
      <c r="AD11">
        <v>8</v>
      </c>
      <c r="AE11">
        <v>8</v>
      </c>
      <c r="AF11">
        <v>9</v>
      </c>
      <c r="AG11">
        <v>9</v>
      </c>
      <c r="AH11">
        <v>9</v>
      </c>
      <c r="AI11">
        <v>9</v>
      </c>
      <c r="AJ11">
        <v>9</v>
      </c>
      <c r="AK11">
        <v>9</v>
      </c>
      <c r="AL11">
        <v>9</v>
      </c>
      <c r="AM11">
        <v>9</v>
      </c>
      <c r="AN11">
        <v>9</v>
      </c>
      <c r="AO11">
        <v>9</v>
      </c>
      <c r="AP11">
        <v>9</v>
      </c>
      <c r="AQ11">
        <v>9</v>
      </c>
      <c r="AR11">
        <v>9</v>
      </c>
      <c r="AS11">
        <v>9</v>
      </c>
      <c r="AT11">
        <v>9</v>
      </c>
      <c r="AU11">
        <v>5</v>
      </c>
      <c r="AV11">
        <v>5</v>
      </c>
      <c r="AW11">
        <v>5</v>
      </c>
      <c r="AX11">
        <v>5</v>
      </c>
      <c r="AY11">
        <v>5</v>
      </c>
      <c r="AZ11">
        <v>5</v>
      </c>
      <c r="BA11">
        <v>5</v>
      </c>
      <c r="BB11">
        <v>5</v>
      </c>
      <c r="BC11">
        <v>5</v>
      </c>
      <c r="BD11">
        <v>5</v>
      </c>
      <c r="BE11">
        <v>5</v>
      </c>
      <c r="BF11">
        <v>5</v>
      </c>
      <c r="BG11">
        <v>5</v>
      </c>
      <c r="BH11">
        <v>5</v>
      </c>
      <c r="BI11">
        <v>5</v>
      </c>
      <c r="BJ11">
        <v>5</v>
      </c>
      <c r="BK11">
        <v>5</v>
      </c>
      <c r="BL11">
        <v>5</v>
      </c>
      <c r="BM11">
        <v>5</v>
      </c>
      <c r="BN11">
        <v>270</v>
      </c>
      <c r="BO11">
        <v>793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15"/>
  <sheetViews>
    <sheetView zoomScale="50" zoomScaleNormal="50" workbookViewId="0">
      <pane xSplit="1" ySplit="11" topLeftCell="B12" activePane="bottomRight" state="frozen"/>
      <selection pane="topRight"/>
      <selection pane="bottomLeft"/>
      <selection pane="bottomRight" activeCell="E50" sqref="E50"/>
    </sheetView>
  </sheetViews>
  <sheetFormatPr baseColWidth="10" defaultColWidth="9.1796875" defaultRowHeight="12.5" x14ac:dyDescent="0.25"/>
  <cols>
    <col min="1" max="1" width="11.54296875" customWidth="1"/>
    <col min="2" max="46" width="14" customWidth="1"/>
  </cols>
  <sheetData>
    <row r="1" spans="1:46" ht="19.5" x14ac:dyDescent="0.45">
      <c r="A1" s="39" t="s">
        <v>1942</v>
      </c>
    </row>
    <row r="2" spans="1:46" ht="14.5" x14ac:dyDescent="0.35">
      <c r="A2" s="40" t="s">
        <v>1943</v>
      </c>
    </row>
    <row r="4" spans="1:46" ht="29" x14ac:dyDescent="0.25">
      <c r="A4" s="41" t="s">
        <v>1944</v>
      </c>
      <c r="B4" s="42">
        <v>239</v>
      </c>
    </row>
    <row r="5" spans="1:46" ht="29" x14ac:dyDescent="0.25">
      <c r="A5" s="41" t="s">
        <v>1945</v>
      </c>
      <c r="B5" s="42">
        <v>155</v>
      </c>
    </row>
    <row r="6" spans="1:46" ht="14.5" x14ac:dyDescent="0.25">
      <c r="A6" s="41" t="s">
        <v>1941</v>
      </c>
      <c r="B6" s="42">
        <v>155</v>
      </c>
    </row>
    <row r="7" spans="1:46" ht="29" x14ac:dyDescent="0.25">
      <c r="A7" s="41" t="s">
        <v>1946</v>
      </c>
      <c r="B7" s="42">
        <v>84</v>
      </c>
    </row>
    <row r="8" spans="1:46" ht="29" x14ac:dyDescent="0.25">
      <c r="A8" s="41" t="s">
        <v>1947</v>
      </c>
      <c r="B8" s="42" t="s">
        <v>1948</v>
      </c>
    </row>
    <row r="9" spans="1:46" ht="62.5" x14ac:dyDescent="0.25">
      <c r="A9" s="41" t="s">
        <v>1949</v>
      </c>
      <c r="B9" s="42" t="s">
        <v>1950</v>
      </c>
    </row>
    <row r="11" spans="1:46" ht="13" x14ac:dyDescent="0.25">
      <c r="A11" s="43"/>
      <c r="B11" s="44">
        <v>1</v>
      </c>
      <c r="C11" s="44">
        <v>2</v>
      </c>
      <c r="D11" s="44">
        <v>3</v>
      </c>
      <c r="E11" s="44">
        <v>4</v>
      </c>
      <c r="F11" s="44">
        <v>5</v>
      </c>
      <c r="G11" s="44">
        <v>6</v>
      </c>
      <c r="H11" s="44">
        <v>7</v>
      </c>
      <c r="I11" s="44">
        <v>8</v>
      </c>
      <c r="J11" s="44">
        <v>9</v>
      </c>
      <c r="K11" s="44">
        <v>10</v>
      </c>
      <c r="L11" s="44">
        <v>11</v>
      </c>
      <c r="M11" s="44">
        <v>12</v>
      </c>
      <c r="N11" s="44">
        <v>13</v>
      </c>
      <c r="O11" s="44">
        <v>14</v>
      </c>
      <c r="P11" s="44">
        <v>15</v>
      </c>
      <c r="Q11" s="44">
        <v>16</v>
      </c>
      <c r="R11" s="44">
        <v>17</v>
      </c>
      <c r="S11" s="44">
        <v>18</v>
      </c>
      <c r="T11" s="44">
        <v>19</v>
      </c>
      <c r="U11" s="44">
        <v>20</v>
      </c>
      <c r="V11" s="44">
        <v>21</v>
      </c>
      <c r="W11" s="44">
        <v>22</v>
      </c>
      <c r="X11" s="44">
        <v>23</v>
      </c>
      <c r="Y11" s="44">
        <v>24</v>
      </c>
      <c r="Z11" s="44">
        <v>25</v>
      </c>
      <c r="AA11" s="44">
        <v>26</v>
      </c>
      <c r="AB11" s="44">
        <v>27</v>
      </c>
      <c r="AC11" s="44">
        <v>28</v>
      </c>
      <c r="AD11" s="44">
        <v>29</v>
      </c>
      <c r="AE11" s="44">
        <v>30</v>
      </c>
      <c r="AF11" s="44">
        <v>31</v>
      </c>
      <c r="AG11" s="44">
        <v>32</v>
      </c>
      <c r="AH11" s="44">
        <v>33</v>
      </c>
      <c r="AI11" s="44">
        <v>34</v>
      </c>
      <c r="AJ11" s="44">
        <v>35</v>
      </c>
      <c r="AK11" s="44">
        <v>36</v>
      </c>
      <c r="AL11" s="44">
        <v>37</v>
      </c>
      <c r="AM11" s="44">
        <v>38</v>
      </c>
      <c r="AN11" s="44">
        <v>39</v>
      </c>
      <c r="AO11" s="44">
        <v>40</v>
      </c>
      <c r="AP11" s="44">
        <v>41</v>
      </c>
      <c r="AQ11" s="44">
        <v>42</v>
      </c>
      <c r="AR11" s="44">
        <v>43</v>
      </c>
      <c r="AS11" s="44">
        <v>44</v>
      </c>
      <c r="AT11" s="44">
        <v>45</v>
      </c>
    </row>
    <row r="12" spans="1:46" ht="78" customHeight="1" x14ac:dyDescent="0.25">
      <c r="A12" s="45" t="s">
        <v>1951</v>
      </c>
      <c r="B12" s="36" t="s">
        <v>1952</v>
      </c>
      <c r="C12" s="36" t="s">
        <v>1953</v>
      </c>
      <c r="D12" s="36" t="s">
        <v>1954</v>
      </c>
      <c r="E12" s="36" t="s">
        <v>1955</v>
      </c>
      <c r="F12" s="36" t="s">
        <v>1956</v>
      </c>
      <c r="G12" s="36" t="s">
        <v>1957</v>
      </c>
      <c r="H12" s="36" t="s">
        <v>1958</v>
      </c>
      <c r="I12" s="36" t="s">
        <v>1959</v>
      </c>
      <c r="J12" s="36" t="s">
        <v>1960</v>
      </c>
      <c r="K12" s="36" t="s">
        <v>1961</v>
      </c>
      <c r="L12" s="36" t="s">
        <v>1962</v>
      </c>
      <c r="M12" s="36" t="s">
        <v>1963</v>
      </c>
      <c r="N12" s="36" t="s">
        <v>1964</v>
      </c>
      <c r="O12" s="36" t="s">
        <v>1965</v>
      </c>
      <c r="P12" s="36" t="s">
        <v>1966</v>
      </c>
      <c r="Q12" s="36" t="s">
        <v>1967</v>
      </c>
      <c r="R12" s="36" t="s">
        <v>1968</v>
      </c>
      <c r="S12" s="36" t="s">
        <v>1969</v>
      </c>
      <c r="T12" s="36" t="s">
        <v>1970</v>
      </c>
      <c r="U12" s="36" t="s">
        <v>1971</v>
      </c>
      <c r="V12" s="36" t="s">
        <v>1972</v>
      </c>
      <c r="W12" s="36" t="s">
        <v>1973</v>
      </c>
      <c r="X12" s="36" t="s">
        <v>1974</v>
      </c>
      <c r="Y12" s="36" t="s">
        <v>1975</v>
      </c>
      <c r="Z12" s="36" t="s">
        <v>1976</v>
      </c>
      <c r="AA12" s="36" t="s">
        <v>1977</v>
      </c>
      <c r="AB12" s="36" t="s">
        <v>1978</v>
      </c>
      <c r="AC12" s="36" t="s">
        <v>1979</v>
      </c>
      <c r="AD12" s="36" t="s">
        <v>1980</v>
      </c>
      <c r="AE12" s="36" t="s">
        <v>1981</v>
      </c>
      <c r="AF12" s="36" t="s">
        <v>1982</v>
      </c>
      <c r="AG12" s="36" t="s">
        <v>1983</v>
      </c>
      <c r="AH12" s="36" t="s">
        <v>1984</v>
      </c>
      <c r="AI12" s="36" t="s">
        <v>1985</v>
      </c>
      <c r="AJ12" s="36" t="s">
        <v>1986</v>
      </c>
      <c r="AK12" s="36" t="s">
        <v>1987</v>
      </c>
      <c r="AL12" s="36" t="s">
        <v>1988</v>
      </c>
      <c r="AM12" s="36" t="s">
        <v>1989</v>
      </c>
      <c r="AN12" s="36" t="s">
        <v>1990</v>
      </c>
      <c r="AO12" s="36" t="s">
        <v>1991</v>
      </c>
      <c r="AP12" s="36" t="s">
        <v>1992</v>
      </c>
      <c r="AQ12" s="36" t="s">
        <v>1993</v>
      </c>
      <c r="AR12" s="36" t="s">
        <v>1994</v>
      </c>
      <c r="AS12" s="36" t="s">
        <v>1995</v>
      </c>
      <c r="AT12" s="36" t="s">
        <v>1996</v>
      </c>
    </row>
    <row r="13" spans="1:46" ht="78" customHeight="1" x14ac:dyDescent="0.25">
      <c r="A13" s="45" t="s">
        <v>1997</v>
      </c>
      <c r="B13" s="36" t="s">
        <v>1998</v>
      </c>
      <c r="C13" s="36" t="s">
        <v>1999</v>
      </c>
      <c r="D13" s="36" t="s">
        <v>2000</v>
      </c>
      <c r="E13" s="36" t="s">
        <v>2001</v>
      </c>
      <c r="F13" s="36" t="s">
        <v>2002</v>
      </c>
      <c r="G13" s="36" t="s">
        <v>2003</v>
      </c>
      <c r="H13" s="36" t="s">
        <v>2004</v>
      </c>
      <c r="I13" s="36" t="s">
        <v>2005</v>
      </c>
      <c r="J13" s="36" t="s">
        <v>2006</v>
      </c>
      <c r="K13" s="36" t="s">
        <v>2007</v>
      </c>
      <c r="L13" s="36" t="s">
        <v>2008</v>
      </c>
      <c r="M13" s="36" t="s">
        <v>2009</v>
      </c>
      <c r="N13" s="36" t="s">
        <v>2010</v>
      </c>
      <c r="O13" s="36" t="s">
        <v>2011</v>
      </c>
      <c r="P13" s="36" t="s">
        <v>2012</v>
      </c>
      <c r="Q13" s="36" t="s">
        <v>2013</v>
      </c>
      <c r="R13" s="36" t="s">
        <v>2014</v>
      </c>
      <c r="S13" s="36" t="s">
        <v>2015</v>
      </c>
      <c r="T13" s="36" t="s">
        <v>2016</v>
      </c>
      <c r="U13" s="36" t="s">
        <v>2017</v>
      </c>
      <c r="V13" s="36" t="s">
        <v>2018</v>
      </c>
      <c r="W13" s="36" t="s">
        <v>2019</v>
      </c>
      <c r="X13" s="36" t="s">
        <v>2020</v>
      </c>
      <c r="Y13" s="36" t="s">
        <v>2021</v>
      </c>
      <c r="Z13" s="36" t="s">
        <v>2022</v>
      </c>
      <c r="AA13" s="36" t="s">
        <v>2023</v>
      </c>
      <c r="AB13" s="36" t="s">
        <v>2024</v>
      </c>
      <c r="AC13" s="36" t="s">
        <v>2025</v>
      </c>
      <c r="AD13" s="36" t="s">
        <v>2026</v>
      </c>
      <c r="AE13" s="36" t="s">
        <v>2027</v>
      </c>
      <c r="AF13" s="36" t="s">
        <v>2028</v>
      </c>
      <c r="AG13" s="36" t="s">
        <v>2029</v>
      </c>
      <c r="AH13" s="36" t="s">
        <v>2030</v>
      </c>
      <c r="AI13" s="36" t="s">
        <v>2031</v>
      </c>
      <c r="AJ13" s="36" t="s">
        <v>2032</v>
      </c>
      <c r="AK13" s="36" t="s">
        <v>2033</v>
      </c>
      <c r="AL13" s="36" t="s">
        <v>2034</v>
      </c>
      <c r="AM13" s="36" t="s">
        <v>2035</v>
      </c>
      <c r="AN13" s="36" t="s">
        <v>2036</v>
      </c>
      <c r="AO13" s="36" t="s">
        <v>2037</v>
      </c>
      <c r="AP13" s="36" t="s">
        <v>2038</v>
      </c>
      <c r="AQ13" s="36" t="s">
        <v>2039</v>
      </c>
      <c r="AR13" s="36" t="s">
        <v>2040</v>
      </c>
      <c r="AS13" s="36" t="s">
        <v>2041</v>
      </c>
      <c r="AT13" s="36" t="s">
        <v>2042</v>
      </c>
    </row>
    <row r="14" spans="1:46" ht="78" customHeight="1" x14ac:dyDescent="0.25">
      <c r="A14" s="45" t="s">
        <v>2043</v>
      </c>
      <c r="B14" s="36" t="s">
        <v>2044</v>
      </c>
      <c r="C14" s="36" t="s">
        <v>2045</v>
      </c>
      <c r="D14" s="36" t="s">
        <v>2046</v>
      </c>
      <c r="E14" s="36" t="s">
        <v>2047</v>
      </c>
      <c r="F14" s="36" t="s">
        <v>2048</v>
      </c>
      <c r="G14" s="36" t="s">
        <v>2049</v>
      </c>
      <c r="H14" s="36" t="s">
        <v>2050</v>
      </c>
      <c r="I14" s="36" t="s">
        <v>2051</v>
      </c>
      <c r="J14" s="36" t="s">
        <v>2052</v>
      </c>
      <c r="K14" s="36" t="s">
        <v>2053</v>
      </c>
      <c r="L14" s="36" t="s">
        <v>2054</v>
      </c>
      <c r="M14" s="36" t="s">
        <v>2055</v>
      </c>
      <c r="N14" s="36" t="s">
        <v>2056</v>
      </c>
      <c r="O14" s="36" t="s">
        <v>2057</v>
      </c>
      <c r="P14" s="36" t="s">
        <v>2058</v>
      </c>
      <c r="Q14" s="36" t="s">
        <v>2059</v>
      </c>
      <c r="R14" s="36" t="s">
        <v>2060</v>
      </c>
      <c r="S14" s="36" t="s">
        <v>2061</v>
      </c>
      <c r="T14" s="36" t="s">
        <v>2062</v>
      </c>
      <c r="U14" s="36" t="s">
        <v>2063</v>
      </c>
      <c r="V14" s="36" t="s">
        <v>2064</v>
      </c>
      <c r="W14" s="36" t="s">
        <v>2065</v>
      </c>
      <c r="X14" s="36" t="s">
        <v>2066</v>
      </c>
      <c r="Y14" s="36" t="s">
        <v>2067</v>
      </c>
      <c r="Z14" s="36" t="s">
        <v>2068</v>
      </c>
      <c r="AA14" s="36" t="s">
        <v>2069</v>
      </c>
      <c r="AB14" s="36" t="s">
        <v>2070</v>
      </c>
      <c r="AC14" s="36" t="s">
        <v>2071</v>
      </c>
      <c r="AD14" s="36" t="s">
        <v>2072</v>
      </c>
      <c r="AE14" s="36" t="s">
        <v>2073</v>
      </c>
      <c r="AF14" s="36" t="s">
        <v>2074</v>
      </c>
      <c r="AG14" s="36" t="s">
        <v>2075</v>
      </c>
      <c r="AH14" s="36" t="s">
        <v>2076</v>
      </c>
      <c r="AI14" s="36" t="s">
        <v>2077</v>
      </c>
      <c r="AJ14" s="36" t="s">
        <v>2078</v>
      </c>
      <c r="AK14" s="36" t="s">
        <v>2079</v>
      </c>
      <c r="AL14" s="36" t="s">
        <v>2080</v>
      </c>
      <c r="AM14" s="36" t="s">
        <v>2081</v>
      </c>
      <c r="AN14" s="36" t="s">
        <v>2082</v>
      </c>
      <c r="AO14" s="36" t="s">
        <v>2083</v>
      </c>
      <c r="AP14" s="36" t="s">
        <v>2084</v>
      </c>
      <c r="AQ14" s="36" t="s">
        <v>2085</v>
      </c>
      <c r="AR14" s="36" t="s">
        <v>2086</v>
      </c>
      <c r="AS14" s="36" t="s">
        <v>2087</v>
      </c>
      <c r="AT14" s="36" t="s">
        <v>2088</v>
      </c>
    </row>
    <row r="15" spans="1:46" ht="78" customHeight="1" x14ac:dyDescent="0.25">
      <c r="A15" s="45" t="s">
        <v>2089</v>
      </c>
      <c r="B15" s="36" t="s">
        <v>2090</v>
      </c>
      <c r="C15" s="36" t="s">
        <v>2091</v>
      </c>
      <c r="D15" s="36" t="s">
        <v>2092</v>
      </c>
      <c r="E15" s="36" t="s">
        <v>2093</v>
      </c>
      <c r="F15" s="36" t="s">
        <v>2094</v>
      </c>
      <c r="G15" s="36" t="s">
        <v>2095</v>
      </c>
      <c r="H15" s="36" t="s">
        <v>2096</v>
      </c>
      <c r="I15" s="36" t="s">
        <v>2097</v>
      </c>
      <c r="J15" s="36" t="s">
        <v>2098</v>
      </c>
      <c r="K15" s="36" t="s">
        <v>2099</v>
      </c>
      <c r="L15" s="37" t="s">
        <v>2100</v>
      </c>
      <c r="M15" s="37" t="s">
        <v>2101</v>
      </c>
      <c r="N15" s="37" t="s">
        <v>2102</v>
      </c>
      <c r="O15" s="37" t="s">
        <v>2103</v>
      </c>
      <c r="P15" s="37" t="s">
        <v>2104</v>
      </c>
      <c r="Q15" s="37" t="s">
        <v>2105</v>
      </c>
      <c r="R15" s="37" t="s">
        <v>2106</v>
      </c>
      <c r="S15" s="38" t="s">
        <v>2107</v>
      </c>
      <c r="T15" s="38" t="s">
        <v>2108</v>
      </c>
      <c r="U15" s="38" t="s">
        <v>2109</v>
      </c>
      <c r="V15" s="38" t="s">
        <v>2110</v>
      </c>
      <c r="W15" s="38" t="s">
        <v>2111</v>
      </c>
      <c r="X15" s="38" t="s">
        <v>2112</v>
      </c>
      <c r="Y15" s="38" t="s">
        <v>2113</v>
      </c>
      <c r="Z15" s="38" t="s">
        <v>2114</v>
      </c>
      <c r="AA15" s="38" t="s">
        <v>2115</v>
      </c>
      <c r="AB15" s="38" t="s">
        <v>2116</v>
      </c>
      <c r="AC15" s="37" t="s">
        <v>2117</v>
      </c>
      <c r="AD15" s="37" t="s">
        <v>2118</v>
      </c>
      <c r="AE15" s="37" t="s">
        <v>2119</v>
      </c>
      <c r="AF15" s="37" t="s">
        <v>2120</v>
      </c>
      <c r="AG15" s="37" t="s">
        <v>2121</v>
      </c>
      <c r="AH15" s="37" t="s">
        <v>2122</v>
      </c>
      <c r="AI15" s="37" t="s">
        <v>2123</v>
      </c>
      <c r="AJ15" s="37" t="s">
        <v>2124</v>
      </c>
      <c r="AK15" s="36" t="s">
        <v>2125</v>
      </c>
      <c r="AL15" s="36" t="s">
        <v>2126</v>
      </c>
      <c r="AM15" s="36" t="s">
        <v>2127</v>
      </c>
      <c r="AN15" s="36" t="s">
        <v>2128</v>
      </c>
      <c r="AO15" s="36" t="s">
        <v>2129</v>
      </c>
      <c r="AP15" s="36" t="s">
        <v>2130</v>
      </c>
      <c r="AQ15" s="36" t="s">
        <v>2131</v>
      </c>
      <c r="AR15" s="36" t="s">
        <v>2132</v>
      </c>
      <c r="AS15" s="36" t="s">
        <v>2133</v>
      </c>
      <c r="AT15" s="36" t="s">
        <v>2134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MAESTRO</vt:lpstr>
      <vt:lpstr>TABLA 2</vt:lpstr>
      <vt:lpstr>DISTRIBUCION VIP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Matias Carter</dc:creator>
  <cp:lastModifiedBy>IGNACIO PERALTA VARGAS</cp:lastModifiedBy>
  <dcterms:created xsi:type="dcterms:W3CDTF">2026-06-12T15:39:53Z</dcterms:created>
  <dcterms:modified xsi:type="dcterms:W3CDTF">2026-06-18T11:52:22Z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4e9a4a-eb20-4aad-9a64-8872817c1a6f_Enabled">
    <vt:lpwstr>true</vt:lpwstr>
  </property>
  <property fmtid="{D5CDD505-2E9C-101B-9397-08002B2CF9AE}" pid="3" name="MSIP_Label_9f4e9a4a-eb20-4aad-9a64-8872817c1a6f_SetDate">
    <vt:lpwstr>2026-06-18T11:52:22Z</vt:lpwstr>
  </property>
  <property fmtid="{D5CDD505-2E9C-101B-9397-08002B2CF9AE}" pid="4" name="MSIP_Label_9f4e9a4a-eb20-4aad-9a64-8872817c1a6f_Method">
    <vt:lpwstr>Standard</vt:lpwstr>
  </property>
  <property fmtid="{D5CDD505-2E9C-101B-9397-08002B2CF9AE}" pid="5" name="MSIP_Label_9f4e9a4a-eb20-4aad-9a64-8872817c1a6f_Name">
    <vt:lpwstr>defa4170-0d19-0005-0004-bc88714345d2</vt:lpwstr>
  </property>
  <property fmtid="{D5CDD505-2E9C-101B-9397-08002B2CF9AE}" pid="6" name="MSIP_Label_9f4e9a4a-eb20-4aad-9a64-8872817c1a6f_SiteId">
    <vt:lpwstr>7a599002-001c-432c-846e-1ddca9f6b299</vt:lpwstr>
  </property>
  <property fmtid="{D5CDD505-2E9C-101B-9397-08002B2CF9AE}" pid="7" name="MSIP_Label_9f4e9a4a-eb20-4aad-9a64-8872817c1a6f_ActionId">
    <vt:lpwstr>af121694-c419-4692-9b49-402109f8ecad</vt:lpwstr>
  </property>
  <property fmtid="{D5CDD505-2E9C-101B-9397-08002B2CF9AE}" pid="8" name="MSIP_Label_9f4e9a4a-eb20-4aad-9a64-8872817c1a6f_ContentBits">
    <vt:lpwstr>0</vt:lpwstr>
  </property>
  <property fmtid="{D5CDD505-2E9C-101B-9397-08002B2CF9AE}" pid="9" name="MSIP_Label_9f4e9a4a-eb20-4aad-9a64-8872817c1a6f_Tag">
    <vt:lpwstr>10, 3, 0, 1</vt:lpwstr>
  </property>
</Properties>
</file>